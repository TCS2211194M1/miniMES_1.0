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Proyectos\PLANEADOR_v1.0\"/>
    </mc:Choice>
  </mc:AlternateContent>
  <xr:revisionPtr revIDLastSave="0" documentId="13_ncr:1_{F033A678-32DA-40DD-B24B-680B086FD7CD}" xr6:coauthVersionLast="47" xr6:coauthVersionMax="47" xr10:uidLastSave="{00000000-0000-0000-0000-000000000000}"/>
  <bookViews>
    <workbookView xWindow="-108" yWindow="-108" windowWidth="23256" windowHeight="12456" tabRatio="758" firstSheet="2" activeTab="5" xr2:uid="{2CD95FEE-81DC-4083-9177-26495F2ABEBD}"/>
  </bookViews>
  <sheets>
    <sheet name="Hoja1" sheetId="1" state="hidden" r:id="rId1"/>
    <sheet name="t_empresa" sheetId="14" r:id="rId2"/>
    <sheet name="t_producto" sheetId="15" r:id="rId3"/>
    <sheet name="t_productStatus" sheetId="16" r:id="rId4"/>
    <sheet name="t_cliente" sheetId="2" r:id="rId5"/>
    <sheet name="t_tipo_cliente" sheetId="3" r:id="rId6"/>
    <sheet name="t_prioridad_cliente" sheetId="4" r:id="rId7"/>
    <sheet name="t_clave_unidad" sheetId="6" r:id="rId8"/>
    <sheet name="t_entry_status" sheetId="5" r:id="rId9"/>
    <sheet name="t_usuario" sheetId="8" r:id="rId10"/>
    <sheet name="t_area" sheetId="9" r:id="rId11"/>
    <sheet name="t_proceso" sheetId="13" r:id="rId12"/>
    <sheet name="t_equipo" sheetId="11" r:id="rId13"/>
    <sheet name="t_objeto" sheetId="17" r:id="rId14"/>
    <sheet name="t_materialPlano" sheetId="18" r:id="rId15"/>
    <sheet name="t_calendario" sheetId="19" r:id="rId16"/>
    <sheet name="t_politicaLaboral" sheetId="20" r:id="rId17"/>
  </sheets>
  <externalReferences>
    <externalReference r:id="rId18"/>
  </externalReferences>
  <definedNames>
    <definedName name="_xlnm._FilterDatabase" localSheetId="15" hidden="1">t_calendario!$A$1:$I$2193</definedName>
    <definedName name="_xlnm._FilterDatabase" localSheetId="7" hidden="1">t_clave_unidad!$A$1:$K$1</definedName>
    <definedName name="_xlnm._FilterDatabase" localSheetId="4" hidden="1">t_cliente!$A$1:$O$1</definedName>
    <definedName name="_xlnm._FilterDatabase" localSheetId="1" hidden="1">t_empresa!$A$1:$I$1</definedName>
    <definedName name="_xlnm._FilterDatabase" localSheetId="14" hidden="1">t_materialPlano!$A$1:$AE$685</definedName>
    <definedName name="_xlnm._FilterDatabase" localSheetId="6" hidden="1">t_prioridad_cliente!$A$1:$C$1</definedName>
    <definedName name="_xlnm._FilterDatabase" localSheetId="2" hidden="1">t_producto!$A$1:$P$1</definedName>
    <definedName name="_xlnm._FilterDatabase" localSheetId="5" hidden="1">t_tipo_cliente!$A$1:$C$1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5" l="1"/>
  <c r="B4" i="15"/>
  <c r="B5" i="15"/>
  <c r="B6" i="15"/>
  <c r="B7" i="15"/>
  <c r="B8" i="15"/>
  <c r="B9" i="15"/>
  <c r="B10" i="15"/>
  <c r="B11" i="15"/>
  <c r="B12" i="15"/>
  <c r="B13" i="15"/>
  <c r="B14" i="15"/>
  <c r="B15" i="15"/>
  <c r="B16" i="15"/>
  <c r="B17" i="15"/>
  <c r="B2" i="15"/>
  <c r="B3" i="2"/>
  <c r="B4" i="2"/>
  <c r="B5" i="2"/>
  <c r="B6" i="2"/>
  <c r="B7" i="2"/>
  <c r="B8" i="2"/>
  <c r="B2" i="2"/>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3" i="17"/>
  <c r="I8" i="20"/>
  <c r="I7" i="20"/>
  <c r="I6" i="20"/>
  <c r="I5" i="20"/>
  <c r="I4" i="20"/>
  <c r="I3" i="20"/>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I2011" i="19"/>
  <c r="F2011" i="19"/>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I1987" i="19"/>
  <c r="F1987" i="19"/>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I1981" i="19"/>
  <c r="E1981" i="19"/>
  <c r="F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I1951" i="19"/>
  <c r="F1951" i="19"/>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I1933" i="19"/>
  <c r="E1933" i="19"/>
  <c r="F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I1893" i="19"/>
  <c r="F1893" i="19"/>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I1887" i="19"/>
  <c r="F1887" i="19"/>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I1875" i="19"/>
  <c r="E1875" i="19"/>
  <c r="F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I1869" i="19"/>
  <c r="F1869" i="19"/>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I1858" i="19"/>
  <c r="E1858" i="19"/>
  <c r="F1858" i="19" s="1"/>
  <c r="D1858" i="19"/>
  <c r="C1858" i="19"/>
  <c r="B1858" i="19"/>
  <c r="I1857" i="19"/>
  <c r="F1857" i="19"/>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I1846" i="19"/>
  <c r="E1846" i="19"/>
  <c r="F1846" i="19" s="1"/>
  <c r="D1846" i="19"/>
  <c r="C1846" i="19"/>
  <c r="B1846" i="19"/>
  <c r="I1845" i="19"/>
  <c r="F1845" i="19"/>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I1839" i="19"/>
  <c r="F1839" i="19"/>
  <c r="E1839" i="19"/>
  <c r="D1839" i="19"/>
  <c r="C1839" i="19"/>
  <c r="B1839" i="19"/>
  <c r="I1838" i="19"/>
  <c r="E1838" i="19"/>
  <c r="F1838" i="19" s="1"/>
  <c r="D1838" i="19"/>
  <c r="C1838" i="19"/>
  <c r="B1838" i="19"/>
  <c r="F1837" i="19"/>
  <c r="I1837" i="19" s="1"/>
  <c r="E1837" i="19"/>
  <c r="D1837" i="19"/>
  <c r="C1837" i="19"/>
  <c r="B1837" i="19"/>
  <c r="I1836" i="19"/>
  <c r="E1836" i="19"/>
  <c r="F1836" i="19" s="1"/>
  <c r="D1836" i="19"/>
  <c r="C1836" i="19"/>
  <c r="B1836" i="19"/>
  <c r="I1835" i="19"/>
  <c r="F1835" i="19"/>
  <c r="E1835" i="19"/>
  <c r="D1835" i="19"/>
  <c r="C1835" i="19"/>
  <c r="B1835" i="19"/>
  <c r="I1834" i="19"/>
  <c r="E1834" i="19"/>
  <c r="F1834" i="19" s="1"/>
  <c r="D1834" i="19"/>
  <c r="C1834" i="19"/>
  <c r="B1834" i="19"/>
  <c r="I1833" i="19"/>
  <c r="F1833" i="19"/>
  <c r="E1833" i="19"/>
  <c r="D1833" i="19"/>
  <c r="C1833" i="19"/>
  <c r="B1833" i="19"/>
  <c r="I1832" i="19"/>
  <c r="E1832" i="19"/>
  <c r="F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I1826" i="19"/>
  <c r="E1826" i="19"/>
  <c r="F1826" i="19" s="1"/>
  <c r="D1826" i="19"/>
  <c r="C1826" i="19"/>
  <c r="B1826" i="19"/>
  <c r="I1825" i="19"/>
  <c r="F1825" i="19"/>
  <c r="E1825" i="19"/>
  <c r="D1825" i="19"/>
  <c r="C1825" i="19"/>
  <c r="B1825" i="19"/>
  <c r="E1824" i="19"/>
  <c r="F1824" i="19" s="1"/>
  <c r="I1824" i="19" s="1"/>
  <c r="D1824" i="19"/>
  <c r="C1824" i="19"/>
  <c r="B1824" i="19"/>
  <c r="I1823" i="19"/>
  <c r="F1823" i="19"/>
  <c r="E1823" i="19"/>
  <c r="D1823" i="19"/>
  <c r="C1823" i="19"/>
  <c r="B1823" i="19"/>
  <c r="I1822" i="19"/>
  <c r="E1822" i="19"/>
  <c r="F1822" i="19" s="1"/>
  <c r="D1822" i="19"/>
  <c r="C1822" i="19"/>
  <c r="B1822" i="19"/>
  <c r="F1821" i="19"/>
  <c r="I1821" i="19" s="1"/>
  <c r="E1821" i="19"/>
  <c r="D1821" i="19"/>
  <c r="C1821" i="19"/>
  <c r="B1821" i="19"/>
  <c r="I1820" i="19"/>
  <c r="E1820" i="19"/>
  <c r="F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I1814" i="19"/>
  <c r="E1814" i="19"/>
  <c r="F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I1810" i="19"/>
  <c r="E1810" i="19"/>
  <c r="F1810" i="19" s="1"/>
  <c r="D1810" i="19"/>
  <c r="C1810" i="19"/>
  <c r="B1810" i="19"/>
  <c r="I1809" i="19"/>
  <c r="F1809" i="19"/>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I1803" i="19"/>
  <c r="F1803" i="19"/>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I1791" i="19"/>
  <c r="F1791" i="19"/>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I1775" i="19"/>
  <c r="F1775" i="19"/>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I1750" i="19"/>
  <c r="E1750" i="19"/>
  <c r="F1750" i="19" s="1"/>
  <c r="D1750" i="19"/>
  <c r="C1750" i="19"/>
  <c r="B1750" i="19"/>
  <c r="I1749" i="19"/>
  <c r="F1749" i="19"/>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I1736" i="19"/>
  <c r="E1736" i="19"/>
  <c r="F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I1730" i="19"/>
  <c r="E1730" i="19"/>
  <c r="F1730" i="19" s="1"/>
  <c r="D1730" i="19"/>
  <c r="C1730" i="19"/>
  <c r="B1730" i="19"/>
  <c r="I1729" i="19"/>
  <c r="F1729" i="19"/>
  <c r="E1729" i="19"/>
  <c r="D1729" i="19"/>
  <c r="C1729" i="19"/>
  <c r="B1729" i="19"/>
  <c r="E1728" i="19"/>
  <c r="F1728" i="19" s="1"/>
  <c r="I1728" i="19" s="1"/>
  <c r="D1728" i="19"/>
  <c r="C1728" i="19"/>
  <c r="B1728" i="19"/>
  <c r="I1727" i="19"/>
  <c r="F1727" i="19"/>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I1720" i="19"/>
  <c r="F1720" i="19"/>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I1716" i="19"/>
  <c r="F1716" i="19"/>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I1710" i="19"/>
  <c r="F1710" i="19"/>
  <c r="E1710" i="19"/>
  <c r="D1710" i="19"/>
  <c r="C1710" i="19"/>
  <c r="B1710" i="19"/>
  <c r="F1709" i="19"/>
  <c r="I1709" i="19" s="1"/>
  <c r="E1709" i="19"/>
  <c r="D1709" i="19"/>
  <c r="C1709" i="19"/>
  <c r="B1709" i="19"/>
  <c r="I1708" i="19"/>
  <c r="F1708" i="19"/>
  <c r="E1708" i="19"/>
  <c r="D1708" i="19"/>
  <c r="C1708" i="19"/>
  <c r="B1708" i="19"/>
  <c r="F1707" i="19"/>
  <c r="I1707" i="19" s="1"/>
  <c r="E1707" i="19"/>
  <c r="D1707" i="19"/>
  <c r="C1707" i="19"/>
  <c r="B1707" i="19"/>
  <c r="I1706" i="19"/>
  <c r="F1706" i="19"/>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I1702" i="19"/>
  <c r="F1702" i="19"/>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I1696" i="19"/>
  <c r="F1696" i="19"/>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I1692" i="19"/>
  <c r="F1692" i="19"/>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I1686" i="19"/>
  <c r="F1686" i="19"/>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I1682" i="19"/>
  <c r="F1682" i="19"/>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I1678" i="19"/>
  <c r="F1678" i="19"/>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I1672" i="19"/>
  <c r="F1672" i="19"/>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I1668" i="19"/>
  <c r="F1668" i="19"/>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I1662" i="19"/>
  <c r="F1662" i="19"/>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I1658" i="19"/>
  <c r="F1658" i="19"/>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I1654" i="19"/>
  <c r="F1654" i="19"/>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I1648" i="19"/>
  <c r="F1648" i="19"/>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I1644" i="19"/>
  <c r="F1644" i="19"/>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I1640" i="19"/>
  <c r="F1640" i="19"/>
  <c r="E1640" i="19"/>
  <c r="D1640" i="19"/>
  <c r="C1640" i="19"/>
  <c r="B1640" i="19"/>
  <c r="F1639" i="19"/>
  <c r="I1639" i="19" s="1"/>
  <c r="E1639" i="19"/>
  <c r="D1639" i="19"/>
  <c r="C1639" i="19"/>
  <c r="B1639" i="19"/>
  <c r="I1638" i="19"/>
  <c r="F1638" i="19"/>
  <c r="E1638" i="19"/>
  <c r="D1638" i="19"/>
  <c r="C1638" i="19"/>
  <c r="B1638" i="19"/>
  <c r="F1637" i="19"/>
  <c r="I1637" i="19" s="1"/>
  <c r="E1637" i="19"/>
  <c r="D1637" i="19"/>
  <c r="C1637" i="19"/>
  <c r="B1637" i="19"/>
  <c r="I1636" i="19"/>
  <c r="F1636" i="19"/>
  <c r="E1636" i="19"/>
  <c r="D1636" i="19"/>
  <c r="C1636" i="19"/>
  <c r="B1636" i="19"/>
  <c r="F1635" i="19"/>
  <c r="I1635" i="19" s="1"/>
  <c r="E1635" i="19"/>
  <c r="D1635" i="19"/>
  <c r="C1635" i="19"/>
  <c r="B1635" i="19"/>
  <c r="I1634" i="19"/>
  <c r="F1634" i="19"/>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I1630" i="19"/>
  <c r="F1630" i="19"/>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I1624" i="19"/>
  <c r="F1624" i="19"/>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I1620" i="19"/>
  <c r="F1620" i="19"/>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I1611" i="19"/>
  <c r="F1611" i="19"/>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I1605" i="19"/>
  <c r="F1605" i="19"/>
  <c r="E1605" i="19"/>
  <c r="D1605" i="19"/>
  <c r="C1605" i="19"/>
  <c r="B1605" i="19"/>
  <c r="F1604" i="19"/>
  <c r="I1604" i="19" s="1"/>
  <c r="E1604" i="19"/>
  <c r="D1604" i="19"/>
  <c r="C1604" i="19"/>
  <c r="B1604" i="19"/>
  <c r="I1603" i="19"/>
  <c r="F1603" i="19"/>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I1595" i="19"/>
  <c r="F1595" i="19"/>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I1591" i="19"/>
  <c r="F1591" i="19"/>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I1585" i="19"/>
  <c r="F1585" i="19"/>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I1581" i="19"/>
  <c r="F1581" i="19"/>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I1577" i="19"/>
  <c r="F1577" i="19"/>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I1555" i="19"/>
  <c r="F1555" i="19"/>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I1537" i="19"/>
  <c r="F1537" i="19"/>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I1525" i="19"/>
  <c r="F1525" i="19"/>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I1513" i="19"/>
  <c r="F1513" i="19"/>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I1505" i="19"/>
  <c r="F1505" i="19"/>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I1495" i="19"/>
  <c r="E1495" i="19"/>
  <c r="F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I1483" i="19"/>
  <c r="F1483" i="19"/>
  <c r="E1483" i="19"/>
  <c r="D1483" i="19"/>
  <c r="C1483" i="19"/>
  <c r="B1483" i="19"/>
  <c r="F1482" i="19"/>
  <c r="I1482" i="19" s="1"/>
  <c r="E1482" i="19"/>
  <c r="D1482" i="19"/>
  <c r="C1482" i="19"/>
  <c r="B1482" i="19"/>
  <c r="I1481" i="19"/>
  <c r="F1481" i="19"/>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I1465" i="19"/>
  <c r="F1465" i="19"/>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I1459" i="19"/>
  <c r="F1459" i="19"/>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I1453" i="19"/>
  <c r="F1453" i="19"/>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I1446" i="19"/>
  <c r="F1446" i="19"/>
  <c r="E1446" i="19"/>
  <c r="D1446" i="19"/>
  <c r="C1446" i="19"/>
  <c r="B1446" i="19"/>
  <c r="E1445" i="19"/>
  <c r="F1445" i="19" s="1"/>
  <c r="I1445" i="19" s="1"/>
  <c r="D1445" i="19"/>
  <c r="C1445" i="19"/>
  <c r="B1445" i="19"/>
  <c r="I1444" i="19"/>
  <c r="F1444" i="19"/>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I1440" i="19"/>
  <c r="F1440" i="19"/>
  <c r="E1440" i="19"/>
  <c r="D1440" i="19"/>
  <c r="C1440" i="19"/>
  <c r="B1440" i="19"/>
  <c r="E1439" i="19"/>
  <c r="F1439" i="19" s="1"/>
  <c r="I1439" i="19" s="1"/>
  <c r="D1439" i="19"/>
  <c r="C1439" i="19"/>
  <c r="B1439" i="19"/>
  <c r="I1438" i="19"/>
  <c r="F1438" i="19"/>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I1433" i="19"/>
  <c r="E1433" i="19"/>
  <c r="F1433" i="19" s="1"/>
  <c r="D1433" i="19"/>
  <c r="C1433" i="19"/>
  <c r="B1433" i="19"/>
  <c r="I1432" i="19"/>
  <c r="F1432" i="19"/>
  <c r="E1432" i="19"/>
  <c r="D1432" i="19"/>
  <c r="C1432" i="19"/>
  <c r="B1432" i="19"/>
  <c r="I1431" i="19"/>
  <c r="E1431" i="19"/>
  <c r="F1431" i="19" s="1"/>
  <c r="D1431" i="19"/>
  <c r="C1431" i="19"/>
  <c r="B1431" i="19"/>
  <c r="F1430" i="19"/>
  <c r="I1430" i="19" s="1"/>
  <c r="E1430" i="19"/>
  <c r="D1430" i="19"/>
  <c r="C1430" i="19"/>
  <c r="B1430" i="19"/>
  <c r="I1429" i="19"/>
  <c r="E1429" i="19"/>
  <c r="F1429" i="19" s="1"/>
  <c r="D1429" i="19"/>
  <c r="C1429" i="19"/>
  <c r="B1429" i="19"/>
  <c r="F1428" i="19"/>
  <c r="I1428" i="19" s="1"/>
  <c r="E1428" i="19"/>
  <c r="D1428" i="19"/>
  <c r="C1428" i="19"/>
  <c r="B1428" i="19"/>
  <c r="I1427" i="19"/>
  <c r="E1427" i="19"/>
  <c r="F1427" i="19" s="1"/>
  <c r="D1427" i="19"/>
  <c r="C1427" i="19"/>
  <c r="B1427" i="19"/>
  <c r="I1426" i="19"/>
  <c r="F1426" i="19"/>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I1419" i="19"/>
  <c r="E1419" i="19"/>
  <c r="F1419" i="19" s="1"/>
  <c r="D1419" i="19"/>
  <c r="C1419" i="19"/>
  <c r="B1419" i="19"/>
  <c r="I1418" i="19"/>
  <c r="F1418" i="19"/>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I1414" i="19"/>
  <c r="F1414" i="19"/>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I1398" i="19"/>
  <c r="F1398" i="19"/>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I1394" i="19"/>
  <c r="F1394" i="19"/>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I1388" i="19"/>
  <c r="F1388" i="19"/>
  <c r="E1388" i="19"/>
  <c r="D1388" i="19"/>
  <c r="C1388" i="19"/>
  <c r="B1388" i="19"/>
  <c r="E1387" i="19"/>
  <c r="F1387" i="19" s="1"/>
  <c r="I1387" i="19" s="1"/>
  <c r="D1387" i="19"/>
  <c r="C1387" i="19"/>
  <c r="B1387" i="19"/>
  <c r="I1386" i="19"/>
  <c r="F1386" i="19"/>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I1382" i="19"/>
  <c r="F1382" i="19"/>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I1378" i="19"/>
  <c r="F1378" i="19"/>
  <c r="E1378" i="19"/>
  <c r="D1378" i="19"/>
  <c r="C1378" i="19"/>
  <c r="B1378" i="19"/>
  <c r="E1377" i="19"/>
  <c r="F1377" i="19" s="1"/>
  <c r="I1377" i="19" s="1"/>
  <c r="D1377" i="19"/>
  <c r="C1377" i="19"/>
  <c r="B1377" i="19"/>
  <c r="I1376" i="19"/>
  <c r="F1376" i="19"/>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I1370" i="19"/>
  <c r="F1370" i="19"/>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I1366" i="19"/>
  <c r="F1366" i="19"/>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I1352" i="19"/>
  <c r="F1352" i="19"/>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I1342" i="19"/>
  <c r="F1342" i="19"/>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I1326" i="19"/>
  <c r="F1326" i="19"/>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I1322" i="19"/>
  <c r="F1322" i="19"/>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I1316" i="19"/>
  <c r="F1316" i="19"/>
  <c r="E1316" i="19"/>
  <c r="D1316" i="19"/>
  <c r="C1316" i="19"/>
  <c r="B1316" i="19"/>
  <c r="E1315" i="19"/>
  <c r="F1315" i="19" s="1"/>
  <c r="I1315" i="19" s="1"/>
  <c r="D1315" i="19"/>
  <c r="C1315" i="19"/>
  <c r="B1315" i="19"/>
  <c r="I1314" i="19"/>
  <c r="F1314" i="19"/>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I1310" i="19"/>
  <c r="F1310" i="19"/>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I1306" i="19"/>
  <c r="F1306" i="19"/>
  <c r="E1306" i="19"/>
  <c r="D1306" i="19"/>
  <c r="C1306" i="19"/>
  <c r="B1306" i="19"/>
  <c r="E1305" i="19"/>
  <c r="F1305" i="19" s="1"/>
  <c r="I1305" i="19" s="1"/>
  <c r="D1305" i="19"/>
  <c r="C1305" i="19"/>
  <c r="B1305" i="19"/>
  <c r="I1304" i="19"/>
  <c r="F1304" i="19"/>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I1298" i="19"/>
  <c r="F1298" i="19"/>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I1294" i="19"/>
  <c r="F1294" i="19"/>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I1280" i="19"/>
  <c r="E1280" i="19"/>
  <c r="F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I1270" i="19"/>
  <c r="E1270" i="19"/>
  <c r="F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I1266" i="19"/>
  <c r="E1266" i="19"/>
  <c r="F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I1262" i="19"/>
  <c r="E1262" i="19"/>
  <c r="F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I1196" i="19"/>
  <c r="E1196" i="19"/>
  <c r="F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I1168" i="19"/>
  <c r="E1168" i="19"/>
  <c r="F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I1138" i="19"/>
  <c r="F1138" i="19"/>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I1128" i="19"/>
  <c r="E1128" i="19"/>
  <c r="F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I1096" i="19"/>
  <c r="E1096" i="19"/>
  <c r="F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I1069" i="19"/>
  <c r="F1069" i="19"/>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I1029" i="19"/>
  <c r="E1029" i="19"/>
  <c r="F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I1021" i="19"/>
  <c r="F1021" i="19"/>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I863" i="19"/>
  <c r="E863" i="19"/>
  <c r="F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I859" i="19"/>
  <c r="E859" i="19"/>
  <c r="F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I855" i="19"/>
  <c r="E855" i="19"/>
  <c r="F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I851" i="19"/>
  <c r="E851" i="19"/>
  <c r="F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I823" i="19"/>
  <c r="E823" i="19"/>
  <c r="F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I815" i="19"/>
  <c r="E815" i="19"/>
  <c r="F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I811" i="19"/>
  <c r="E811" i="19"/>
  <c r="F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I803" i="19"/>
  <c r="E803" i="19"/>
  <c r="F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I779" i="19"/>
  <c r="E779" i="19"/>
  <c r="F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I771" i="19"/>
  <c r="E771" i="19"/>
  <c r="F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I747" i="19"/>
  <c r="E747" i="19"/>
  <c r="F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I739" i="19"/>
  <c r="E739" i="19"/>
  <c r="F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I533" i="19"/>
  <c r="E533" i="19"/>
  <c r="F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I513" i="19"/>
  <c r="F513" i="19"/>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I490" i="19"/>
  <c r="F490" i="19"/>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I478" i="19"/>
  <c r="F478" i="19"/>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I466" i="19"/>
  <c r="F466" i="19"/>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I454" i="19"/>
  <c r="F454" i="19"/>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I430" i="19"/>
  <c r="F430" i="19"/>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I358" i="19"/>
  <c r="F358" i="19"/>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I346" i="19"/>
  <c r="F346" i="19"/>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I334" i="19"/>
  <c r="F334" i="19"/>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I322" i="19"/>
  <c r="F322" i="19"/>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I310" i="19"/>
  <c r="F310" i="19"/>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I286" i="19"/>
  <c r="F286" i="19"/>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I202" i="19"/>
  <c r="F202" i="19"/>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I190" i="19"/>
  <c r="F190" i="19"/>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I178" i="19"/>
  <c r="F178" i="19"/>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I166" i="19"/>
  <c r="F166" i="19"/>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I158" i="19"/>
  <c r="F158" i="19"/>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I154" i="19"/>
  <c r="F154" i="19"/>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I148" i="19"/>
  <c r="F148" i="19"/>
  <c r="E148" i="19"/>
  <c r="D148" i="19"/>
  <c r="C148" i="19"/>
  <c r="B148" i="19"/>
  <c r="E147" i="19"/>
  <c r="F147" i="19" s="1"/>
  <c r="I147" i="19" s="1"/>
  <c r="D147" i="19"/>
  <c r="C147" i="19"/>
  <c r="B147" i="19"/>
  <c r="I146" i="19"/>
  <c r="F146" i="19"/>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I135" i="19"/>
  <c r="E135" i="19"/>
  <c r="F135" i="19" s="1"/>
  <c r="D135" i="19"/>
  <c r="C135" i="19"/>
  <c r="B135" i="19"/>
  <c r="I134" i="19"/>
  <c r="F134" i="19"/>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I124" i="19"/>
  <c r="F124" i="19"/>
  <c r="E124" i="19"/>
  <c r="D124" i="19"/>
  <c r="C124" i="19"/>
  <c r="B124" i="19"/>
  <c r="E123" i="19"/>
  <c r="F123" i="19" s="1"/>
  <c r="I123" i="19" s="1"/>
  <c r="D123" i="19"/>
  <c r="C123" i="19"/>
  <c r="B123" i="19"/>
  <c r="I122" i="19"/>
  <c r="F122" i="19"/>
  <c r="E122" i="19"/>
  <c r="D122" i="19"/>
  <c r="C122" i="19"/>
  <c r="B122" i="19"/>
  <c r="I121" i="19"/>
  <c r="E121" i="19"/>
  <c r="F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I111" i="19"/>
  <c r="E111" i="19"/>
  <c r="F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I97" i="19"/>
  <c r="E97" i="19"/>
  <c r="F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I74" i="19"/>
  <c r="F74" i="19"/>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I69" i="19"/>
  <c r="E69" i="19"/>
  <c r="F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I50" i="19"/>
  <c r="F50" i="19"/>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I45" i="19"/>
  <c r="E45" i="19"/>
  <c r="F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I37" i="19"/>
  <c r="E37" i="19"/>
  <c r="F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I25" i="19"/>
  <c r="E25" i="19"/>
  <c r="F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I15" i="19"/>
  <c r="E15" i="19"/>
  <c r="F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V457" i="18" l="1"/>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2" i="17"/>
  <c r="J9" i="15"/>
  <c r="J10" i="15"/>
  <c r="J11" i="15"/>
  <c r="J12" i="15"/>
  <c r="J13" i="15"/>
  <c r="J14" i="15"/>
  <c r="J15" i="15"/>
  <c r="J16" i="15"/>
  <c r="J17" i="15"/>
  <c r="J3" i="15"/>
  <c r="J4" i="15"/>
  <c r="J5" i="15"/>
  <c r="J6" i="15"/>
  <c r="J7" i="15"/>
  <c r="J8" i="15"/>
  <c r="J2" i="15"/>
  <c r="I3" i="2"/>
  <c r="I4" i="2"/>
  <c r="I5" i="2"/>
  <c r="I6" i="2"/>
  <c r="I7" i="2"/>
  <c r="I8" i="2"/>
  <c r="I2"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H4" i="15"/>
  <c r="L4" i="15"/>
  <c r="H5" i="15"/>
  <c r="L5" i="15"/>
  <c r="H6" i="15"/>
  <c r="L6" i="15"/>
  <c r="H7" i="15"/>
  <c r="L7" i="15"/>
  <c r="H8" i="15"/>
  <c r="L8" i="15"/>
  <c r="H9" i="15"/>
  <c r="L9" i="15"/>
  <c r="H10" i="15"/>
  <c r="L10" i="15"/>
  <c r="H11" i="15"/>
  <c r="L11" i="15"/>
  <c r="H12" i="15"/>
  <c r="L12" i="15"/>
  <c r="H13" i="15"/>
  <c r="L13" i="15"/>
  <c r="H14" i="15"/>
  <c r="L14" i="15"/>
  <c r="H15" i="15"/>
  <c r="L15" i="15"/>
  <c r="H16" i="15"/>
  <c r="L16" i="15"/>
  <c r="H17" i="15"/>
  <c r="L17" i="15"/>
  <c r="E3" i="16"/>
  <c r="E7" i="16"/>
  <c r="E8" i="16"/>
  <c r="H3" i="15"/>
  <c r="H2" i="15"/>
  <c r="E4" i="16"/>
  <c r="E5" i="16"/>
  <c r="E6" i="16"/>
  <c r="E9" i="16"/>
  <c r="E10" i="16"/>
  <c r="E11" i="16"/>
  <c r="E2" i="16"/>
  <c r="F3" i="15"/>
  <c r="F4" i="15"/>
  <c r="F5" i="15"/>
  <c r="F6" i="15"/>
  <c r="F7" i="15"/>
  <c r="F8" i="15"/>
  <c r="F2" i="15"/>
  <c r="L3" i="15"/>
  <c r="L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8" i="2"/>
  <c r="K7" i="2"/>
  <c r="K6" i="2"/>
  <c r="K5" i="2"/>
  <c r="K4" i="2"/>
  <c r="K3" i="2"/>
  <c r="K2" i="2"/>
  <c r="E3" i="2"/>
  <c r="G3" i="2"/>
  <c r="E4" i="2"/>
  <c r="G4" i="2"/>
  <c r="E5" i="2"/>
  <c r="G5" i="2"/>
  <c r="E6" i="2"/>
  <c r="G6" i="2"/>
  <c r="E7" i="2"/>
  <c r="G7" i="2"/>
  <c r="E8" i="2"/>
  <c r="G8" i="2"/>
  <c r="G2" i="2"/>
  <c r="E2" i="2"/>
</calcChain>
</file>

<file path=xl/sharedStrings.xml><?xml version="1.0" encoding="utf-8"?>
<sst xmlns="http://schemas.openxmlformats.org/spreadsheetml/2006/main" count="18204" uniqueCount="7458">
  <si>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</si>
  <si>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</si>
  <si>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</si>
  <si>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</si>
  <si>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</si>
  <si>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</si>
  <si>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</si>
  <si>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</si>
  <si>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</si>
  <si>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</si>
  <si>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</si>
  <si>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</si>
  <si>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</si>
  <si>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</si>
  <si>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</si>
  <si>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</si>
  <si>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</si>
  <si>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</si>
  <si>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</si>
  <si>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</si>
  <si>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</si>
  <si>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</si>
  <si>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</si>
  <si>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</si>
  <si>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</si>
  <si>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</si>
  <si>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</si>
  <si>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</si>
  <si>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</si>
  <si>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</si>
  <si>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</si>
  <si>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</si>
  <si>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</si>
  <si>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</si>
  <si>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</si>
  <si>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</si>
  <si>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</si>
  <si>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</si>
  <si>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</si>
  <si>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</si>
  <si>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</si>
  <si>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</si>
  <si>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</si>
  <si>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</si>
  <si>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</si>
  <si>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</si>
  <si>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</si>
  <si>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</si>
  <si>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</si>
  <si>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</si>
  <si>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</si>
  <si>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</si>
  <si>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</si>
  <si>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</si>
  <si>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</si>
  <si>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</si>
  <si>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</si>
  <si>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</si>
  <si>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</si>
  <si>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</si>
  <si>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</si>
  <si>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</si>
  <si>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</si>
  <si>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</si>
  <si>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</si>
  <si>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</si>
  <si>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</si>
  <si>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</si>
  <si>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</si>
  <si>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</si>
  <si>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</si>
  <si>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</si>
  <si>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</si>
  <si>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</si>
  <si>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</si>
  <si>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</si>
  <si>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</si>
  <si>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</si>
  <si>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</si>
  <si>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</si>
  <si>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</si>
  <si>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</si>
  <si>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</si>
  <si>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</si>
  <si>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</si>
  <si>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</si>
  <si>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</si>
  <si>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</si>
  <si>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</si>
  <si>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</si>
  <si>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</si>
  <si>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</si>
  <si>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</si>
  <si>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</si>
  <si>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</si>
  <si>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</si>
  <si>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</si>
  <si>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</si>
  <si>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</si>
  <si>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</si>
  <si>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</si>
  <si>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</si>
  <si>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</si>
  <si>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</si>
  <si>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</si>
  <si>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</si>
  <si>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</si>
  <si>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</si>
  <si>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</si>
  <si>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</si>
  <si>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</si>
  <si>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</si>
  <si>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</si>
  <si>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</si>
  <si>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</si>
  <si>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</si>
  <si>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</si>
  <si>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</si>
  <si>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</si>
  <si>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</si>
  <si>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</si>
  <si>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</si>
  <si>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</si>
  <si>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</si>
  <si>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</si>
  <si>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</si>
  <si>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</si>
  <si>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</si>
  <si>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</si>
  <si>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</si>
  <si>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</si>
  <si>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</si>
  <si>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</si>
  <si>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</si>
  <si>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</si>
  <si>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</si>
  <si>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</si>
  <si>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</si>
  <si>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</si>
  <si>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</si>
  <si>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</si>
  <si>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</si>
  <si>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</si>
  <si>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</si>
  <si>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</si>
  <si>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</si>
  <si>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</si>
  <si>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</si>
  <si>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</si>
  <si>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</si>
  <si>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</si>
  <si>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</si>
  <si>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</si>
  <si>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</si>
  <si>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</si>
  <si>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</si>
  <si>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</si>
  <si>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</si>
  <si>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</si>
  <si>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</si>
  <si>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</si>
  <si>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</si>
  <si>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</si>
  <si>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</si>
  <si>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</si>
  <si>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</si>
  <si>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</si>
  <si>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</si>
  <si>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</si>
  <si>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</si>
  <si>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</si>
  <si>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</si>
  <si>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</si>
  <si>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</si>
  <si>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</si>
  <si>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</si>
  <si>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</si>
  <si>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</si>
  <si>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</si>
  <si>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</si>
  <si>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</si>
  <si>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</si>
  <si>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</si>
  <si>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</si>
  <si>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</si>
  <si>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</si>
  <si>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</si>
  <si>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</si>
  <si>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</si>
  <si>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</si>
  <si>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</si>
  <si>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</si>
  <si>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</si>
  <si>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</si>
  <si>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</si>
  <si>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</si>
  <si>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</si>
  <si>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</si>
  <si>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</si>
  <si>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</si>
  <si>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</si>
  <si>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</si>
  <si>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</si>
  <si>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</si>
  <si>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</si>
  <si>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</si>
  <si>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</si>
  <si>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</si>
  <si>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</si>
  <si>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</si>
  <si>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</si>
  <si>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</si>
  <si>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</si>
  <si>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</si>
  <si>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</si>
  <si>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</si>
  <si>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</si>
  <si>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</si>
  <si>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</si>
  <si>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</si>
  <si>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</si>
  <si>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</si>
  <si>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</si>
  <si>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</si>
  <si>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</si>
  <si>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</si>
  <si>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</si>
  <si>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</si>
  <si>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</si>
  <si>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</si>
  <si>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</si>
  <si>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</si>
  <si>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</si>
  <si>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</si>
  <si>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</si>
  <si>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</si>
  <si>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</si>
  <si>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</si>
  <si>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</si>
  <si>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</si>
  <si>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</si>
  <si>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</si>
  <si>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</si>
  <si>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</si>
  <si>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</si>
  <si>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</si>
  <si>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</si>
  <si>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</si>
  <si>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</si>
  <si>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</si>
  <si>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</si>
  <si>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</si>
  <si>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</si>
  <si>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</si>
  <si>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</si>
  <si>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</si>
  <si>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</si>
  <si>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</si>
  <si>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</si>
  <si>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</si>
  <si>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</si>
  <si>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</si>
  <si>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</si>
  <si>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</si>
  <si>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</si>
  <si>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</si>
  <si>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</si>
  <si>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</si>
  <si>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</si>
  <si>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</si>
  <si>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</si>
  <si>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</si>
  <si>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</si>
  <si>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</si>
  <si>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</si>
  <si>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</si>
  <si>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</si>
  <si>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</si>
  <si>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</si>
  <si>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</si>
  <si>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</si>
  <si>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</si>
  <si>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</si>
  <si>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</si>
  <si>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</si>
  <si>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</si>
  <si>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</si>
  <si>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</si>
  <si>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</si>
  <si>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</si>
  <si>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</si>
  <si>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</si>
  <si>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</si>
  <si>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</si>
  <si>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</si>
  <si>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</si>
  <si>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</si>
  <si>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</si>
  <si>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</si>
  <si>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</si>
  <si>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</si>
  <si>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</si>
  <si>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</si>
  <si>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</si>
  <si>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</si>
  <si>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</si>
  <si>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</si>
  <si>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</si>
  <si>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</si>
  <si>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</si>
  <si>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</si>
  <si>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</si>
  <si>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</si>
  <si>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</si>
  <si>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</si>
  <si>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</si>
  <si>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</si>
  <si>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</si>
  <si>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</si>
  <si>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</si>
  <si>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</si>
  <si>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</si>
  <si>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</si>
  <si>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</si>
  <si>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</si>
  <si>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</si>
  <si>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</si>
  <si>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</si>
  <si>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</si>
  <si>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</si>
  <si>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</si>
  <si>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</si>
  <si>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</si>
  <si>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</si>
  <si>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</si>
  <si>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</si>
  <si>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</si>
  <si>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</si>
  <si>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</si>
  <si>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</si>
  <si>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</si>
  <si>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</si>
  <si>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</si>
  <si>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</si>
  <si>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</si>
  <si>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</si>
  <si>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</si>
  <si>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</si>
  <si>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</si>
  <si>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</si>
  <si>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</si>
  <si>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</si>
  <si>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</si>
  <si>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</si>
  <si>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</si>
  <si>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</si>
  <si>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</si>
  <si>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</si>
  <si>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</si>
  <si>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</si>
  <si>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</si>
  <si>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</si>
  <si>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</si>
  <si>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</si>
  <si>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</si>
  <si>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</si>
  <si>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</si>
  <si>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</si>
  <si>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</si>
  <si>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</si>
  <si>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</si>
  <si>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</si>
  <si>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</si>
  <si>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</si>
  <si>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</si>
  <si>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</si>
  <si>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</si>
  <si>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</si>
  <si>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</si>
  <si>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</si>
  <si>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</si>
  <si>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</si>
  <si>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</si>
  <si>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</si>
  <si>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</si>
  <si>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</si>
  <si>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</si>
  <si>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</si>
  <si>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</si>
  <si>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</si>
  <si>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</si>
  <si>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</si>
  <si>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</si>
  <si>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</si>
  <si>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</si>
  <si>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</si>
  <si>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</si>
  <si>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</si>
  <si>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</si>
  <si>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</si>
  <si>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</si>
  <si>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</si>
  <si>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</si>
  <si>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</si>
  <si>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</si>
  <si>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</si>
  <si>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</si>
  <si>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</si>
  <si>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</si>
  <si>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</si>
  <si>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</si>
  <si>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</si>
  <si>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</si>
  <si>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</si>
  <si>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</si>
  <si>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</si>
  <si>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</si>
  <si>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</si>
  <si>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</si>
  <si>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</si>
  <si>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</si>
  <si>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</si>
  <si>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</si>
  <si>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</si>
  <si>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</si>
  <si>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</si>
  <si>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</si>
  <si>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</si>
  <si>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</si>
  <si>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</si>
  <si>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</si>
  <si>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</si>
  <si>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</si>
  <si>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</si>
  <si>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</si>
  <si>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</si>
  <si>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</si>
  <si>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</si>
  <si>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</si>
  <si>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</si>
  <si>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</si>
  <si>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</si>
  <si>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</si>
  <si>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</si>
  <si>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</si>
  <si>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</si>
  <si>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</si>
  <si>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</si>
  <si>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</si>
  <si>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</si>
  <si>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</si>
  <si>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</si>
  <si>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</si>
  <si>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</si>
  <si>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</si>
  <si>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</si>
  <si>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</si>
  <si>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</si>
  <si>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</si>
  <si>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</si>
  <si>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</si>
  <si>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</si>
  <si>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</si>
  <si>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</si>
  <si>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</si>
  <si>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</si>
  <si>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</si>
  <si>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</si>
  <si>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</si>
  <si>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</si>
  <si>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</si>
  <si>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</si>
  <si>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</si>
  <si>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</si>
  <si>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</si>
  <si>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</si>
  <si>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</si>
  <si>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</si>
  <si>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</si>
  <si>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</si>
  <si>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</si>
  <si>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</si>
  <si>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</si>
  <si>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</si>
  <si>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</si>
  <si>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</si>
  <si>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</si>
  <si>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</si>
  <si>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</si>
  <si>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</si>
  <si>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</si>
  <si>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</si>
  <si>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</si>
  <si>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</si>
  <si>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</si>
  <si>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</si>
  <si>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</si>
  <si>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</si>
  <si>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</si>
  <si>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</si>
  <si>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</si>
  <si>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</si>
  <si>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</si>
  <si>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</si>
  <si>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</si>
  <si>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</si>
  <si>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</si>
  <si>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</si>
  <si>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</si>
  <si>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</si>
  <si>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</si>
  <si>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</si>
  <si>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</si>
  <si>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</si>
  <si>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</si>
  <si>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</si>
  <si>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</si>
  <si>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</si>
  <si>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</si>
  <si>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</si>
  <si>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</si>
  <si>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</si>
  <si>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</si>
  <si>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</si>
  <si>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</si>
  <si>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</si>
  <si>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</si>
  <si>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</si>
  <si>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</si>
  <si>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</si>
  <si>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</si>
  <si>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</si>
  <si>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</si>
  <si>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</si>
  <si>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</si>
  <si>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</si>
  <si>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</si>
  <si>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</si>
  <si>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</si>
  <si>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</si>
  <si>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</si>
  <si>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</si>
  <si>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</si>
  <si>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</si>
  <si>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</si>
  <si>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</si>
  <si>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</si>
  <si>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</si>
  <si>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</si>
  <si>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</si>
  <si>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</si>
  <si>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</si>
  <si>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</si>
  <si>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</si>
  <si>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</si>
  <si>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</si>
  <si>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</si>
  <si>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</si>
  <si>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</si>
  <si>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</si>
  <si>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</si>
  <si>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</si>
  <si>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</si>
  <si>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</si>
  <si>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</si>
  <si>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</si>
  <si>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</si>
  <si>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</si>
  <si>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</si>
  <si>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</si>
  <si>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</si>
  <si>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</si>
  <si>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</si>
  <si>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</si>
  <si>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</si>
  <si>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</si>
  <si>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</si>
  <si>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</si>
  <si>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</si>
  <si>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</si>
  <si>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</si>
  <si>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</si>
  <si>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</si>
  <si>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</si>
  <si>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</si>
  <si>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</si>
  <si>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</si>
  <si>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</si>
  <si>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</si>
  <si>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</si>
  <si>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</si>
  <si>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</si>
  <si>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</si>
  <si>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</si>
  <si>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</si>
  <si>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</si>
  <si>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</si>
  <si>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</si>
  <si>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</si>
  <si>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</si>
  <si>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</si>
  <si>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</si>
  <si>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</si>
  <si>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</si>
  <si>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</si>
  <si>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</si>
  <si>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</si>
  <si>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</si>
  <si>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</si>
  <si>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</si>
  <si>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</si>
  <si>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</si>
  <si>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</si>
  <si>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</si>
  <si>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</si>
  <si>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</si>
  <si>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</si>
  <si>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</si>
  <si>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</si>
  <si>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</si>
  <si>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</si>
  <si>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</si>
  <si>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</si>
  <si>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</si>
  <si>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</si>
  <si>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</si>
  <si>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</si>
  <si>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</si>
  <si>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</si>
  <si>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</si>
  <si>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</si>
  <si>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</si>
  <si>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</si>
  <si>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</si>
  <si>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</si>
  <si>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</si>
  <si>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</si>
  <si>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</si>
  <si>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</si>
  <si>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</si>
  <si>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</si>
  <si>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</si>
  <si>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</si>
  <si>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</si>
  <si>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</si>
  <si>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</si>
  <si>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</si>
  <si>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</si>
  <si>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</si>
  <si>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</si>
  <si>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</si>
  <si>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</si>
  <si>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</si>
  <si>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</si>
  <si>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</si>
  <si>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</si>
  <si>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</si>
  <si>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</si>
  <si>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</si>
  <si>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</si>
  <si>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</si>
  <si>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</si>
  <si>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</si>
  <si>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</si>
  <si>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</si>
  <si>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</si>
  <si>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</si>
  <si>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</si>
  <si>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</si>
  <si>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</si>
  <si>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</si>
  <si>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</si>
  <si>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</si>
  <si>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</si>
  <si>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</si>
  <si>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</si>
  <si>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</si>
  <si>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</si>
  <si>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</si>
  <si>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</si>
  <si>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</si>
  <si>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</si>
  <si>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</si>
  <si>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</si>
  <si>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</si>
  <si>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</si>
  <si>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</si>
  <si>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</si>
  <si>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</si>
  <si>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</si>
  <si>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</si>
  <si>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</si>
  <si>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</si>
  <si>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</si>
  <si>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</si>
  <si>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</si>
  <si>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</si>
  <si>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</si>
  <si>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</si>
  <si>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</si>
  <si>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</si>
  <si>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</si>
  <si>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</si>
  <si>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</si>
  <si>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</si>
  <si>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</si>
  <si>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</si>
  <si>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</si>
  <si>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</si>
  <si>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</si>
  <si>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</si>
  <si>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</si>
  <si>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</si>
  <si>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</si>
  <si>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</si>
  <si>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</si>
  <si>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</si>
  <si>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</si>
  <si>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</si>
  <si>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</si>
  <si>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</si>
  <si>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</si>
  <si>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</si>
  <si>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</si>
  <si>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</si>
  <si>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</si>
  <si>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</si>
  <si>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</si>
  <si>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</si>
  <si>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</si>
  <si>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</si>
  <si>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</si>
  <si>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</si>
  <si>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</si>
  <si>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</si>
  <si>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</si>
  <si>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</si>
  <si>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</si>
  <si>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</si>
  <si>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</si>
  <si>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</si>
  <si>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</si>
  <si>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</si>
  <si>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</si>
  <si>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</si>
  <si>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</si>
  <si>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</si>
  <si>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</si>
  <si>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</si>
  <si>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</si>
  <si>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</si>
  <si>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</si>
  <si>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</si>
  <si>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</si>
  <si>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</si>
  <si>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</si>
  <si>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</si>
  <si>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</si>
  <si>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</si>
  <si>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</si>
  <si>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</si>
  <si>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</si>
  <si>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</si>
  <si>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</si>
  <si>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</si>
  <si>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</si>
  <si>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</si>
  <si>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</si>
  <si>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</si>
  <si>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</si>
  <si>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</si>
  <si>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</si>
  <si>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</si>
  <si>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</si>
  <si>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</si>
  <si>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</si>
  <si>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</si>
  <si>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</si>
  <si>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</si>
  <si>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</si>
  <si>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</si>
  <si>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</si>
  <si>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</si>
  <si>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</si>
  <si>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</si>
  <si>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</si>
  <si>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</si>
  <si>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</si>
  <si>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</si>
  <si>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</si>
  <si>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</si>
  <si>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</si>
  <si>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</si>
  <si>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</si>
  <si>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</si>
  <si>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</si>
  <si>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</si>
  <si>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</si>
  <si>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</si>
  <si>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</si>
  <si>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</si>
  <si>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</si>
  <si>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</si>
  <si>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</si>
  <si>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</si>
  <si>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</si>
  <si>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</si>
  <si>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</si>
  <si>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</si>
  <si>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</si>
  <si>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</si>
  <si>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</si>
  <si>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</si>
  <si>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</si>
  <si>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</si>
  <si>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</si>
  <si>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</si>
  <si>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</si>
  <si>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</si>
  <si>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</si>
  <si>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</si>
  <si>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</si>
  <si>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</si>
  <si>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</si>
  <si>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</si>
  <si>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</si>
  <si>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</si>
  <si>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</si>
  <si>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</si>
  <si>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</si>
  <si>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</si>
  <si>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</si>
  <si>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</si>
  <si>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</si>
  <si>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</si>
  <si>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</si>
  <si>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</si>
  <si>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</si>
  <si>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</si>
  <si>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</si>
  <si>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</si>
  <si>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</si>
  <si>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</si>
  <si>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</si>
  <si>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</si>
  <si>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</si>
  <si>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</si>
  <si>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</si>
  <si>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</si>
  <si>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</si>
  <si>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</si>
  <si>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</si>
  <si>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</si>
  <si>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</si>
  <si>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</si>
  <si>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</si>
  <si>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</si>
  <si>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</si>
  <si>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</si>
  <si>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</si>
  <si>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</si>
  <si>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</si>
  <si>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</si>
  <si>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</si>
  <si>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</si>
  <si>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</si>
  <si>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</si>
  <si>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</si>
  <si>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</si>
  <si>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</si>
  <si>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</si>
  <si>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</si>
  <si>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</si>
  <si>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</si>
  <si>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</si>
  <si>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</si>
  <si>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</si>
  <si>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</si>
  <si>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</si>
  <si>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</si>
  <si>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</si>
  <si>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</si>
  <si>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</si>
  <si>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</si>
  <si>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</si>
  <si>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</si>
  <si>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</si>
  <si>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</si>
  <si>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</si>
  <si>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</si>
  <si>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</si>
  <si>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</si>
  <si>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</si>
  <si>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</si>
  <si>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</si>
  <si>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</si>
  <si>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</si>
  <si>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</si>
  <si>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</si>
  <si>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</si>
  <si>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</si>
  <si>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</si>
  <si>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</si>
  <si>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</si>
  <si>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</si>
  <si>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</si>
  <si>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</si>
  <si>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</si>
  <si>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</si>
  <si>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</si>
  <si>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</si>
  <si>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</si>
  <si>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</si>
  <si>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</si>
  <si>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</si>
  <si>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</si>
  <si>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</si>
  <si>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</si>
  <si>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</si>
  <si>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</si>
  <si>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</si>
  <si>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</si>
  <si>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</si>
  <si>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</si>
  <si>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</si>
  <si>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</si>
  <si>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</si>
  <si>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</si>
  <si>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</si>
  <si>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</si>
  <si>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</si>
  <si>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</si>
  <si>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</si>
  <si>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</si>
  <si>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</si>
  <si>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</si>
  <si>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</si>
  <si>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</si>
  <si>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</si>
  <si>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</si>
  <si>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</si>
  <si>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</si>
  <si>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</si>
  <si>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</si>
  <si>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</si>
  <si>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</si>
  <si>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</si>
  <si>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</si>
  <si>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</si>
  <si>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</si>
  <si>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</si>
  <si>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</si>
  <si>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</si>
  <si>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</si>
  <si>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</si>
  <si>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</si>
  <si>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</si>
  <si>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</si>
  <si>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</si>
  <si>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</si>
  <si>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</si>
  <si>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</si>
  <si>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</si>
  <si>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</si>
  <si>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</si>
  <si>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</si>
  <si>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</si>
  <si>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</si>
  <si>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</si>
  <si>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</si>
  <si>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</si>
  <si>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</si>
  <si>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</si>
  <si>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</si>
  <si>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</si>
  <si>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</si>
  <si>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</si>
  <si>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</si>
  <si>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</si>
  <si>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</si>
  <si>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</si>
  <si>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</si>
  <si>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</si>
  <si>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</si>
  <si>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</si>
  <si>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</si>
  <si>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</si>
  <si>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</si>
  <si>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</si>
  <si>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</si>
  <si>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</si>
  <si>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</si>
  <si>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</si>
  <si>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</si>
  <si>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</si>
  <si>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</si>
  <si>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</si>
  <si>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</si>
  <si>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</si>
  <si>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</si>
  <si>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</si>
  <si>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</si>
  <si>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</si>
  <si>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</si>
  <si>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</si>
  <si>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</si>
  <si>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</si>
  <si>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</si>
  <si>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</si>
  <si>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</si>
  <si>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</si>
  <si>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</si>
  <si>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</si>
  <si>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</si>
  <si>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</si>
  <si>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</si>
  <si>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</si>
  <si>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</si>
  <si>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</si>
  <si>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</si>
  <si>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</si>
  <si>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</si>
  <si>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</si>
  <si>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</si>
  <si>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</si>
  <si>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</si>
  <si>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</si>
  <si>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</si>
  <si>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</si>
  <si>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</si>
  <si>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</si>
  <si>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</si>
  <si>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</si>
  <si>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</si>
  <si>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</si>
  <si>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</si>
  <si>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</si>
  <si>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</si>
  <si>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</si>
  <si>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</si>
  <si>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</si>
  <si>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</si>
  <si>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</si>
  <si>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</si>
  <si>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</si>
  <si>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</si>
  <si>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</si>
  <si>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</si>
  <si>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</si>
  <si>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</si>
  <si>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</si>
  <si>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</si>
  <si>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</si>
  <si>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</si>
  <si>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</si>
  <si>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</si>
  <si>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</si>
  <si>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</si>
  <si>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</si>
  <si>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</si>
  <si>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</si>
  <si>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</si>
  <si>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</si>
  <si>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</si>
  <si>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</si>
  <si>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</si>
  <si>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</si>
  <si>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</si>
  <si>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</si>
  <si>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</si>
  <si>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</si>
  <si>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</si>
  <si>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</si>
  <si>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</si>
  <si>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</si>
  <si>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</si>
  <si>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</si>
  <si>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</si>
  <si>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</si>
  <si>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</si>
  <si>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</si>
  <si>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</si>
  <si>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</si>
  <si>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</si>
  <si>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</si>
  <si>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</si>
  <si>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</si>
  <si>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</si>
  <si>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</si>
  <si>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</si>
  <si>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</si>
  <si>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</si>
  <si>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</si>
  <si>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</si>
  <si>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</si>
  <si>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</si>
  <si>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</si>
  <si>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</si>
  <si>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</si>
  <si>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</si>
  <si>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</si>
  <si>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</si>
  <si>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</si>
  <si>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</si>
  <si>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</si>
  <si>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</si>
  <si>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</si>
  <si>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</si>
  <si>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</si>
  <si>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</si>
  <si>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</si>
  <si>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</si>
  <si>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</si>
  <si>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</si>
  <si>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</si>
  <si>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</si>
  <si>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</si>
  <si>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</si>
  <si>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</si>
  <si>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</si>
  <si>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</si>
  <si>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</si>
  <si>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</si>
  <si>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</si>
  <si>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</si>
  <si>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</si>
  <si>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</si>
  <si>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</si>
  <si>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</si>
  <si>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</si>
  <si>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</si>
  <si>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</si>
  <si>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</si>
  <si>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</si>
  <si>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</si>
  <si>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</si>
  <si>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</si>
  <si>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</si>
  <si>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</si>
  <si>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</si>
  <si>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</si>
  <si>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</si>
  <si>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</si>
  <si>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</si>
  <si>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</si>
  <si>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</si>
  <si>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</si>
  <si>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</si>
  <si>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</si>
  <si>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</si>
  <si>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</si>
  <si>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</si>
  <si>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</si>
  <si>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</si>
  <si>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</si>
  <si>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</si>
  <si>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</si>
  <si>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</si>
  <si>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</si>
  <si>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</si>
  <si>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</si>
  <si>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</si>
  <si>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</si>
  <si>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</si>
  <si>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</si>
  <si>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</si>
  <si>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</si>
  <si>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</si>
  <si>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</si>
  <si>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</si>
  <si>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</si>
  <si>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</si>
  <si>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</si>
  <si>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</si>
  <si>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</si>
  <si>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</si>
  <si>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</si>
  <si>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</si>
  <si>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</si>
  <si>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</si>
  <si>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</si>
  <si>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</si>
  <si>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</si>
  <si>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</si>
  <si>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</si>
  <si>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</si>
  <si>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</si>
  <si>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</si>
  <si>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</si>
  <si>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</si>
  <si>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</si>
  <si>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</si>
  <si>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</si>
  <si>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</si>
  <si>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</si>
  <si>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</si>
  <si>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</si>
  <si>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</si>
  <si>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</si>
  <si>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</si>
  <si>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</si>
  <si>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</si>
  <si>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</si>
  <si>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</si>
  <si>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</si>
  <si>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</si>
  <si>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</si>
  <si>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</si>
  <si>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</si>
  <si>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</si>
  <si>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</si>
  <si>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</si>
  <si>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</si>
  <si>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</si>
  <si>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</si>
  <si>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</si>
  <si>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</si>
  <si>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</si>
  <si>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</si>
  <si>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</si>
  <si>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</si>
  <si>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</si>
  <si>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</si>
  <si>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</si>
  <si>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</si>
  <si>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</si>
  <si>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</si>
  <si>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</si>
  <si>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</si>
  <si>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</si>
  <si>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</si>
  <si>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</si>
  <si>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</si>
  <si>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</si>
  <si>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</si>
  <si>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</si>
  <si>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</si>
  <si>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</si>
  <si>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</si>
  <si>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</si>
  <si>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</si>
  <si>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</si>
  <si>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</si>
  <si>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</si>
  <si>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</si>
  <si>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</si>
  <si>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</si>
  <si>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</si>
  <si>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</si>
  <si>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</si>
  <si>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</si>
  <si>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</si>
  <si>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</si>
  <si>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</si>
  <si>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</si>
  <si>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</si>
  <si>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</si>
  <si>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</si>
  <si>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</si>
  <si>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</si>
  <si>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</si>
  <si>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</si>
  <si>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</si>
  <si>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</si>
  <si>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</si>
  <si>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</si>
  <si>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</si>
  <si>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</si>
  <si>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</si>
  <si>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</si>
  <si>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</si>
  <si>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</si>
  <si>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</si>
  <si>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</si>
  <si>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</si>
  <si>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</si>
  <si>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</si>
  <si>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</si>
  <si>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</si>
  <si>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</si>
  <si>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</si>
  <si>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</si>
  <si>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</si>
  <si>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</si>
  <si>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</si>
  <si>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</si>
  <si>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</si>
  <si>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</si>
  <si>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</si>
  <si>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</si>
  <si>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</si>
  <si>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</si>
  <si>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</si>
  <si>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</si>
  <si>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</si>
  <si>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</si>
  <si>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</si>
  <si>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</si>
  <si>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</si>
  <si>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</si>
  <si>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</si>
  <si>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</si>
  <si>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</si>
  <si>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</si>
  <si>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</si>
  <si>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</si>
  <si>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</si>
  <si>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</si>
  <si>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</si>
  <si>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</si>
  <si>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</si>
  <si>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</si>
  <si>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</si>
  <si>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</si>
  <si>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</si>
  <si>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</si>
  <si>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</si>
  <si>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</si>
  <si>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</si>
  <si>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</si>
  <si>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</si>
  <si>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</si>
  <si>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</si>
  <si>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</si>
  <si>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</si>
  <si>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</si>
  <si>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</si>
  <si>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</si>
  <si>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</si>
  <si>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</si>
  <si>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</si>
  <si>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</si>
  <si>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</si>
  <si>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</si>
  <si>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</si>
  <si>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</si>
  <si>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</si>
  <si>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</si>
  <si>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</si>
  <si>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</si>
  <si>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</si>
  <si>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</si>
  <si>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</si>
  <si>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</si>
  <si>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</si>
  <si>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</si>
  <si>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</si>
  <si>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</si>
  <si>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</si>
  <si>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</si>
  <si>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</si>
  <si>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</si>
  <si>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</si>
  <si>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</si>
  <si>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</si>
  <si>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</si>
  <si>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</si>
  <si>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</si>
  <si>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</si>
  <si>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</si>
  <si>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</si>
  <si>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</si>
  <si>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</si>
  <si>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</si>
  <si>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</si>
  <si>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</si>
  <si>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</si>
  <si>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</si>
  <si>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</si>
  <si>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</si>
  <si>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</si>
  <si>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</si>
  <si>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</si>
  <si>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</si>
  <si>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</si>
  <si>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</si>
  <si>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</si>
  <si>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</si>
  <si>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</si>
  <si>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</si>
  <si>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</si>
  <si>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</si>
  <si>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</si>
  <si>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</si>
  <si>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</si>
  <si>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</si>
  <si>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</si>
  <si>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</si>
  <si>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</si>
  <si>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</si>
  <si>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</si>
  <si>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</si>
  <si>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</si>
  <si>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</si>
  <si>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</si>
  <si>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</si>
  <si>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</si>
  <si>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</si>
  <si>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</si>
  <si>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</si>
  <si>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</si>
  <si>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</si>
  <si>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</si>
  <si>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</si>
  <si>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</si>
  <si>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</si>
  <si>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</si>
  <si>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</si>
  <si>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</si>
  <si>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</si>
  <si>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</si>
  <si>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</si>
  <si>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</si>
  <si>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</si>
  <si>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</si>
  <si>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</si>
  <si>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</si>
  <si>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</si>
  <si>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</si>
  <si>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</si>
  <si>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</si>
  <si>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</si>
  <si>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</si>
  <si>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</si>
  <si>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</si>
  <si>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</si>
  <si>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</si>
  <si>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</si>
  <si>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</si>
  <si>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</si>
  <si>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</si>
  <si>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</si>
  <si>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</si>
  <si>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</si>
  <si>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</si>
  <si>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</si>
  <si>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</si>
  <si>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</si>
  <si>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</si>
  <si>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</si>
  <si>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</si>
  <si>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</si>
  <si>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</si>
  <si>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</si>
  <si>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</si>
  <si>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</si>
  <si>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</si>
  <si>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</si>
  <si>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</si>
  <si>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</si>
  <si>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</si>
  <si>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</si>
  <si>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</si>
  <si>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</si>
  <si>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</si>
  <si>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</si>
  <si>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</si>
  <si>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</si>
  <si>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</si>
  <si>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</si>
  <si>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</si>
  <si>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</si>
  <si>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</si>
  <si>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</si>
  <si>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</si>
  <si>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</si>
  <si>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</si>
  <si>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</si>
  <si>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</si>
  <si>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</si>
  <si>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</si>
  <si>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</si>
  <si>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</si>
  <si>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</si>
  <si>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</si>
  <si>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</si>
  <si>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</si>
  <si>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</si>
  <si>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</si>
  <si>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</si>
  <si>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</si>
  <si>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</si>
  <si>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</si>
  <si>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</si>
  <si>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</si>
  <si>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</si>
  <si>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</si>
  <si>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</si>
  <si>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</si>
  <si>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</si>
  <si>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</si>
  <si>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</si>
  <si>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</si>
  <si>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</si>
  <si>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</si>
  <si>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</si>
  <si>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</si>
  <si>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</si>
  <si>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</si>
  <si>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</si>
  <si>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</si>
  <si>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</si>
  <si>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</si>
  <si>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</si>
  <si>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</si>
  <si>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</si>
  <si>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</si>
  <si>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</si>
  <si>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</si>
  <si>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</si>
  <si>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</si>
  <si>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</si>
  <si>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</si>
  <si>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</si>
  <si>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</si>
  <si>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</si>
  <si>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</si>
  <si>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</si>
  <si>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</si>
  <si>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</si>
  <si>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</si>
  <si>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</si>
  <si>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</si>
  <si>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</si>
  <si>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</si>
  <si>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</si>
  <si>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</si>
  <si>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</si>
  <si>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</si>
  <si>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</si>
  <si>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</si>
  <si>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</si>
  <si>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</si>
  <si>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</si>
  <si>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</si>
  <si>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</si>
  <si>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</si>
  <si>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</si>
  <si>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</si>
  <si>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</si>
  <si>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</si>
  <si>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</si>
  <si>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</si>
  <si>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</si>
  <si>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</si>
  <si>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</si>
  <si>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</si>
  <si>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</si>
  <si>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</si>
  <si>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</si>
  <si>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</si>
  <si>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</si>
  <si>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</si>
  <si>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</si>
  <si>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</si>
  <si>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</si>
  <si>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</si>
  <si>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</si>
  <si>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</si>
  <si>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</si>
  <si>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</si>
  <si>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</si>
  <si>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</si>
  <si>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</si>
  <si>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</si>
  <si>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</si>
  <si>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</si>
  <si>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</si>
  <si>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</si>
  <si>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</si>
  <si>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</si>
  <si>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</si>
  <si>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</si>
  <si>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</si>
  <si>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</si>
  <si>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</si>
  <si>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</si>
  <si>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</si>
  <si>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</si>
  <si>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</si>
  <si>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</si>
  <si>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</si>
  <si>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</si>
  <si>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</si>
  <si>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</si>
  <si>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</si>
  <si>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</si>
  <si>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</si>
  <si>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</si>
  <si>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</si>
  <si>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</si>
  <si>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</si>
  <si>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</si>
  <si>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</si>
  <si>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</si>
  <si>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</si>
  <si>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</si>
  <si>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</si>
  <si>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</si>
  <si>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</si>
  <si>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</si>
  <si>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</si>
  <si>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</si>
  <si>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</si>
  <si>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</si>
  <si>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</si>
  <si>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</si>
  <si>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</si>
  <si>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</si>
  <si>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</si>
  <si>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</si>
  <si>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</si>
  <si>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</si>
  <si>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</si>
  <si>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</si>
  <si>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</si>
  <si>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</si>
  <si>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</si>
  <si>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</si>
  <si>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</si>
  <si>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</si>
  <si>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</si>
  <si>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</si>
  <si>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</si>
  <si>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</si>
  <si>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</si>
  <si>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</si>
  <si>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</si>
  <si>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</si>
  <si>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</si>
  <si>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</si>
  <si>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</si>
  <si>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</si>
  <si>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</si>
  <si>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</si>
  <si>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</si>
  <si>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</si>
  <si>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</si>
  <si>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</si>
  <si>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</si>
  <si>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</si>
  <si>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</si>
  <si>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</si>
  <si>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</si>
  <si>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</si>
  <si>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</si>
  <si>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</si>
  <si>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</si>
  <si>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</si>
  <si>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</si>
  <si>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</si>
  <si>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</si>
  <si>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</si>
  <si>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</si>
  <si>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</si>
  <si>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</si>
  <si>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</si>
  <si>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</si>
  <si>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</si>
  <si>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</si>
  <si>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</si>
  <si>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</si>
  <si>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</si>
  <si>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</si>
  <si>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</si>
  <si>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</si>
  <si>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</si>
  <si>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</si>
  <si>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</si>
  <si>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</si>
  <si>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</si>
  <si>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</si>
  <si>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</si>
  <si>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</si>
  <si>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</si>
  <si>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</si>
  <si>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</si>
  <si>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</si>
  <si>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</si>
  <si>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</si>
  <si>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</si>
  <si>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</si>
  <si>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</si>
  <si>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</si>
  <si>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</si>
  <si>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</si>
  <si>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</si>
  <si>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</si>
  <si>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</si>
  <si>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</si>
  <si>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</si>
  <si>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</si>
  <si>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</si>
  <si>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</si>
  <si>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</si>
  <si>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</si>
  <si>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</si>
  <si>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</si>
  <si>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</si>
  <si>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</si>
  <si>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</si>
  <si>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</si>
  <si>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</si>
  <si>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</si>
  <si>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</si>
  <si>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</si>
  <si>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</si>
  <si>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</si>
  <si>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</si>
  <si>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</si>
  <si>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</si>
  <si>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</si>
  <si>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</si>
  <si>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</si>
  <si>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</si>
  <si>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</si>
  <si>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</si>
  <si>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</si>
  <si>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</si>
  <si>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</si>
  <si>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</si>
  <si>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</si>
  <si>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</si>
  <si>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</si>
  <si>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</si>
  <si>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</si>
  <si>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</si>
  <si>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</si>
  <si>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</si>
  <si>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</si>
  <si>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</si>
  <si>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</si>
  <si>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</si>
  <si>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</si>
  <si>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</si>
  <si>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</si>
  <si>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</si>
  <si>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</si>
  <si>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</si>
  <si>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</si>
  <si>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</si>
  <si>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</si>
  <si>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</si>
  <si>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</si>
  <si>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</si>
  <si>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</si>
  <si>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</si>
  <si>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</si>
  <si>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</si>
  <si>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</si>
  <si>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</si>
  <si>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</si>
  <si>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</si>
  <si>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</si>
  <si>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</si>
  <si>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</si>
  <si>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</si>
  <si>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</si>
  <si>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</si>
  <si>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</si>
  <si>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</si>
  <si>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</si>
  <si>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</si>
  <si>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</si>
  <si>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</si>
  <si>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</si>
  <si>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</si>
  <si>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</si>
  <si>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</si>
  <si>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</si>
  <si>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</si>
  <si>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</si>
  <si>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</si>
  <si>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</si>
  <si>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</si>
  <si>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</si>
  <si>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</si>
  <si>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</si>
  <si>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</si>
  <si>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</si>
  <si>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</si>
  <si>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</si>
  <si>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</si>
  <si>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</si>
  <si>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</si>
  <si>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</si>
  <si>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</si>
  <si>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</si>
  <si>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</si>
  <si>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</si>
  <si>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</si>
  <si>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</si>
  <si>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</si>
  <si>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</si>
  <si>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</si>
  <si>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</si>
  <si>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</si>
  <si>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</si>
  <si>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</si>
  <si>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</si>
  <si>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</si>
  <si>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</si>
  <si>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</si>
  <si>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</si>
  <si>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</si>
  <si>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</si>
  <si>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</si>
  <si>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</si>
  <si>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</si>
  <si>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</si>
  <si>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</si>
  <si>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</si>
  <si>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</si>
  <si>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</si>
  <si>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</si>
  <si>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</si>
  <si>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</si>
  <si>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</si>
  <si>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</si>
  <si>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</si>
  <si>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</si>
  <si>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</si>
  <si>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</si>
  <si>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</si>
  <si>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</si>
  <si>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</si>
  <si>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</si>
  <si>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</si>
  <si>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</si>
  <si>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</si>
  <si>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</si>
  <si>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</si>
  <si>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</si>
  <si>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</si>
  <si>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</si>
  <si>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</si>
  <si>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</si>
  <si>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</si>
  <si>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</si>
  <si>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</si>
  <si>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</si>
  <si>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</si>
  <si>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</si>
  <si>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</si>
  <si>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</si>
  <si>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</si>
  <si>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</si>
  <si>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</si>
  <si>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</si>
  <si>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</si>
  <si>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</si>
  <si>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</si>
  <si>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</si>
  <si>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</si>
  <si>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</si>
  <si>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</si>
  <si>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</si>
  <si>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</si>
  <si>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</si>
  <si>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</si>
  <si>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</si>
  <si>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</si>
  <si>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</si>
  <si>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</si>
  <si>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</si>
  <si>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</si>
  <si>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</si>
  <si>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</si>
  <si>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</si>
  <si>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</si>
  <si>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</si>
  <si>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</si>
  <si>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</si>
  <si>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</si>
  <si>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</si>
  <si>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</si>
  <si>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</si>
  <si>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</si>
  <si>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</si>
  <si>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</si>
  <si>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</si>
  <si>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</si>
  <si>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</si>
  <si>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</si>
  <si>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</si>
  <si>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</si>
  <si>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</si>
  <si>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</si>
  <si>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</si>
  <si>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</si>
  <si>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</si>
  <si>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</si>
  <si>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</si>
  <si>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</si>
  <si>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</si>
  <si>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</si>
  <si>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</si>
  <si>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</si>
  <si>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</si>
  <si>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</si>
  <si>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</si>
  <si>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</si>
  <si>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</si>
  <si>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</si>
  <si>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</si>
  <si>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</si>
  <si>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</si>
  <si>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</si>
  <si>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</si>
  <si>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</si>
  <si>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</si>
  <si>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</si>
  <si>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</si>
  <si>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</si>
  <si>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</si>
  <si>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</si>
  <si>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</si>
  <si>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</si>
  <si>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</si>
  <si>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</si>
  <si>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</si>
  <si>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</si>
  <si>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</si>
  <si>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</si>
  <si>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</si>
  <si>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</si>
  <si>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</si>
  <si>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</si>
  <si>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</si>
  <si>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</si>
  <si>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</si>
  <si>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</si>
  <si>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</si>
  <si>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</si>
  <si>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</si>
  <si>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</si>
  <si>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</si>
  <si>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</si>
  <si>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</si>
  <si>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</si>
  <si>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</si>
  <si>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</si>
  <si>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</si>
  <si>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</si>
  <si>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</si>
  <si>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</si>
  <si>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</si>
  <si>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</si>
  <si>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</si>
  <si>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</si>
  <si>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</si>
  <si>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</si>
  <si>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</si>
  <si>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</si>
  <si>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</si>
  <si>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</si>
  <si>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</si>
  <si>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</si>
  <si>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</si>
  <si>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</si>
  <si>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</si>
  <si>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</si>
  <si>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</si>
  <si>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</si>
  <si>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</si>
  <si>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</si>
  <si>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</si>
  <si>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</si>
  <si>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</si>
  <si>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</si>
  <si>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</si>
  <si>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</si>
  <si>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</si>
  <si>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</si>
  <si>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</si>
  <si>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</si>
  <si>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</si>
  <si>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</si>
  <si>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</si>
  <si>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</si>
  <si>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</si>
  <si>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</si>
  <si>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</si>
  <si>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</si>
  <si>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</si>
  <si>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</si>
  <si>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</si>
  <si>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</si>
  <si>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</si>
  <si>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</si>
  <si>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</si>
  <si>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</si>
  <si>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</si>
  <si>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</si>
  <si>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</si>
  <si>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</si>
  <si>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</si>
  <si>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</si>
  <si>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</si>
  <si>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</si>
  <si>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</si>
  <si>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</si>
  <si>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</si>
  <si>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</si>
  <si>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</si>
  <si>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</si>
  <si>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</si>
  <si>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</si>
  <si>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</si>
  <si>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</si>
  <si>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</si>
  <si>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</si>
  <si>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</si>
  <si>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</si>
  <si>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</si>
  <si>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</si>
  <si>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</si>
  <si>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</si>
  <si>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</si>
  <si>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</si>
  <si>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</si>
  <si>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</si>
  <si>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</si>
  <si>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</si>
  <si>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</si>
  <si>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</si>
  <si>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</si>
  <si>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</si>
  <si>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</si>
  <si>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</si>
  <si>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</si>
  <si>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</si>
  <si>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</si>
  <si>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</si>
  <si>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</si>
  <si>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</si>
  <si>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</si>
  <si>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</si>
  <si>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</si>
  <si>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</si>
  <si>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</si>
  <si>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</si>
  <si>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</si>
  <si>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</si>
  <si>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</si>
  <si>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</si>
  <si>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</si>
  <si>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</si>
  <si>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</si>
  <si>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</si>
  <si>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</si>
  <si>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</si>
  <si>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</si>
  <si>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</si>
  <si>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</si>
  <si>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</si>
  <si>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</si>
  <si>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</si>
  <si>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</si>
  <si>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</si>
  <si>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</si>
  <si>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</si>
  <si>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</si>
  <si>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</si>
  <si>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</si>
  <si>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</si>
  <si>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</si>
  <si>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</si>
  <si>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</si>
  <si>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</si>
  <si>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</si>
  <si>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</si>
  <si>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</si>
  <si>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</si>
  <si>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</si>
  <si>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</si>
  <si>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</si>
  <si>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</si>
  <si>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</si>
  <si>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</si>
  <si>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</si>
  <si>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</si>
  <si>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</si>
  <si>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</si>
  <si>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</si>
  <si>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</si>
  <si>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</si>
  <si>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</si>
  <si>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</si>
  <si>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</si>
  <si>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</si>
  <si>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</si>
  <si>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</si>
  <si>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</si>
  <si>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</si>
  <si>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</si>
  <si>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</si>
  <si>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</si>
  <si>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</si>
  <si>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</si>
  <si>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</si>
  <si>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</si>
  <si>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</si>
  <si>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</si>
  <si>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</si>
  <si>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</si>
  <si>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</si>
  <si>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</si>
  <si>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</si>
  <si>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</si>
  <si>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</si>
  <si>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</si>
  <si>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</si>
  <si>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</si>
  <si>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</si>
  <si>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</si>
  <si>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</si>
  <si>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</si>
  <si>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</si>
  <si>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</si>
  <si>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</si>
  <si>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</si>
  <si>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</si>
  <si>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</si>
  <si>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</si>
  <si>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</si>
  <si>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</si>
  <si>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</si>
  <si>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</si>
  <si>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</si>
  <si>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</si>
  <si>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</si>
  <si>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</si>
  <si>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</si>
  <si>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</si>
  <si>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</si>
  <si>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</si>
  <si>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</si>
  <si>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</si>
  <si>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</si>
  <si>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</si>
  <si>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</si>
  <si>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</si>
  <si>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</si>
  <si>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</si>
  <si>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</si>
  <si>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</si>
  <si>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</si>
  <si>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</si>
  <si>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</si>
  <si>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</si>
  <si>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</si>
  <si>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</si>
  <si>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</si>
  <si>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</si>
  <si>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</si>
  <si>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</si>
  <si>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</si>
  <si>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</si>
  <si>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</si>
  <si>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</si>
  <si>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</si>
  <si>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</si>
  <si>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</si>
  <si>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</si>
  <si>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</si>
  <si>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</si>
  <si>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</si>
  <si>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</si>
  <si>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</si>
  <si>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</si>
  <si>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</si>
  <si>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</si>
  <si>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</si>
  <si>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</si>
  <si>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</si>
  <si>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</si>
  <si>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</si>
  <si>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</si>
  <si>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</si>
  <si>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</si>
  <si>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</si>
  <si>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</si>
  <si>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</si>
  <si>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</si>
  <si>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</si>
  <si>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</si>
  <si>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</si>
  <si>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</si>
  <si>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</si>
  <si>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</si>
  <si>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</si>
  <si>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</si>
  <si>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</si>
  <si>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</si>
  <si>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</si>
  <si>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</si>
  <si>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</si>
  <si>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</si>
  <si>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</si>
  <si>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</si>
  <si>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</si>
  <si>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</si>
  <si>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</si>
  <si>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</si>
  <si>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</si>
  <si>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</si>
  <si>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</si>
  <si>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</si>
  <si>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</si>
  <si>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</si>
  <si>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</si>
  <si>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</si>
  <si>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</si>
  <si>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</si>
  <si>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</si>
  <si>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</si>
  <si>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</si>
  <si>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</si>
  <si>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</si>
  <si>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</si>
  <si>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</si>
  <si>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</si>
  <si>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</si>
  <si>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</si>
  <si>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</si>
  <si>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</si>
  <si>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</si>
  <si>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</si>
  <si>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</si>
  <si>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</si>
  <si>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</si>
  <si>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</si>
  <si>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</si>
  <si>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</si>
  <si>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</si>
  <si>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</si>
  <si>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</si>
  <si>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</si>
  <si>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</si>
  <si>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</si>
  <si>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</si>
  <si>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</si>
  <si>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</si>
  <si>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</si>
  <si>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</si>
  <si>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</si>
  <si>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</si>
  <si>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</si>
  <si>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</si>
  <si>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</si>
  <si>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</si>
  <si>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</si>
  <si>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</si>
  <si>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</si>
  <si>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</si>
  <si>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</si>
  <si>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</si>
  <si>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</si>
  <si>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</si>
  <si>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</si>
  <si>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</si>
  <si>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</si>
  <si>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</si>
  <si>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</si>
  <si>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</si>
  <si>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</si>
  <si>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</si>
  <si>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</si>
  <si>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</si>
  <si>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</si>
  <si>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</si>
  <si>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</si>
  <si>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</si>
  <si>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</si>
  <si>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</si>
  <si>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</si>
  <si>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</si>
  <si>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</si>
  <si>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</si>
  <si>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</si>
  <si>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</si>
  <si>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</si>
  <si>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</si>
  <si>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</si>
  <si>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</si>
  <si>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</si>
  <si>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</si>
  <si>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</si>
  <si>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</si>
  <si>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</si>
  <si>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</si>
  <si>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</si>
  <si>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</si>
  <si>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</si>
  <si>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</si>
  <si>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</si>
  <si>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</si>
  <si>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</si>
  <si>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</si>
  <si>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</si>
  <si>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</si>
  <si>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</si>
  <si>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</si>
  <si>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</si>
  <si>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</si>
  <si>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</si>
  <si>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</si>
  <si>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</si>
  <si>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</si>
  <si>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</si>
  <si>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</si>
  <si>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</si>
  <si>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</si>
  <si>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</si>
  <si>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</si>
  <si>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</si>
  <si>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</si>
  <si>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</si>
  <si>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</si>
  <si>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</si>
  <si>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</si>
  <si>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</si>
  <si>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</si>
  <si>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</si>
  <si>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</si>
  <si>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</si>
  <si>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</si>
  <si>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</si>
  <si>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</si>
  <si>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</si>
  <si>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</si>
  <si>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</si>
  <si>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</si>
  <si>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</si>
  <si>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</si>
  <si>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</si>
  <si>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</si>
  <si>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</si>
  <si>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</si>
  <si>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</si>
  <si>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</si>
  <si>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</si>
  <si>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</si>
  <si>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</si>
  <si>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</si>
  <si>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</si>
  <si>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</si>
  <si>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</si>
  <si>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</si>
  <si>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</si>
  <si>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</si>
  <si>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</si>
  <si>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</si>
  <si>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</si>
  <si>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</si>
  <si>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</si>
  <si>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</si>
  <si>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</si>
  <si>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</si>
  <si>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</si>
  <si>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</si>
  <si>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</si>
  <si>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</si>
  <si>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</si>
  <si>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</si>
  <si>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</si>
  <si>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</si>
  <si>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</si>
  <si>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</si>
  <si>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</si>
  <si>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</si>
  <si>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</si>
  <si>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</si>
  <si>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</si>
  <si>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</si>
  <si>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</si>
  <si>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</si>
  <si>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</si>
  <si>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</si>
  <si>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</si>
  <si>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</si>
  <si>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</si>
  <si>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</si>
  <si>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</si>
  <si>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</si>
  <si>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</si>
  <si>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</si>
  <si>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</si>
  <si>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</si>
  <si>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</si>
  <si>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</si>
  <si>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</si>
  <si>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</si>
  <si>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</si>
  <si>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</si>
  <si>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</si>
  <si>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</si>
  <si>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</si>
  <si>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</si>
  <si>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</si>
  <si>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</si>
  <si>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</si>
  <si>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</si>
  <si>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</si>
  <si>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</si>
  <si>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</si>
  <si>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</si>
  <si>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</si>
  <si>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</si>
  <si>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</si>
  <si>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</si>
  <si>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</si>
  <si>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</si>
  <si>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</si>
  <si>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</si>
  <si>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</si>
  <si>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</si>
  <si>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</si>
  <si>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</si>
  <si>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</si>
  <si>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</si>
  <si>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</si>
  <si>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</si>
  <si>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</si>
  <si>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</si>
  <si>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</si>
  <si>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</si>
  <si>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</si>
  <si>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</si>
  <si>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</si>
  <si>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</si>
  <si>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</si>
  <si>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</si>
  <si>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</si>
  <si>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</si>
  <si>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</si>
  <si>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</si>
  <si>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</si>
  <si>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</si>
  <si>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</si>
  <si>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</si>
  <si>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</si>
  <si>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</si>
  <si>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</si>
  <si>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</si>
  <si>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</si>
  <si>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</si>
  <si>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</si>
  <si>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</si>
  <si>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</si>
  <si>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</si>
  <si>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</si>
  <si>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</si>
  <si>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</si>
  <si>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</si>
  <si>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</si>
  <si>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</si>
  <si>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</si>
  <si>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</si>
  <si>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</si>
  <si>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</si>
  <si>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</si>
  <si>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</si>
  <si>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</si>
  <si>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</si>
  <si>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</si>
  <si>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</si>
  <si>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</si>
  <si>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</si>
  <si>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</si>
  <si>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</si>
  <si>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</si>
  <si>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</si>
  <si>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</si>
  <si>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</si>
  <si>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</si>
  <si>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</si>
  <si>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</si>
  <si>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</si>
  <si>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</si>
  <si>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</si>
  <si>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</si>
  <si>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</si>
  <si>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</si>
  <si>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</si>
  <si>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</si>
  <si>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</si>
  <si>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</si>
  <si>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</si>
  <si>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</si>
  <si>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</si>
  <si>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</si>
  <si>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</si>
  <si>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</si>
  <si>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</si>
  <si>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</si>
  <si>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</si>
  <si>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</si>
  <si>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</si>
  <si>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</si>
  <si>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</si>
  <si>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</si>
  <si>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</si>
  <si>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</si>
  <si>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</si>
  <si>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</si>
  <si>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</si>
  <si>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</si>
  <si>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</si>
  <si>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</si>
  <si>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</si>
  <si>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</si>
  <si>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</si>
  <si>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</si>
  <si>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</si>
  <si>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</si>
  <si>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</si>
  <si>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</si>
  <si>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</si>
  <si>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</si>
  <si>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</si>
  <si>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</si>
  <si>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</si>
  <si>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</si>
  <si>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</si>
  <si>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</si>
  <si>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</si>
  <si>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</si>
  <si>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</si>
  <si>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</si>
  <si>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</si>
  <si>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</si>
  <si>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</si>
  <si>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</si>
  <si>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</si>
  <si>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</si>
  <si>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</si>
  <si>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</si>
  <si>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</si>
  <si>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</si>
  <si>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</si>
  <si>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</si>
  <si>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</si>
  <si>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</si>
  <si>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</si>
  <si>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</si>
  <si>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</si>
  <si>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</si>
  <si>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</si>
  <si>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</si>
  <si>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</si>
  <si>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</si>
  <si>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</si>
  <si>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</si>
  <si>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</si>
  <si>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</si>
  <si>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</si>
  <si>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</si>
  <si>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</si>
  <si>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</si>
  <si>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</si>
  <si>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</si>
  <si>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</si>
  <si>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</si>
  <si>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</si>
  <si>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</si>
  <si>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</si>
  <si>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</si>
  <si>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</si>
  <si>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</si>
  <si>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</si>
  <si>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</si>
  <si>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</si>
  <si>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</si>
  <si>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</si>
  <si>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</si>
  <si>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</si>
  <si>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</si>
  <si>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</si>
  <si>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</si>
  <si>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</si>
  <si>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</si>
  <si>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</si>
  <si>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</si>
  <si>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</si>
  <si>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</si>
  <si>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</si>
  <si>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</si>
  <si>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</si>
  <si>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</si>
  <si>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</si>
  <si>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</si>
  <si>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</si>
  <si>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</si>
  <si>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</si>
  <si>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</si>
  <si>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</si>
  <si>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</si>
  <si>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</si>
  <si>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</si>
  <si>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</si>
  <si>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</si>
  <si>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</si>
  <si>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</si>
  <si>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</si>
  <si>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</si>
  <si>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</si>
  <si>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</si>
  <si>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</si>
  <si>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</si>
  <si>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</si>
  <si>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</si>
  <si>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</si>
  <si>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</si>
  <si>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</si>
  <si>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</si>
  <si>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</si>
  <si>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</si>
  <si>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</si>
  <si>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</si>
  <si>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</si>
  <si>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</si>
  <si>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</si>
  <si>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</si>
  <si>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</si>
  <si>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</si>
  <si>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</si>
  <si>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</si>
  <si>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</si>
  <si>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</si>
  <si>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</si>
  <si>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</si>
  <si>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</si>
  <si>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</si>
  <si>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</si>
  <si>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</si>
  <si>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</si>
  <si>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</si>
  <si>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</si>
  <si>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</si>
  <si>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</si>
  <si>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</si>
  <si>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</si>
  <si>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</si>
  <si>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</si>
  <si>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</si>
  <si>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</si>
  <si>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</si>
  <si>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</si>
  <si>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</si>
  <si>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</si>
  <si>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</si>
  <si>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</si>
  <si>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</si>
  <si>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</si>
  <si>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</si>
  <si>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</si>
  <si>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</si>
  <si>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</si>
  <si>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</si>
  <si>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</si>
  <si>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</si>
  <si>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</si>
  <si>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</si>
  <si>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</si>
  <si>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</si>
  <si>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</si>
  <si>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</si>
  <si>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</si>
  <si>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</si>
  <si>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</si>
  <si>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</si>
  <si>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</si>
  <si>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</si>
  <si>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</si>
  <si>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</si>
  <si>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</si>
  <si>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</si>
  <si>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</si>
  <si>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</si>
  <si>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</si>
  <si>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</si>
  <si>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</si>
  <si>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</si>
  <si>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</si>
  <si>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</si>
  <si>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</si>
  <si>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</si>
  <si>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</si>
  <si>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</si>
  <si>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</si>
  <si>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</si>
  <si>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</si>
  <si>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</si>
  <si>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</si>
  <si>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</si>
  <si>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</si>
  <si>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</si>
  <si>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</si>
  <si>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</si>
  <si>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</si>
  <si>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</si>
  <si>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</si>
  <si>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</si>
  <si>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</si>
  <si>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</si>
  <si>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</si>
  <si>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</si>
  <si>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</si>
  <si>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</si>
  <si>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</si>
  <si>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</si>
  <si>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</si>
  <si>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</si>
  <si>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</si>
  <si>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</si>
  <si>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</si>
  <si>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</si>
  <si>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</si>
  <si>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</si>
  <si>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</si>
  <si>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</si>
  <si>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</si>
  <si>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</si>
  <si>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</si>
  <si>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</si>
  <si>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</si>
  <si>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</si>
  <si>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</si>
  <si>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</si>
  <si>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</si>
  <si>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</si>
  <si>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</si>
  <si>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</si>
  <si>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</si>
  <si>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</si>
  <si>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</si>
  <si>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</si>
  <si>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</si>
  <si>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</si>
  <si>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</si>
  <si>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</si>
  <si>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</si>
  <si>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</si>
  <si>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</si>
  <si>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</si>
  <si>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</si>
  <si>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</si>
  <si>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</si>
  <si>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</si>
  <si>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</si>
  <si>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</si>
  <si>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</si>
  <si>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</si>
  <si>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</si>
  <si>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</si>
  <si>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</si>
  <si>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</si>
  <si>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</si>
  <si>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</si>
  <si>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</si>
  <si>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</si>
  <si>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</si>
  <si>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</si>
  <si>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</si>
  <si>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</si>
  <si>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</si>
  <si>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</si>
  <si>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</si>
  <si>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</si>
  <si>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</si>
  <si>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</si>
  <si>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</si>
  <si>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</si>
  <si>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</si>
  <si>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</si>
  <si>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</si>
  <si>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</si>
  <si>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</si>
  <si>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</si>
  <si>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</si>
  <si>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</si>
  <si>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</si>
  <si>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</si>
  <si>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</si>
  <si>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</si>
  <si>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</si>
  <si>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</si>
  <si>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</si>
  <si>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</si>
  <si>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</si>
  <si>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</si>
  <si>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</si>
  <si>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</si>
  <si>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</si>
  <si>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</si>
  <si>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</si>
  <si>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</si>
  <si>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</si>
  <si>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</si>
  <si>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</si>
  <si>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</si>
  <si>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</si>
  <si>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</si>
  <si>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</si>
  <si>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</si>
  <si>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</si>
  <si>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</si>
  <si>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</si>
  <si>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</si>
  <si>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</si>
  <si>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</si>
  <si>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</si>
  <si>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</si>
  <si>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</si>
  <si>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</si>
  <si>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</si>
  <si>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</si>
  <si>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</si>
  <si>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</si>
  <si>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</si>
  <si>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</si>
  <si>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</si>
  <si>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</si>
  <si>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</si>
  <si>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</si>
  <si>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</si>
  <si>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</si>
  <si>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</si>
  <si>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</si>
  <si>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</si>
  <si>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</si>
  <si>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</si>
  <si>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</si>
  <si>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</si>
  <si>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</si>
  <si>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</si>
  <si>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</si>
  <si>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</si>
  <si>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</si>
  <si>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</si>
  <si>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</si>
  <si>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</si>
  <si>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</si>
  <si>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</si>
  <si>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</si>
  <si>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</si>
  <si>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</si>
  <si>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</si>
  <si>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</si>
  <si>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</si>
  <si>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</si>
  <si>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</si>
  <si>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</si>
  <si>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</si>
  <si>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</si>
  <si>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</si>
  <si>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</si>
  <si>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</si>
  <si>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</si>
  <si>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</si>
  <si>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</si>
  <si>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</si>
  <si>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</si>
  <si>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</si>
  <si>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</si>
  <si>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</si>
  <si>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</si>
  <si>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</si>
  <si>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</si>
  <si>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</si>
  <si>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</si>
  <si>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</si>
  <si>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</si>
  <si>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</si>
  <si>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</si>
  <si>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</si>
  <si>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</si>
  <si>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</si>
  <si>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</si>
  <si>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</si>
  <si>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</si>
  <si>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</si>
  <si>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</si>
  <si>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</si>
  <si>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</si>
  <si>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</si>
  <si>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</si>
  <si>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</si>
  <si>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</si>
  <si>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</si>
  <si>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</si>
  <si>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</si>
  <si>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</si>
  <si>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</si>
  <si>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</si>
  <si>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</si>
  <si>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</si>
  <si>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</si>
  <si>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</si>
  <si>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</si>
  <si>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</si>
  <si>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</si>
  <si>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</si>
  <si>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</si>
  <si>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</si>
  <si>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</si>
  <si>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</si>
  <si>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</si>
  <si>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</si>
  <si>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</si>
  <si>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</si>
  <si>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</si>
  <si>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</si>
  <si>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</si>
  <si>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</si>
  <si>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</si>
  <si>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</si>
  <si>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</si>
  <si>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</si>
  <si>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</si>
  <si>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</si>
  <si>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</si>
  <si>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</si>
  <si>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</si>
  <si>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</si>
  <si>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</si>
  <si>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</si>
  <si>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</si>
  <si>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</si>
  <si>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</si>
  <si>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</si>
  <si>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</si>
  <si>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</si>
  <si>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</si>
  <si>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</si>
  <si>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</si>
  <si>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</si>
  <si>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</si>
  <si>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</si>
  <si>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</si>
  <si>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</si>
  <si>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</si>
  <si>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</si>
  <si>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</si>
  <si>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</si>
  <si>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</si>
  <si>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</si>
  <si>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</si>
  <si>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</si>
  <si>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</si>
  <si>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</si>
  <si>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</si>
  <si>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</si>
  <si>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</si>
  <si>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</si>
  <si>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</si>
  <si>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</si>
  <si>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</si>
  <si>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</si>
  <si>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</si>
  <si>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</si>
  <si>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</si>
  <si>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</si>
  <si>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</si>
  <si>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</si>
  <si>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</si>
  <si>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</si>
  <si>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</si>
  <si>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</si>
  <si>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</si>
  <si>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</si>
  <si>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</si>
  <si>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</si>
  <si>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</si>
  <si>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</si>
  <si>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</si>
  <si>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</si>
  <si>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</si>
  <si>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</si>
  <si>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</si>
  <si>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</si>
  <si>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</si>
  <si>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</si>
  <si>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</si>
  <si>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</si>
  <si>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</si>
  <si>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</si>
  <si>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</si>
  <si>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</si>
  <si>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</si>
  <si>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</si>
  <si>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</si>
  <si>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</si>
  <si>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</si>
  <si>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</si>
  <si>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</si>
  <si>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</si>
  <si>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</si>
  <si>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</si>
  <si>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</si>
  <si>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</si>
  <si>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</si>
  <si>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</si>
  <si>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</si>
  <si>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</si>
  <si>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</si>
  <si>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</si>
  <si>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</si>
  <si>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</si>
  <si>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</si>
  <si>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</si>
  <si>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</si>
  <si>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</si>
  <si>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</si>
  <si>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</si>
  <si>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</si>
  <si>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</si>
  <si>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</si>
  <si>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</si>
  <si>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</si>
  <si>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</si>
  <si>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</si>
  <si>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</si>
  <si>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</si>
  <si>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</si>
  <si>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</si>
  <si>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</si>
  <si>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</si>
  <si>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</si>
  <si>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</si>
  <si>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</si>
  <si>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</si>
  <si>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</si>
  <si>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</si>
  <si>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</si>
  <si>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</si>
  <si>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</si>
  <si>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</si>
  <si>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</si>
  <si>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</si>
  <si>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</si>
  <si>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</si>
  <si>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</si>
  <si>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</si>
  <si>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</si>
  <si>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</si>
  <si>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</si>
  <si>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</si>
  <si>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</si>
  <si>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</si>
  <si>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</si>
  <si>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</si>
  <si>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</si>
  <si>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</si>
  <si>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</si>
  <si>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</si>
  <si>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</si>
  <si>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</si>
  <si>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</si>
  <si>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</si>
  <si>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</si>
  <si>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</si>
  <si>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</si>
  <si>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</si>
  <si>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</si>
  <si>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</si>
  <si>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</si>
  <si>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</si>
  <si>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</si>
  <si>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</si>
  <si>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</si>
  <si>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</si>
  <si>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</si>
  <si>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</si>
  <si>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</si>
  <si>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</si>
  <si>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</si>
  <si>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</si>
  <si>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</si>
  <si>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</si>
  <si>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</si>
  <si>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</si>
  <si>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</si>
  <si>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</si>
  <si>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</si>
  <si>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</si>
  <si>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</si>
  <si>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</si>
  <si>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</si>
  <si>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</si>
  <si>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</si>
  <si>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</si>
  <si>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</si>
  <si>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</si>
  <si>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</si>
  <si>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</si>
  <si>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</si>
  <si>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</si>
  <si>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</si>
  <si>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</si>
  <si>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</si>
  <si>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</si>
  <si>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</si>
  <si>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</si>
  <si>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</si>
  <si>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</si>
  <si>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</si>
  <si>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</si>
  <si>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</si>
  <si>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</si>
  <si>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</si>
  <si>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</si>
  <si>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</si>
  <si>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</si>
  <si>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</si>
  <si>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</si>
  <si>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</si>
  <si>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</si>
  <si>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</si>
  <si>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</si>
  <si>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</si>
  <si>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</si>
  <si>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</si>
  <si>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</si>
  <si>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</si>
  <si>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</si>
  <si>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</si>
  <si>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</si>
  <si>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</si>
  <si>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</si>
  <si>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</si>
  <si>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</si>
  <si>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</si>
  <si>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</si>
  <si>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</si>
  <si>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</si>
  <si>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</si>
  <si>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</si>
  <si>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</si>
  <si>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</si>
  <si>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</si>
  <si>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</si>
  <si>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</si>
  <si>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</si>
  <si>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</si>
  <si>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</si>
  <si>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</si>
  <si>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</si>
  <si>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</si>
  <si>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</si>
  <si>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</si>
  <si>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</si>
  <si>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</si>
  <si>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</si>
  <si>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</si>
  <si>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</si>
  <si>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</si>
  <si>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</si>
  <si>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</si>
  <si>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</si>
  <si>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</si>
  <si>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</si>
  <si>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</si>
  <si>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</si>
  <si>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</si>
  <si>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</si>
  <si>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</si>
  <si>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</si>
  <si>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</si>
  <si>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</si>
  <si>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</si>
  <si>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</si>
  <si>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</si>
  <si>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</si>
  <si>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</si>
  <si>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</si>
  <si>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</si>
  <si>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</si>
  <si>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</si>
  <si>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</si>
  <si>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</si>
  <si>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</si>
  <si>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</si>
  <si>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</si>
  <si>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</si>
  <si>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</si>
  <si>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</si>
  <si>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</si>
  <si>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</si>
  <si>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</si>
  <si>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</si>
  <si>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</si>
  <si>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</si>
  <si>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</si>
  <si>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</si>
  <si>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</si>
  <si>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</si>
  <si>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</si>
  <si>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</si>
  <si>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</si>
  <si>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</si>
  <si>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</si>
  <si>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</si>
  <si>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</si>
  <si>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</si>
  <si>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</si>
  <si>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</si>
  <si>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</si>
  <si>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</si>
  <si>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</si>
  <si>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</si>
  <si>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</si>
  <si>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</si>
  <si>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</si>
  <si>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</si>
  <si>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</si>
  <si>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</si>
  <si>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</si>
  <si>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</si>
  <si>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</si>
  <si>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</si>
  <si>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</si>
  <si>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</si>
  <si>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</si>
  <si>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</si>
  <si>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</si>
  <si>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</si>
  <si>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</si>
  <si>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</si>
  <si>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</si>
  <si>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</si>
  <si>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</si>
  <si>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</si>
  <si>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</si>
  <si>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</si>
  <si>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</si>
  <si>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</si>
  <si>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</si>
  <si>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</si>
  <si>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</si>
  <si>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</si>
  <si>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</si>
  <si>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</si>
  <si>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</si>
  <si>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</si>
  <si>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</si>
  <si>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</si>
  <si>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</si>
  <si>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</si>
  <si>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</si>
  <si>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</si>
  <si>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</si>
  <si>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</si>
  <si>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</si>
  <si>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</si>
  <si>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</si>
  <si>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</si>
  <si>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</si>
  <si>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</si>
  <si>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</si>
  <si>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</si>
  <si>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</si>
  <si>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</si>
  <si>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</si>
  <si>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</si>
  <si>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</si>
  <si>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</si>
  <si>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</si>
  <si>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</si>
  <si>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</si>
  <si>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</si>
  <si>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</si>
  <si>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</si>
  <si>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</si>
  <si>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</si>
  <si>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</si>
  <si>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</si>
  <si>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</si>
  <si>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</si>
  <si>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</si>
  <si>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</si>
  <si>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</si>
  <si>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</si>
  <si>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</si>
  <si>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</si>
  <si>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</si>
  <si>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</si>
  <si>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</si>
  <si>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</si>
  <si>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</si>
  <si>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</si>
  <si>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</si>
  <si>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</si>
  <si>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</si>
  <si>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</si>
  <si>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</si>
  <si>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</si>
  <si>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</si>
  <si>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</si>
  <si>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</si>
  <si>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</si>
  <si>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</si>
  <si>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</si>
  <si>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</si>
  <si>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</si>
  <si>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</si>
  <si>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</si>
  <si>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</si>
  <si>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</si>
  <si>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</si>
  <si>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</si>
  <si>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</si>
  <si>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</si>
  <si>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</si>
  <si>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</si>
  <si>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</si>
  <si>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</si>
  <si>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</si>
  <si>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</si>
  <si>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</si>
  <si>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</si>
  <si>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</si>
  <si>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</si>
  <si>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</si>
  <si>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</si>
  <si>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</si>
  <si>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</si>
  <si>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</si>
  <si>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</si>
  <si>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</si>
  <si>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</si>
  <si>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</si>
  <si>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</si>
  <si>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</si>
  <si>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</si>
  <si>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</si>
  <si>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</si>
  <si>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</si>
  <si>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</si>
  <si>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</si>
  <si>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</si>
  <si>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</si>
  <si>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</si>
  <si>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</si>
  <si>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</si>
  <si>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</si>
  <si>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</si>
  <si>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</si>
  <si>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</si>
  <si>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</si>
  <si>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</si>
  <si>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</si>
  <si>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</si>
  <si>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</si>
  <si>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</si>
  <si>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</si>
  <si>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</si>
  <si>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</si>
  <si>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</si>
  <si>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</si>
  <si>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</si>
  <si>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</si>
  <si>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</si>
  <si>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</si>
  <si>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</si>
  <si>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</si>
  <si>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</si>
  <si>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</si>
  <si>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</si>
  <si>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</si>
  <si>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</si>
  <si>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</si>
  <si>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</si>
  <si>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</si>
  <si>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</si>
  <si>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</si>
  <si>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</si>
  <si>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</si>
  <si>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</si>
  <si>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</si>
  <si>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</si>
  <si>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</si>
  <si>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</si>
  <si>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</si>
  <si>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</si>
  <si>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</si>
  <si>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</si>
  <si>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</si>
  <si>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</si>
  <si>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</si>
  <si>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</si>
  <si>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</si>
  <si>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</si>
  <si>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</si>
  <si>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</si>
  <si>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</si>
  <si>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</si>
  <si>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</si>
  <si>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</si>
  <si>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</si>
  <si>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</si>
  <si>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</si>
  <si>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</si>
  <si>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</si>
  <si>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</si>
  <si>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</si>
  <si>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</si>
  <si>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</si>
  <si>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</si>
  <si>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</si>
  <si>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</si>
  <si>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</si>
  <si>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</si>
  <si>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</si>
  <si>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</si>
  <si>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</si>
  <si>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</si>
  <si>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</si>
  <si>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</si>
  <si>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</si>
  <si>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</si>
  <si>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</si>
  <si>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</si>
  <si>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</si>
  <si>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</si>
  <si>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</si>
  <si>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</si>
  <si>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</si>
  <si>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</si>
  <si>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</si>
  <si>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</si>
  <si>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</si>
  <si>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</si>
  <si>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</si>
  <si>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</si>
  <si>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</si>
  <si>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</si>
  <si>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</si>
  <si>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</si>
  <si>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</si>
  <si>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</si>
  <si>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</si>
  <si>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</si>
  <si>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</si>
  <si>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</si>
  <si>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</si>
  <si>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</si>
  <si>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</si>
  <si>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</si>
  <si>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</si>
  <si>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</si>
  <si>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</si>
  <si>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</si>
  <si>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</si>
  <si>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</si>
  <si>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</si>
  <si>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</si>
  <si>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</si>
  <si>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</si>
  <si>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</si>
  <si>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</si>
  <si>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</si>
  <si>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</si>
  <si>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</si>
  <si>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</si>
  <si>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</si>
  <si>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</si>
  <si>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</si>
  <si>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</si>
  <si>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</si>
  <si>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</si>
  <si>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</si>
  <si>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</si>
  <si>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</si>
  <si>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</si>
  <si>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</si>
  <si>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</si>
  <si>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</si>
  <si>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</si>
  <si>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</si>
  <si>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</si>
  <si>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</si>
  <si>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</si>
  <si>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</si>
  <si>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</si>
  <si>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</si>
  <si>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</si>
  <si>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</si>
  <si>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</si>
  <si>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</si>
  <si>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</si>
  <si>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</si>
  <si>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</si>
  <si>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</si>
  <si>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</si>
  <si>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</si>
  <si>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</si>
  <si>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</si>
  <si>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</si>
  <si>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</si>
  <si>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</si>
  <si>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</si>
  <si>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</si>
  <si>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</si>
  <si>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</si>
  <si>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</si>
  <si>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</si>
  <si>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</si>
  <si>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</si>
  <si>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</si>
  <si>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</si>
  <si>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</si>
  <si>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</si>
  <si>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</si>
  <si>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</si>
  <si>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</si>
  <si>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</si>
  <si>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</si>
  <si>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</si>
  <si>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</si>
  <si>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</si>
  <si>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</si>
  <si>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</si>
  <si>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</si>
  <si>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</si>
  <si>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</si>
  <si>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</si>
  <si>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</si>
  <si>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</si>
  <si>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</si>
  <si>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</si>
  <si>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</si>
  <si>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</si>
  <si>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</si>
  <si>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</si>
  <si>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</si>
  <si>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</si>
  <si>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</si>
  <si>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</si>
  <si>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</si>
  <si>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</si>
  <si>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</si>
  <si>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</si>
  <si>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</si>
  <si>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</si>
  <si>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</si>
  <si>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</si>
  <si>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</si>
  <si>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</si>
  <si>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</si>
  <si>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</si>
  <si>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</si>
  <si>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</si>
  <si>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</si>
  <si>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</si>
  <si>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</si>
  <si>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</si>
  <si>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</si>
  <si>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</si>
  <si>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</si>
  <si>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</si>
  <si>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</si>
  <si>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</si>
  <si>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</si>
  <si>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</si>
  <si>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</si>
  <si>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</si>
  <si>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</si>
  <si>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</si>
  <si>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</si>
  <si>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</si>
  <si>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</si>
  <si>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</si>
  <si>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</si>
  <si>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</si>
  <si>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</si>
  <si>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</si>
  <si>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</si>
  <si>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</si>
  <si>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</si>
  <si>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</si>
  <si>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</si>
  <si>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</si>
  <si>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</si>
  <si>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</si>
  <si>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</si>
  <si>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</si>
  <si>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</si>
  <si>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</si>
  <si>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</si>
  <si>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</si>
  <si>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</si>
  <si>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</si>
  <si>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</si>
  <si>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</si>
  <si>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</si>
  <si>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</si>
  <si>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</si>
  <si>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</si>
  <si>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</si>
  <si>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</si>
  <si>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</si>
  <si>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</si>
  <si>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</si>
  <si>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</si>
  <si>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</si>
  <si>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</si>
  <si>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</si>
  <si>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</si>
  <si>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</si>
  <si>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</si>
  <si>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</si>
  <si>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</si>
  <si>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</si>
  <si>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</si>
  <si>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</si>
  <si>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</si>
  <si>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</si>
  <si>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</si>
  <si>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</si>
  <si>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</si>
  <si>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</si>
  <si>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</si>
  <si>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</si>
  <si>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</si>
  <si>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</si>
  <si>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</si>
  <si>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</si>
  <si>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</si>
  <si>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</si>
  <si>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</si>
  <si>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</si>
  <si>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</si>
  <si>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</si>
  <si>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</si>
  <si>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</si>
  <si>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</si>
  <si>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</si>
  <si>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</si>
  <si>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</si>
  <si>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</si>
  <si>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</si>
  <si>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</si>
  <si>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</si>
  <si>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</si>
  <si>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</si>
  <si>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</si>
  <si>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</si>
  <si>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</si>
  <si>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</si>
  <si>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</si>
  <si>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</si>
  <si>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</si>
  <si>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</si>
  <si>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</si>
  <si>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</si>
  <si>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</si>
  <si>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</si>
  <si>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</si>
  <si>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</si>
  <si>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</si>
  <si>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</si>
  <si>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</si>
  <si>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</si>
  <si>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</si>
  <si>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</si>
  <si>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</si>
  <si>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</si>
  <si>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</si>
  <si>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</si>
  <si>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</si>
  <si>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</si>
  <si>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</si>
  <si>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</si>
  <si>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</si>
  <si>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</si>
  <si>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</si>
  <si>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</si>
  <si>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</si>
  <si>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</si>
  <si>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</si>
  <si>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</si>
  <si>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</si>
  <si>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</si>
  <si>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</si>
  <si>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</si>
  <si>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</si>
  <si>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</si>
  <si>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</si>
  <si>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</si>
  <si>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</si>
  <si>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</si>
  <si>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</si>
  <si>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</si>
  <si>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</si>
  <si>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</si>
  <si>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</si>
  <si>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</si>
  <si>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</si>
  <si>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</si>
  <si>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</si>
  <si>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</si>
  <si>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</si>
  <si>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</si>
  <si>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</si>
  <si>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</si>
  <si>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</si>
  <si>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</si>
  <si>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</si>
  <si>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</si>
  <si>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</si>
  <si>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</si>
  <si>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</si>
  <si>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</si>
  <si>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</si>
  <si>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</si>
  <si>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</si>
  <si>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</si>
  <si>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</si>
  <si>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</si>
  <si>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</si>
  <si>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</si>
  <si>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</si>
  <si>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</si>
  <si>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</si>
  <si>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</si>
  <si>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</si>
  <si>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</si>
  <si>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</si>
  <si>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</si>
  <si>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</si>
  <si>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</si>
  <si>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</si>
  <si>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</si>
  <si>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</si>
  <si>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</si>
  <si>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</si>
  <si>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</si>
  <si>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</si>
  <si>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</si>
  <si>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</si>
  <si>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</si>
  <si>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</si>
  <si>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</si>
  <si>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</si>
  <si>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</si>
  <si>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</si>
  <si>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</si>
  <si>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</si>
  <si>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</si>
  <si>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</si>
  <si>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</si>
  <si>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</si>
  <si>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</si>
  <si>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</si>
  <si>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</si>
  <si>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</si>
  <si>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</si>
  <si>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</si>
  <si>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</si>
  <si>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</si>
  <si>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</si>
  <si>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</si>
  <si>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</si>
  <si>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</si>
  <si>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</si>
  <si>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</si>
  <si>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</si>
  <si>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</si>
  <si>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</si>
  <si>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</si>
  <si>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</si>
  <si>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</si>
  <si>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</si>
  <si>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</si>
  <si>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</si>
  <si>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</si>
  <si>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</si>
  <si>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</si>
  <si>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</si>
  <si>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</si>
  <si>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</si>
  <si>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</si>
  <si>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</si>
  <si>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</si>
  <si>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</si>
  <si>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</si>
  <si>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</si>
  <si>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</si>
  <si>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</si>
  <si>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</si>
  <si>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</si>
  <si>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</si>
  <si>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</si>
  <si>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</si>
  <si>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</si>
  <si>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</si>
  <si>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</si>
  <si>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</si>
  <si>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</si>
  <si>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</si>
  <si>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</si>
  <si>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</si>
  <si>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</si>
  <si>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</si>
  <si>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</si>
  <si>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</si>
  <si>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</si>
  <si>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</si>
  <si>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</si>
  <si>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</si>
  <si>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</si>
  <si>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</si>
  <si>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</si>
  <si>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</si>
  <si>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</si>
  <si>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</si>
  <si>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</si>
  <si>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</si>
  <si>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</si>
  <si>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</si>
  <si>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</si>
  <si>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</si>
  <si>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</si>
  <si>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</si>
  <si>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</si>
  <si>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</si>
  <si>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</si>
  <si>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</si>
  <si>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</si>
  <si>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</si>
  <si>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</si>
  <si>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</si>
  <si>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</si>
  <si>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</si>
  <si>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</si>
  <si>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</si>
  <si>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</si>
  <si>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</si>
  <si>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</si>
  <si>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</si>
  <si>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</si>
  <si>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</si>
  <si>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</si>
  <si>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</si>
  <si>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</si>
  <si>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</si>
  <si>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</si>
  <si>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</si>
  <si>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</si>
  <si>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</si>
  <si>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</si>
  <si>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</si>
  <si>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</si>
  <si>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</si>
  <si>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</si>
  <si>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</si>
  <si>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</si>
  <si>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</si>
  <si>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</si>
  <si>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</si>
  <si>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</si>
  <si>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</si>
  <si>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</si>
  <si>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</si>
  <si>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</si>
  <si>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</si>
  <si>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</si>
  <si>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</si>
  <si>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</si>
  <si>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</si>
  <si>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</si>
  <si>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</si>
  <si>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</si>
  <si>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</si>
  <si>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</si>
  <si>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</si>
  <si>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</si>
  <si>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</si>
  <si>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</si>
  <si>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</si>
  <si>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</si>
  <si>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</si>
  <si>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</si>
  <si>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</si>
  <si>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</si>
  <si>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</si>
  <si>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</si>
  <si>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</si>
  <si>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</si>
  <si>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</si>
  <si>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</si>
  <si>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</si>
  <si>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</si>
  <si>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</si>
  <si>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</si>
  <si>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</si>
  <si>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</si>
  <si>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</si>
  <si>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</si>
  <si>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</si>
  <si>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</si>
  <si>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</si>
  <si>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</si>
  <si>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</si>
  <si>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</si>
  <si>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</si>
  <si>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</si>
  <si>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</si>
  <si>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</si>
  <si>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</si>
  <si>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</si>
  <si>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</si>
  <si>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</si>
  <si>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</si>
  <si>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</si>
  <si>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</si>
  <si>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</si>
  <si>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</si>
  <si>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</si>
  <si>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</si>
  <si>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</si>
  <si>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</si>
  <si>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</si>
  <si>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</si>
  <si>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</si>
  <si>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</si>
  <si>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</si>
  <si>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</si>
  <si>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</si>
  <si>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</si>
  <si>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</si>
  <si>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</si>
  <si>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</si>
  <si>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</si>
  <si>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</si>
  <si>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</si>
  <si>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</si>
  <si>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</si>
  <si>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</si>
  <si>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</si>
  <si>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</si>
  <si>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</si>
  <si>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</si>
  <si>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</si>
  <si>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</si>
  <si>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</si>
  <si>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</si>
  <si>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</si>
  <si>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</si>
  <si>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</si>
  <si>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</si>
  <si>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</si>
  <si>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</si>
  <si>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</si>
  <si>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</si>
  <si>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</si>
  <si>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</si>
  <si>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</si>
  <si>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</si>
  <si>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</si>
  <si>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</si>
  <si>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</si>
  <si>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</si>
  <si>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</si>
  <si>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</si>
  <si>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</si>
  <si>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</si>
  <si>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</si>
  <si>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</si>
  <si>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</si>
  <si>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</si>
  <si>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</si>
  <si>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</si>
  <si>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</si>
  <si>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</si>
  <si>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</si>
  <si>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</si>
  <si>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</si>
  <si>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</si>
  <si>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</si>
  <si>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</si>
  <si>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</si>
  <si>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</si>
  <si>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</si>
  <si>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</si>
  <si>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</si>
  <si>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</si>
  <si>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</si>
  <si>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</si>
  <si>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</si>
  <si>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</si>
  <si>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</si>
  <si>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</si>
  <si>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</si>
  <si>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</si>
  <si>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</si>
  <si>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</si>
  <si>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</si>
  <si>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</si>
  <si>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</si>
  <si>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</si>
  <si>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</si>
  <si>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</si>
  <si>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</si>
  <si>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</si>
  <si>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</si>
  <si>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</si>
  <si>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</si>
  <si>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</si>
  <si>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</si>
  <si>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</si>
  <si>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</si>
  <si>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</si>
  <si>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</si>
  <si>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</si>
  <si>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</si>
  <si>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</si>
  <si>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</si>
  <si>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</si>
  <si>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</si>
  <si>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</si>
  <si>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</si>
  <si>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</si>
  <si>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</si>
  <si>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</si>
  <si>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</si>
  <si>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</si>
  <si>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</si>
  <si>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</si>
  <si>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</si>
  <si>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</si>
  <si>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</si>
  <si>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</si>
  <si>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</si>
  <si>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</si>
  <si>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</si>
  <si>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</si>
  <si>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</si>
  <si>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</si>
  <si>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</si>
  <si>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</si>
  <si>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</si>
  <si>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</si>
  <si>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</si>
  <si>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</si>
  <si>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</si>
  <si>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</si>
  <si>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</si>
  <si>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</si>
  <si>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</si>
  <si>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</si>
  <si>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</si>
  <si>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</si>
  <si>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</si>
  <si>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</si>
  <si>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</si>
  <si>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</si>
  <si>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</si>
  <si>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</si>
  <si>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</si>
  <si>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</si>
  <si>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</si>
  <si>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</si>
  <si>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</si>
  <si>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</si>
  <si>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</si>
  <si>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</si>
  <si>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</si>
  <si>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</si>
  <si>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</si>
  <si>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</si>
  <si>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</si>
  <si>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</si>
  <si>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</si>
  <si>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</si>
  <si>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</si>
  <si>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</si>
  <si>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</si>
  <si>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</si>
  <si>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</si>
  <si>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</si>
  <si>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</si>
  <si>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</si>
  <si>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</si>
  <si>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</si>
  <si>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</si>
  <si>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</si>
  <si>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</si>
  <si>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</si>
  <si>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</si>
  <si>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</si>
  <si>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</si>
  <si>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</si>
  <si>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</si>
  <si>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</si>
  <si>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</si>
  <si>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</si>
  <si>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</si>
  <si>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</si>
  <si>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</si>
  <si>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</si>
  <si>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</si>
  <si>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</si>
  <si>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</si>
  <si>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</si>
  <si>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</si>
  <si>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</si>
  <si>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</si>
  <si>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</si>
  <si>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</si>
  <si>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</si>
  <si>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</si>
  <si>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</si>
  <si>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</si>
  <si>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</si>
  <si>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</si>
  <si>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</si>
  <si>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</si>
  <si>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</si>
  <si>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</si>
  <si>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</si>
  <si>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</si>
  <si>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</si>
  <si>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</si>
  <si>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</si>
  <si>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</si>
  <si>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</si>
  <si>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</si>
  <si>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</si>
  <si>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</si>
  <si>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</si>
  <si>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</si>
  <si>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</si>
  <si>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</si>
  <si>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</si>
  <si>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</si>
  <si>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</si>
  <si>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</si>
  <si>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</si>
  <si>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</si>
  <si>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</si>
  <si>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</si>
  <si>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</si>
  <si>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</si>
  <si>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</si>
  <si>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</si>
  <si>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</si>
  <si>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</si>
  <si>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</si>
  <si>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</si>
  <si>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</si>
  <si>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</si>
  <si>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</si>
  <si>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</si>
  <si>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</si>
  <si>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</si>
  <si>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</si>
  <si>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</si>
  <si>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</si>
  <si>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</si>
  <si>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</si>
  <si>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</si>
  <si>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</si>
  <si>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</si>
  <si>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</si>
  <si>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</si>
  <si>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</si>
  <si>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</si>
  <si>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</si>
  <si>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</si>
  <si>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</si>
  <si>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</si>
  <si>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</si>
  <si>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</si>
  <si>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</si>
  <si>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</si>
  <si>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</si>
  <si>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</si>
  <si>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</si>
  <si>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</si>
  <si>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</si>
  <si>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</si>
  <si>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</si>
  <si>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</si>
  <si>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</si>
  <si>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</si>
  <si>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</si>
  <si>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</si>
  <si>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</si>
  <si>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</si>
  <si>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</si>
  <si>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</si>
  <si>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</si>
  <si>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</si>
  <si>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</si>
  <si>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</si>
  <si>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</si>
  <si>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</si>
  <si>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</si>
  <si>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</si>
  <si>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</si>
  <si>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</si>
  <si>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</si>
  <si>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</si>
  <si>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</si>
  <si>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</si>
  <si>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</si>
  <si>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</si>
  <si>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</si>
  <si>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</si>
  <si>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</si>
  <si>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</si>
  <si>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</si>
  <si>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</si>
  <si>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</si>
  <si>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</si>
  <si>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</si>
  <si>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</si>
  <si>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</si>
  <si>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</si>
  <si>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</si>
  <si>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</si>
  <si>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</si>
  <si>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</si>
  <si>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</si>
  <si>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</si>
  <si>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</si>
  <si>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</si>
  <si>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</si>
  <si>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</si>
  <si>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</si>
  <si>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</si>
  <si>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</si>
  <si>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</si>
  <si>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</si>
  <si>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</si>
  <si>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</si>
  <si>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</si>
  <si>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</si>
  <si>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</si>
  <si>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</si>
  <si>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</si>
  <si>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</si>
  <si>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</si>
  <si>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</si>
  <si>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</si>
  <si>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</si>
  <si>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</si>
  <si>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</si>
  <si>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</si>
  <si>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</si>
  <si>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</si>
  <si>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</si>
  <si>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</si>
  <si>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</si>
  <si>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</si>
  <si>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</si>
  <si>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</si>
  <si>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</si>
  <si>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</si>
  <si>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</si>
  <si>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</si>
  <si>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</si>
  <si>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</si>
  <si>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</si>
  <si>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</si>
  <si>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</si>
  <si>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</si>
  <si>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</si>
  <si>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</si>
  <si>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</si>
  <si>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</si>
  <si>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</si>
  <si>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</si>
  <si>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</si>
  <si>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</si>
  <si>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</si>
  <si>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</si>
  <si>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</si>
  <si>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</si>
  <si>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</si>
  <si>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</si>
  <si>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</si>
  <si>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</si>
  <si>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</si>
  <si>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</si>
  <si>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</si>
  <si>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</si>
  <si>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</si>
  <si>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</si>
  <si>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</si>
  <si>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</si>
  <si>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</si>
  <si>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</si>
  <si>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</si>
  <si>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</si>
  <si>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</si>
  <si>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</si>
  <si>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</si>
  <si>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</si>
  <si>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</si>
  <si>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</si>
  <si>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</si>
  <si>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</si>
  <si>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</si>
  <si>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</si>
  <si>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</si>
  <si>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</si>
  <si>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</si>
  <si>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</si>
  <si>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</si>
  <si>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</si>
  <si>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</si>
  <si>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</si>
  <si>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</si>
  <si>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</si>
  <si>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</si>
  <si>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</si>
  <si>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</si>
  <si>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</si>
  <si>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</si>
  <si>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</si>
  <si>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</si>
  <si>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</si>
  <si>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</si>
  <si>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</si>
  <si>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</si>
  <si>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</si>
  <si>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</si>
  <si>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</si>
  <si>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</si>
  <si>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</si>
  <si>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</si>
  <si>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</si>
  <si>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</si>
  <si>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</si>
  <si>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</si>
  <si>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</si>
  <si>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</si>
  <si>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</si>
  <si>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</si>
  <si>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</si>
  <si>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</si>
  <si>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</si>
  <si>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</si>
  <si>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</si>
  <si>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</si>
  <si>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</si>
  <si>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</si>
  <si>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</si>
  <si>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</si>
  <si>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</si>
  <si>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</si>
  <si>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</si>
  <si>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</si>
  <si>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</si>
  <si>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</si>
  <si>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</si>
  <si>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</si>
  <si>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</si>
  <si>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</si>
  <si>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</si>
  <si>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</si>
  <si>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</si>
  <si>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</si>
  <si>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</si>
  <si>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</si>
  <si>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</si>
  <si>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</si>
  <si>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</si>
  <si>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</si>
  <si>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</si>
  <si>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</si>
  <si>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</si>
  <si>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</si>
  <si>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</si>
  <si>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</si>
  <si>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</si>
  <si>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</si>
  <si>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</si>
  <si>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</si>
  <si>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</si>
  <si>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</si>
  <si>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</si>
  <si>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</si>
  <si>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</si>
  <si>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</si>
  <si>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</si>
  <si>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</si>
  <si>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</si>
  <si>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</si>
  <si>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</si>
  <si>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</si>
  <si>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</si>
  <si>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</si>
  <si>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</si>
  <si>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</si>
  <si>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</si>
  <si>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</si>
  <si>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</si>
  <si>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</si>
  <si>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</si>
  <si>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</si>
  <si>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</si>
  <si>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</si>
  <si>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</si>
  <si>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</si>
  <si>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</si>
  <si>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</si>
  <si>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</si>
  <si>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</si>
  <si>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</si>
  <si>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</si>
  <si>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</si>
  <si>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</si>
  <si>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</si>
  <si>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</si>
  <si>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</si>
  <si>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</si>
  <si>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</si>
  <si>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</si>
  <si>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</si>
  <si>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</si>
  <si>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</si>
  <si>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</si>
  <si>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</si>
  <si>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</si>
  <si>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</si>
  <si>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</si>
  <si>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</si>
  <si>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</si>
  <si>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</si>
  <si>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</si>
  <si>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</si>
  <si>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</si>
  <si>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</si>
  <si>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</si>
  <si>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</si>
  <si>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</si>
  <si>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</si>
  <si>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</si>
  <si>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</si>
  <si>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</si>
  <si>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</si>
  <si>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</si>
  <si>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</si>
  <si>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</si>
  <si>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</si>
  <si>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</si>
  <si>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</si>
  <si>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</si>
  <si>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</si>
  <si>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</si>
  <si>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</si>
  <si>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</si>
  <si>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</si>
  <si>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</si>
  <si>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</si>
  <si>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</si>
  <si>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</si>
  <si>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</si>
  <si>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</si>
  <si>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</si>
  <si>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</si>
  <si>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</si>
  <si>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</si>
  <si>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</si>
  <si>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</si>
  <si>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</si>
  <si>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</si>
  <si>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</si>
  <si>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</si>
  <si>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</si>
  <si>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</si>
  <si>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</si>
  <si>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</si>
  <si>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</si>
  <si>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</si>
  <si>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</si>
  <si>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</si>
  <si>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</si>
  <si>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</si>
  <si>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</si>
  <si>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</si>
  <si>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</si>
  <si>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</si>
  <si>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</si>
  <si>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</si>
  <si>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</si>
  <si>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</si>
  <si>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</si>
  <si>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</si>
  <si>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</si>
  <si>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</si>
  <si>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</si>
  <si>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</si>
  <si>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</si>
  <si>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</si>
  <si>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</si>
  <si>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</si>
  <si>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</si>
  <si>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</si>
  <si>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</si>
  <si>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</si>
  <si>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</si>
  <si>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</si>
  <si>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</si>
  <si>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</si>
  <si>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</si>
  <si>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</si>
  <si>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</si>
  <si>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</si>
  <si>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</si>
  <si>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</si>
  <si>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</si>
  <si>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</si>
  <si>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</si>
  <si>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</si>
  <si>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</si>
  <si>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</si>
  <si>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</si>
  <si>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</si>
  <si>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</si>
  <si>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</si>
  <si>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</si>
  <si>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</si>
  <si>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</si>
  <si>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</si>
  <si>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</si>
  <si>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</si>
  <si>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</si>
  <si>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</si>
  <si>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</si>
  <si>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</si>
  <si>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</si>
  <si>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</si>
  <si>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</si>
  <si>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</si>
  <si>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</si>
  <si>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</si>
  <si>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</si>
  <si>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</si>
  <si>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</si>
  <si>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</si>
  <si>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</si>
  <si>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</si>
  <si>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</si>
  <si>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</si>
  <si>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</si>
  <si>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</si>
  <si>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</si>
  <si>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</si>
  <si>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</si>
  <si>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</si>
  <si>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</si>
  <si>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</si>
  <si>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</si>
  <si>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</si>
  <si>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</si>
  <si>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</si>
  <si>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</si>
  <si>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</si>
  <si>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</si>
  <si>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</si>
  <si>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</si>
  <si>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</si>
  <si>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</si>
  <si>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</si>
  <si>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</si>
  <si>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</si>
  <si>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</si>
  <si>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</si>
  <si>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</si>
  <si>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</si>
  <si>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</si>
  <si>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</si>
  <si>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</si>
  <si>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</si>
  <si>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</si>
  <si>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</si>
  <si>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</si>
  <si>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</si>
  <si>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</si>
  <si>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</si>
  <si>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</si>
  <si>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</si>
  <si>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</si>
  <si>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</si>
  <si>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</si>
  <si>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</si>
  <si>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</si>
  <si>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</si>
  <si>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</si>
  <si>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</si>
  <si>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</si>
  <si>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</si>
  <si>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</si>
  <si>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</si>
  <si>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</si>
  <si>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</si>
  <si>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</si>
  <si>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</si>
  <si>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</si>
  <si>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</si>
  <si>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</si>
  <si>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</si>
  <si>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</si>
  <si>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</si>
  <si>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</si>
  <si>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</si>
  <si>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</si>
  <si>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</si>
  <si>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</si>
  <si>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</si>
  <si>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</si>
  <si>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</si>
  <si>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</si>
  <si>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</si>
  <si>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</si>
  <si>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</si>
  <si>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</si>
  <si>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</si>
  <si>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</si>
  <si>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</si>
  <si>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</si>
  <si>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</si>
  <si>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</si>
  <si>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</si>
  <si>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</si>
  <si>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</si>
  <si>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</si>
  <si>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</si>
  <si>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</si>
  <si>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</si>
  <si>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</si>
  <si>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</si>
  <si>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</si>
  <si>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</si>
  <si>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</si>
  <si>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</si>
  <si>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</si>
  <si>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</si>
  <si>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</si>
  <si>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</si>
  <si>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</si>
  <si>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</si>
  <si>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</si>
  <si>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</si>
  <si>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</si>
  <si>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</si>
  <si>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</si>
  <si>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</si>
  <si>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</si>
  <si>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</si>
  <si>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</si>
  <si>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</si>
  <si>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</si>
  <si>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</si>
  <si>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</si>
  <si>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</si>
  <si>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</si>
  <si>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</si>
  <si>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</si>
  <si>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</si>
  <si>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</si>
  <si>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</si>
  <si>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</si>
  <si>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</si>
  <si>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</si>
  <si>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</si>
  <si>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</si>
  <si>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</si>
  <si>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</si>
  <si>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</si>
  <si>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</si>
  <si>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</si>
  <si>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</si>
  <si>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</si>
  <si>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</si>
  <si>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</si>
  <si>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</si>
  <si>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</si>
  <si>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</si>
  <si>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</si>
  <si>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</si>
  <si>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</si>
  <si>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</si>
  <si>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</si>
  <si>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</si>
  <si>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</si>
  <si>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</si>
  <si>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</si>
  <si>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</si>
  <si>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</si>
  <si>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</si>
  <si>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</si>
  <si>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</si>
  <si>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</si>
  <si>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</si>
  <si>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</si>
  <si>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</si>
  <si>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</si>
  <si>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</si>
  <si>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</si>
  <si>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</si>
  <si>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</si>
  <si>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</si>
  <si>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</si>
  <si>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</si>
  <si>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</si>
  <si>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</si>
  <si>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</si>
  <si>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</si>
  <si>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</si>
  <si>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</si>
  <si>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</si>
  <si>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</si>
  <si>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</si>
  <si>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</si>
  <si>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</si>
  <si>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</si>
  <si>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</si>
  <si>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</si>
  <si>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</si>
  <si>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</si>
  <si>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</si>
  <si>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</si>
  <si>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</si>
  <si>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</si>
  <si>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</si>
  <si>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</si>
  <si>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</si>
  <si>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</si>
  <si>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</si>
  <si>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</si>
  <si>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</si>
  <si>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</si>
  <si>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</si>
  <si>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</si>
  <si>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</si>
  <si>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</si>
  <si>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</si>
  <si>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</si>
  <si>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</si>
  <si>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</si>
  <si>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</si>
  <si>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</si>
  <si>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</si>
  <si>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</si>
  <si>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</si>
  <si>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</si>
  <si>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</si>
  <si>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</si>
  <si>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</si>
  <si>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</si>
  <si>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</si>
  <si>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</si>
  <si>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</si>
  <si>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</si>
  <si>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</si>
  <si>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</si>
  <si>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</si>
  <si>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</si>
  <si>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</si>
  <si>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</si>
  <si>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</si>
  <si>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</si>
  <si>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</si>
  <si>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</si>
  <si>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</si>
  <si>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</si>
  <si>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</si>
  <si>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</si>
  <si>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</si>
  <si>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</si>
  <si>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</si>
  <si>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</si>
  <si>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</si>
  <si>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</si>
  <si>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</si>
  <si>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</si>
  <si>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</si>
  <si>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</si>
  <si>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</si>
  <si>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</si>
  <si>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</si>
  <si>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</si>
  <si>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</si>
  <si>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</si>
  <si>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</si>
  <si>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</si>
  <si>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</si>
  <si>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</si>
  <si>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</si>
  <si>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</si>
  <si>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</si>
  <si>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</si>
  <si>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</si>
  <si>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</si>
  <si>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</si>
  <si>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</si>
  <si>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</si>
  <si>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</si>
  <si>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</si>
  <si>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</si>
  <si>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</si>
  <si>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</si>
  <si>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</si>
  <si>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</si>
  <si>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</si>
  <si>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</si>
  <si>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</si>
  <si>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</si>
  <si>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</si>
  <si>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</si>
  <si>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</si>
  <si>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</si>
  <si>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</si>
  <si>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</si>
  <si>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</si>
  <si>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</si>
  <si>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</si>
  <si>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</si>
  <si>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</si>
  <si>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</si>
  <si>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</si>
  <si>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</si>
  <si>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</si>
  <si>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</si>
  <si>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</si>
  <si>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</si>
  <si>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</si>
  <si>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</si>
  <si>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</si>
  <si>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</si>
  <si>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</si>
  <si>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</si>
  <si>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</si>
  <si>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</si>
  <si>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</si>
  <si>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</si>
  <si>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</si>
  <si>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</si>
  <si>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</si>
  <si>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</si>
  <si>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</si>
  <si>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</si>
  <si>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</si>
  <si>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</si>
  <si>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</si>
  <si>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</si>
  <si>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</si>
  <si>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</si>
  <si>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</si>
  <si>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</si>
  <si>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</si>
  <si>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</si>
  <si>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</si>
  <si>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</si>
  <si>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</si>
  <si>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</si>
  <si>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</si>
  <si>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</si>
  <si>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</si>
  <si>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</si>
  <si>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</si>
  <si>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</si>
  <si>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</si>
  <si>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</si>
  <si>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</si>
  <si>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</si>
  <si>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</si>
  <si>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</si>
  <si>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</si>
  <si>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</si>
  <si>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</si>
  <si>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</si>
  <si>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</si>
  <si>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</si>
  <si>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</si>
  <si>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</si>
  <si>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</si>
  <si>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</si>
  <si>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</si>
  <si>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</si>
  <si>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</si>
  <si>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</si>
  <si>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</si>
  <si>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</si>
  <si>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</si>
  <si>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</si>
  <si>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</si>
  <si>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</si>
  <si>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</si>
  <si>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</si>
  <si>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</si>
  <si>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</si>
  <si>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</si>
  <si>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</si>
  <si>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</si>
  <si>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</si>
  <si>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</si>
  <si>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</si>
  <si>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</si>
  <si>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</si>
  <si>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</si>
  <si>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</si>
  <si>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</si>
  <si>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</si>
  <si>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</si>
  <si>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</si>
  <si>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</si>
  <si>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</si>
  <si>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</si>
  <si>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</si>
  <si>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</si>
  <si>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</si>
  <si>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</si>
  <si>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</si>
  <si>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</si>
  <si>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</si>
  <si>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</si>
  <si>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</si>
  <si>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</si>
  <si>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</si>
  <si>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</si>
  <si>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</si>
  <si>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</si>
  <si>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</si>
  <si>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</si>
  <si>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</si>
  <si>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</si>
  <si>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</si>
  <si>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</si>
  <si>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</si>
  <si>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</si>
  <si>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</si>
  <si>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</si>
  <si>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</si>
  <si>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</si>
  <si>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</si>
  <si>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</si>
  <si>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</si>
  <si>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</si>
  <si>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</si>
  <si>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</si>
  <si>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</si>
  <si>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</si>
  <si>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</si>
  <si>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</si>
  <si>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</si>
  <si>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</si>
  <si>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</si>
  <si>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</si>
  <si>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</si>
  <si>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</si>
  <si>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</si>
  <si>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</si>
  <si>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</si>
  <si>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</si>
  <si>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</si>
  <si>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</si>
  <si>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</si>
  <si>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</si>
  <si>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</si>
  <si>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</si>
  <si>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</si>
  <si>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</si>
  <si>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</si>
  <si>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</si>
  <si>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</si>
  <si>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</si>
  <si>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</si>
  <si>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</si>
  <si>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</si>
  <si>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</si>
  <si>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</si>
  <si>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</si>
  <si>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</si>
  <si>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</si>
  <si>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</si>
  <si>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</si>
  <si>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</si>
  <si>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</si>
  <si>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</si>
  <si>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</si>
  <si>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</si>
  <si>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</si>
  <si>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</si>
  <si>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</si>
  <si>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</si>
  <si>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</si>
  <si>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</si>
  <si>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</si>
  <si>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</si>
  <si>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</si>
  <si>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</si>
  <si>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</si>
  <si>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</si>
  <si>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</si>
  <si>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</si>
  <si>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</si>
  <si>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</si>
  <si>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</si>
  <si>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</si>
  <si>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</si>
  <si>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</si>
  <si>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</si>
  <si>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</si>
  <si>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</si>
  <si>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</si>
  <si>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</si>
  <si>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</si>
  <si>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</si>
  <si>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</si>
  <si>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</si>
  <si>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</si>
  <si>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</si>
  <si>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</si>
  <si>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</si>
  <si>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</si>
  <si>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</si>
  <si>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</si>
  <si>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</si>
  <si>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</si>
  <si>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</si>
  <si>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</si>
  <si>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</si>
  <si>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</si>
  <si>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</si>
  <si>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</si>
  <si>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</si>
  <si>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</si>
  <si>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</si>
  <si>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</si>
  <si>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</si>
  <si>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</si>
  <si>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</si>
  <si>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</si>
  <si>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</si>
  <si>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</si>
  <si>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</si>
  <si>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</si>
  <si>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</si>
  <si>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</si>
  <si>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</si>
  <si>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</si>
  <si>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</si>
  <si>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</si>
  <si>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</si>
  <si>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</si>
  <si>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</si>
  <si>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</si>
  <si>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</si>
  <si>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</si>
  <si>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</si>
  <si>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</si>
  <si>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</si>
  <si>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</si>
  <si>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</si>
  <si>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</si>
  <si>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</si>
  <si>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</si>
  <si>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</si>
  <si>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</si>
  <si>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</si>
  <si>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</si>
  <si>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</si>
  <si>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</si>
  <si>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</si>
  <si>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</si>
  <si>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</si>
  <si>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</si>
  <si>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</si>
  <si>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</si>
  <si>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</si>
  <si>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</si>
  <si>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</si>
  <si>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</si>
  <si>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</si>
  <si>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</si>
  <si>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</si>
  <si>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</si>
  <si>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</si>
  <si>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</si>
  <si>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</si>
  <si>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</si>
  <si>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</si>
  <si>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</si>
  <si>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</si>
  <si>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</si>
  <si>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</si>
  <si>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</si>
  <si>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</si>
  <si>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</si>
  <si>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</si>
  <si>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</si>
  <si>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</si>
  <si>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</si>
  <si>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</si>
  <si>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</si>
  <si>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</si>
  <si>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</si>
  <si>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</si>
  <si>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</si>
  <si>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</si>
  <si>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</si>
  <si>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</si>
  <si>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</si>
  <si>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</si>
  <si>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</si>
  <si>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</si>
  <si>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</si>
  <si>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</si>
  <si>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</si>
  <si>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</si>
  <si>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</si>
  <si>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</si>
  <si>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</si>
  <si>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</si>
  <si>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</si>
  <si>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</si>
  <si>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</si>
  <si>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</si>
  <si>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</si>
  <si>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</si>
  <si>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</si>
  <si>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</si>
  <si>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</si>
  <si>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</si>
  <si>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</si>
  <si>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</si>
  <si>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</si>
  <si>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</si>
  <si>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</si>
  <si>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</si>
  <si>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</si>
  <si>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</si>
  <si>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</si>
  <si>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</si>
  <si>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</si>
  <si>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</si>
  <si>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</si>
  <si>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</si>
  <si>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</si>
  <si>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</si>
  <si>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</si>
  <si>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</si>
  <si>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</si>
  <si>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</si>
  <si>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</si>
  <si>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</si>
  <si>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</si>
  <si>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</si>
  <si>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</si>
  <si>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</si>
  <si>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</si>
  <si>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</si>
  <si>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</si>
  <si>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</si>
  <si>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</si>
  <si>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</si>
  <si>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</si>
  <si>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</si>
  <si>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</si>
  <si>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</si>
  <si>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</si>
  <si>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</si>
  <si>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</si>
  <si>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</si>
  <si>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</si>
  <si>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</si>
  <si>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</si>
  <si>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</si>
  <si>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</si>
  <si>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</si>
  <si>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</si>
  <si>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</si>
  <si>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</si>
  <si>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</si>
  <si>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</si>
  <si>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</si>
  <si>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</si>
  <si>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</si>
  <si>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</si>
  <si>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</si>
  <si>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</si>
  <si>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</si>
  <si>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</si>
  <si>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</si>
  <si>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</si>
  <si>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</si>
  <si>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</si>
  <si>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</si>
  <si>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</si>
  <si>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</si>
  <si>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</si>
  <si>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</si>
  <si>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</si>
  <si>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</si>
  <si>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</si>
  <si>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</si>
  <si>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</si>
  <si>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</si>
  <si>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</si>
  <si>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</si>
  <si>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</si>
  <si>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</si>
  <si>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</si>
  <si>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</si>
  <si>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</si>
  <si>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</si>
  <si>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</si>
  <si>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</si>
  <si>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</si>
  <si>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</si>
  <si>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</si>
  <si>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</si>
  <si>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</si>
  <si>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</si>
  <si>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</si>
  <si>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</si>
  <si>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</si>
  <si>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</si>
  <si>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</si>
  <si>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</si>
  <si>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</si>
  <si>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</si>
  <si>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</si>
  <si>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</si>
  <si>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</si>
  <si>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</si>
  <si>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</si>
  <si>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</si>
  <si>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</si>
  <si>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</si>
  <si>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</si>
  <si>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</si>
  <si>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</si>
  <si>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</si>
  <si>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</si>
  <si>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</si>
  <si>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</si>
  <si>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</si>
  <si>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</si>
  <si>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</si>
  <si>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</si>
  <si>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</si>
  <si>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</si>
  <si>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</si>
  <si>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</si>
  <si>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</si>
  <si>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</si>
  <si>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</si>
  <si>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</si>
  <si>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</si>
  <si>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</si>
  <si>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</si>
  <si>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</si>
  <si>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</si>
  <si>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</si>
  <si>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</si>
  <si>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</si>
  <si>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</si>
  <si>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</si>
  <si>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</si>
  <si>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</si>
  <si>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</si>
  <si>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</si>
  <si>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</si>
  <si>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</si>
  <si>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</si>
  <si>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</si>
  <si>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</si>
  <si>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</si>
  <si>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</si>
  <si>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</si>
  <si>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</si>
  <si>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</si>
  <si>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</si>
  <si>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</si>
  <si>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</si>
  <si>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</si>
  <si>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</si>
  <si>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</si>
  <si>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</si>
  <si>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</si>
  <si>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</si>
  <si>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</si>
  <si>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</si>
  <si>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</si>
  <si>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</si>
  <si>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</si>
  <si>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</si>
  <si>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</si>
  <si>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</si>
  <si>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</si>
  <si>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</si>
  <si>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</si>
  <si>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</si>
  <si>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</si>
  <si>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</si>
  <si>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</si>
  <si>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</si>
  <si>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</si>
  <si>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</si>
  <si>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</si>
  <si>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</si>
  <si>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</si>
  <si>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</si>
  <si>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</si>
  <si>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</si>
  <si>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</si>
  <si>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</si>
  <si>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</si>
  <si>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</si>
  <si>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</si>
  <si>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</si>
  <si>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</si>
  <si>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</si>
  <si>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</si>
  <si>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</si>
  <si>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</si>
  <si>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</si>
  <si>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</si>
  <si>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</si>
  <si>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</si>
  <si>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</si>
  <si>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</si>
  <si>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</si>
  <si>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</si>
  <si>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</si>
  <si>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</si>
  <si>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</si>
  <si>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</si>
  <si>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</si>
  <si>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</si>
  <si>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</si>
  <si>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</si>
  <si>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</si>
  <si>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</si>
  <si>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</si>
  <si>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</si>
  <si>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</si>
  <si>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</si>
  <si>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</si>
  <si>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</si>
  <si>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</si>
  <si>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</si>
  <si>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</si>
  <si>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</si>
  <si>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</si>
  <si>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</si>
  <si>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</si>
  <si>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</si>
  <si>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</si>
  <si>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</si>
  <si>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</si>
  <si>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</si>
  <si>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</si>
  <si>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</si>
  <si>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</si>
  <si>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</si>
  <si>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</si>
  <si>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</si>
  <si>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</si>
  <si>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</si>
  <si>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</si>
  <si>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</si>
  <si>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</si>
  <si>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</si>
  <si>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</si>
  <si>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</si>
  <si>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</si>
  <si>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</si>
  <si>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</si>
  <si>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</si>
  <si>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</si>
  <si>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</si>
  <si>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</si>
  <si>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</si>
  <si>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</si>
  <si>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</si>
  <si>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</si>
  <si>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</si>
  <si>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</si>
  <si>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</si>
  <si>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</si>
  <si>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</si>
  <si>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</si>
  <si>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</si>
  <si>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</si>
  <si>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</si>
  <si>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</si>
  <si>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</si>
  <si>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</si>
  <si>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</si>
  <si>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</si>
  <si>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</si>
  <si>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</si>
  <si>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</si>
  <si>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</si>
  <si>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</si>
  <si>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</si>
  <si>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</si>
  <si>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</si>
  <si>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</si>
  <si>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</si>
  <si>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</si>
  <si>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</si>
  <si>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</si>
  <si>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</si>
  <si>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</si>
  <si>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</si>
  <si>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</si>
  <si>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</si>
  <si>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</si>
  <si>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</si>
  <si>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</si>
  <si>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</si>
  <si>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</si>
  <si>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</si>
  <si>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</si>
  <si>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</si>
  <si>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</si>
  <si>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</si>
  <si>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</si>
  <si>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</si>
  <si>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</si>
  <si>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</si>
  <si>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</si>
  <si>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</si>
  <si>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</si>
  <si>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</si>
  <si>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</si>
  <si>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</si>
  <si>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</si>
  <si>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</si>
  <si>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</si>
  <si>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</si>
  <si>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</si>
  <si>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</si>
  <si>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</si>
  <si>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</si>
  <si>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</si>
  <si>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</si>
  <si>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</si>
  <si>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</si>
  <si>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</si>
  <si>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</si>
  <si>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</si>
  <si>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</si>
  <si>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</si>
  <si>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</si>
  <si>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</si>
  <si>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</si>
  <si>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</si>
  <si>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</si>
  <si>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</si>
  <si>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</si>
  <si>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</si>
  <si>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</si>
  <si>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</si>
  <si>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</si>
  <si>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</si>
  <si>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</si>
  <si>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</si>
  <si>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</si>
  <si>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</si>
  <si>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</si>
  <si>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</si>
  <si>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</si>
  <si>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</si>
  <si>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</si>
  <si>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</si>
  <si>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</si>
  <si>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</si>
  <si>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</si>
  <si>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</si>
  <si>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</si>
  <si>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</si>
  <si>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</si>
  <si>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</si>
  <si>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</si>
  <si>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</si>
  <si>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</si>
  <si>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</si>
  <si>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</si>
  <si>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</si>
  <si>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</si>
  <si>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</si>
  <si>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</si>
  <si>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</si>
  <si>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</si>
  <si>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</si>
  <si>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</si>
  <si>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</si>
  <si>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</si>
  <si>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</si>
  <si>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</si>
  <si>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</si>
  <si>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</si>
  <si>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</si>
  <si>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</si>
  <si>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</si>
  <si>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</si>
  <si>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</si>
  <si>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</si>
  <si>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</si>
  <si>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</si>
  <si>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</si>
  <si>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</si>
  <si>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</si>
  <si>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</si>
  <si>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</si>
  <si>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</si>
  <si>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</si>
  <si>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</si>
  <si>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</si>
  <si>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</si>
  <si>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</si>
  <si>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</si>
  <si>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</si>
  <si>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</si>
  <si>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</si>
  <si>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</si>
  <si>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</si>
  <si>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</si>
  <si>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</si>
  <si>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</si>
  <si>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</si>
  <si>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</si>
  <si>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</si>
  <si>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</si>
  <si>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</si>
  <si>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</si>
  <si>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</si>
  <si>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</si>
  <si>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</si>
  <si>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</si>
  <si>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</si>
  <si>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</si>
  <si>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</si>
  <si>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</si>
  <si>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</si>
  <si>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</si>
  <si>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</si>
  <si>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</si>
  <si>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</si>
  <si>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</si>
  <si>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</si>
  <si>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</si>
  <si>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</si>
  <si>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</si>
  <si>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</si>
  <si>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</si>
  <si>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</si>
  <si>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</si>
  <si>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</si>
  <si>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</si>
  <si>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</si>
  <si>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</si>
  <si>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</si>
  <si>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</si>
  <si>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</si>
  <si>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</si>
  <si>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</si>
  <si>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</si>
  <si>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</si>
  <si>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</si>
  <si>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</si>
  <si>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</si>
  <si>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</si>
  <si>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</si>
  <si>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</si>
  <si>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</si>
  <si>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</si>
  <si>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</si>
  <si>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</si>
  <si>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</si>
  <si>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</si>
  <si>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</si>
  <si>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</si>
  <si>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</si>
  <si>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</si>
  <si>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</si>
  <si>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</si>
  <si>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</si>
  <si>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</si>
  <si>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</si>
  <si>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</si>
  <si>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</si>
  <si>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</si>
  <si>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</si>
  <si>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</si>
  <si>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</si>
  <si>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</si>
  <si>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</si>
  <si>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</si>
  <si>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</si>
  <si>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</si>
  <si>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</si>
  <si>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</si>
  <si>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</si>
  <si>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</si>
  <si>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</si>
  <si>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</si>
  <si>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</si>
  <si>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</si>
  <si>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</si>
  <si>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</si>
  <si>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</si>
  <si>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</si>
  <si>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</si>
  <si>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</si>
  <si>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</si>
  <si>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</si>
  <si>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</si>
  <si>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</si>
  <si>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</si>
  <si>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</si>
  <si>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</si>
  <si>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</si>
  <si>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</si>
  <si>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</si>
  <si>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</si>
  <si>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</si>
  <si>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</si>
  <si>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</si>
  <si>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</si>
  <si>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</si>
  <si>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</si>
  <si>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</si>
  <si>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</si>
  <si>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</si>
  <si>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</si>
  <si>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</si>
  <si>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</si>
  <si>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</si>
  <si>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</si>
  <si>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</si>
  <si>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</si>
  <si>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</si>
  <si>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</si>
  <si>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</si>
  <si>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</si>
  <si>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</si>
  <si>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</si>
  <si>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</si>
  <si>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</si>
  <si>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</si>
  <si>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</si>
  <si>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</si>
  <si>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</si>
  <si>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</si>
  <si>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</si>
  <si>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</si>
  <si>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</si>
  <si>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</si>
  <si>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</si>
  <si>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</si>
  <si>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</si>
  <si>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</si>
  <si>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</si>
  <si>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</si>
  <si>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</si>
  <si>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</si>
  <si>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</si>
  <si>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</si>
  <si>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</si>
  <si>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</si>
  <si>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</si>
  <si>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</si>
  <si>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</si>
  <si>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</si>
  <si>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</si>
  <si>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</si>
  <si>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</si>
  <si>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</si>
  <si>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</si>
  <si>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</si>
  <si>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</si>
  <si>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</si>
  <si>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</si>
  <si>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</si>
  <si>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</si>
  <si>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</si>
  <si>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</si>
  <si>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</si>
  <si>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</si>
  <si>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</si>
  <si>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</si>
  <si>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</si>
  <si>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</si>
  <si>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</si>
  <si>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</si>
  <si>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</si>
  <si>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</si>
  <si>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</si>
  <si>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</si>
  <si>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</si>
  <si>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</si>
  <si>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</si>
  <si>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</si>
  <si>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</si>
  <si>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</si>
  <si>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</si>
  <si>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</si>
  <si>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</si>
  <si>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</si>
  <si>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</si>
  <si>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</si>
  <si>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</si>
  <si>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</si>
  <si>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</si>
  <si>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</si>
  <si>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</si>
  <si>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</si>
  <si>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</si>
  <si>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</si>
  <si>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</si>
  <si>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</si>
  <si>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</si>
  <si>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</si>
  <si>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</si>
  <si>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</si>
  <si>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</si>
  <si>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</si>
  <si>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</si>
  <si>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</si>
  <si>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</si>
  <si>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</si>
  <si>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</si>
  <si>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</si>
  <si>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</si>
  <si>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</si>
  <si>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</si>
  <si>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</si>
  <si>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</si>
  <si>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</si>
  <si>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</si>
  <si>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</si>
  <si>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</si>
  <si>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</si>
  <si>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</si>
  <si>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</si>
  <si>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</si>
  <si>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</si>
  <si>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</si>
  <si>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</si>
  <si>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</si>
  <si>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</si>
  <si>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</si>
  <si>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</si>
  <si>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</si>
  <si>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</si>
  <si>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</si>
  <si>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</si>
  <si>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</si>
  <si>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</si>
  <si>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</si>
  <si>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</si>
  <si>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</si>
  <si>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</si>
  <si>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</si>
  <si>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</si>
  <si>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</si>
  <si>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</si>
  <si>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</si>
  <si>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</si>
  <si>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</si>
  <si>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</si>
  <si>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</si>
  <si>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</si>
  <si>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</si>
  <si>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</si>
  <si>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</si>
  <si>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</si>
  <si>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</si>
  <si>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</si>
  <si>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</si>
  <si>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</si>
  <si>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</si>
  <si>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</si>
  <si>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</si>
  <si>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</si>
  <si>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</si>
  <si>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</si>
  <si>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</si>
  <si>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</si>
  <si>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</si>
  <si>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</si>
  <si>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</si>
  <si>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</si>
  <si>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</si>
  <si>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</si>
  <si>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</si>
  <si>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</si>
  <si>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</si>
  <si>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</si>
  <si>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</si>
  <si>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</si>
  <si>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</si>
  <si>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</si>
  <si>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</si>
  <si>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</si>
  <si>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</si>
  <si>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</si>
  <si>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</si>
  <si>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</si>
  <si>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</si>
  <si>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</si>
  <si>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</si>
  <si>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</si>
  <si>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</si>
  <si>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</si>
  <si>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</si>
  <si>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</si>
  <si>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</si>
  <si>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</si>
  <si>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</si>
  <si>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</si>
  <si>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</si>
  <si>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</si>
  <si>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</si>
  <si>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</si>
  <si>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</si>
  <si>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</si>
  <si>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</si>
  <si>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</si>
  <si>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</si>
  <si>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</si>
  <si>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</si>
  <si>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</si>
  <si>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</si>
  <si>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</si>
  <si>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</si>
  <si>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</si>
  <si>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</si>
  <si>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</si>
  <si>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</si>
  <si>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</si>
  <si>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</si>
  <si>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</si>
  <si>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</si>
  <si>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</si>
  <si>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</si>
  <si>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</si>
  <si>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</si>
  <si>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</si>
  <si>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</si>
  <si>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</si>
  <si>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</si>
  <si>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</si>
  <si>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</si>
  <si>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</si>
  <si>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</si>
  <si>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</si>
  <si>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</si>
  <si>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</si>
  <si>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</si>
  <si>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</si>
  <si>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</si>
  <si>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</si>
  <si>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</si>
  <si>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</si>
  <si>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</si>
  <si>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</si>
  <si>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</si>
  <si>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</si>
  <si>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</si>
  <si>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</si>
  <si>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</si>
  <si>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</si>
  <si>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</si>
  <si>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</si>
  <si>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</si>
  <si>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</si>
  <si>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</si>
  <si>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</si>
  <si>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</si>
  <si>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</si>
  <si>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</si>
  <si>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</si>
  <si>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</si>
  <si>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</si>
  <si>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</si>
  <si>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</si>
  <si>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</si>
  <si>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</si>
  <si>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</si>
  <si>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</si>
  <si>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</si>
  <si>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</si>
  <si>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</si>
  <si>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</si>
  <si>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</si>
  <si>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</si>
  <si>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</si>
  <si>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</si>
  <si>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</si>
  <si>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</si>
  <si>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</si>
  <si>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</si>
  <si>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</si>
  <si>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</si>
  <si>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</si>
  <si>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</si>
  <si>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</si>
  <si>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</si>
  <si>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</si>
  <si>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</si>
  <si>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</si>
  <si>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</si>
  <si>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</si>
  <si>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</si>
  <si>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</si>
  <si>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</si>
  <si>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</si>
  <si>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</si>
  <si>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</si>
  <si>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</si>
  <si>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</si>
  <si>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</si>
  <si>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</si>
  <si>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</si>
  <si>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</si>
  <si>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</si>
  <si>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</si>
  <si>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</si>
  <si>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</si>
  <si>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</si>
  <si>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</si>
  <si>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</si>
  <si>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</si>
  <si>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</si>
  <si>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</si>
  <si>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</si>
  <si>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</si>
  <si>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</si>
  <si>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</si>
  <si>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</si>
  <si>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</si>
  <si>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</si>
  <si>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</si>
  <si>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</si>
  <si>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</si>
  <si>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</si>
  <si>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</si>
  <si>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</si>
  <si>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</si>
  <si>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</si>
  <si>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</si>
  <si>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</si>
  <si>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</si>
  <si>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</si>
  <si>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</si>
  <si>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</si>
  <si>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</si>
  <si>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</si>
  <si>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</si>
  <si>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</si>
  <si>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</si>
  <si>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</si>
  <si>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</si>
  <si>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</si>
  <si>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</si>
  <si>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</si>
  <si>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</si>
  <si>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</si>
  <si>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</si>
  <si>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</si>
  <si>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</si>
  <si>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</si>
  <si>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</si>
  <si>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</si>
  <si>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</si>
  <si>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</si>
  <si>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</si>
  <si>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</si>
  <si>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</si>
  <si>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</si>
  <si>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</si>
  <si>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</si>
  <si>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</si>
  <si>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</si>
  <si>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</si>
  <si>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</si>
  <si>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</si>
  <si>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</si>
  <si>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</si>
  <si>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</si>
  <si>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</si>
  <si>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</si>
  <si>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</si>
  <si>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</si>
  <si>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</si>
  <si>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</si>
  <si>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</si>
  <si>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</si>
  <si>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</si>
  <si>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</si>
  <si>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</si>
  <si>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</si>
  <si>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</si>
  <si>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</si>
  <si>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</si>
  <si>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</si>
  <si>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</si>
  <si>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</si>
  <si>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</si>
  <si>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</si>
  <si>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</si>
  <si>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</si>
  <si>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</si>
  <si>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</si>
  <si>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</si>
  <si>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</si>
  <si>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</si>
  <si>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</si>
  <si>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</si>
  <si>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</si>
  <si>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</si>
  <si>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</si>
  <si>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</si>
  <si>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</si>
  <si>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</si>
  <si>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</si>
  <si>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</si>
  <si>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</si>
  <si>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</si>
  <si>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</si>
  <si>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</si>
  <si>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</si>
  <si>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</si>
  <si>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</si>
  <si>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</si>
  <si>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</si>
  <si>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</si>
  <si>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</si>
  <si>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</si>
  <si>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</si>
  <si>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</si>
  <si>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</si>
  <si>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</si>
  <si>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</si>
  <si>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</si>
  <si>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</si>
  <si>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</si>
  <si>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</si>
  <si>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</si>
  <si>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</si>
  <si>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</si>
  <si>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</si>
  <si>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</si>
  <si>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</si>
  <si>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</si>
  <si>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</si>
  <si>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</si>
  <si>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</si>
  <si>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</si>
  <si>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</si>
  <si>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</si>
  <si>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</si>
  <si>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</si>
  <si>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</si>
  <si>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</si>
  <si>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</si>
  <si>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</si>
  <si>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</si>
  <si>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</si>
  <si>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</si>
  <si>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</si>
  <si>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</si>
  <si>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</si>
  <si>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</si>
  <si>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</si>
  <si>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</si>
  <si>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</si>
  <si>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</si>
  <si>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</si>
  <si>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</si>
  <si>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</si>
  <si>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</si>
  <si>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</si>
  <si>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</si>
  <si>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</si>
  <si>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</si>
  <si>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</si>
  <si>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</si>
  <si>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</si>
  <si>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</si>
  <si>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</si>
  <si>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</si>
  <si>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</si>
  <si>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</si>
  <si>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</si>
  <si>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</si>
  <si>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</si>
  <si>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</si>
  <si>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</si>
  <si>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</si>
  <si>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</si>
  <si>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</si>
  <si>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</si>
  <si>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</si>
  <si>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</si>
  <si>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</si>
  <si>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</si>
  <si>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</si>
  <si>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</si>
  <si>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</si>
  <si>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</si>
  <si>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</si>
  <si>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</si>
  <si>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</si>
  <si>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</si>
  <si>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</si>
  <si>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</si>
  <si>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</si>
  <si>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</si>
  <si>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</si>
  <si>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</si>
  <si>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</si>
  <si>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</si>
  <si>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</si>
  <si>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</si>
  <si>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</si>
  <si>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</si>
  <si>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</si>
  <si>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</si>
  <si>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</si>
  <si>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</si>
  <si>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</si>
  <si>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</si>
  <si>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</si>
  <si>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</si>
  <si>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</si>
  <si>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</si>
  <si>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</si>
  <si>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</si>
  <si>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</si>
  <si>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</si>
  <si>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</si>
  <si>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</si>
  <si>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</si>
  <si>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</si>
  <si>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</si>
  <si>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</si>
  <si>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</si>
  <si>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</si>
  <si>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</si>
  <si>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</si>
  <si>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</si>
  <si>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</si>
  <si>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</si>
  <si>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</si>
  <si>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</si>
  <si>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</si>
  <si>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</si>
  <si>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</si>
  <si>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</si>
  <si>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</si>
  <si>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</si>
  <si>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</si>
  <si>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</si>
  <si>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</si>
  <si>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</si>
  <si>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</si>
  <si>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</si>
  <si>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</si>
  <si>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</si>
  <si>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</si>
  <si>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</si>
  <si>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</si>
  <si>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</si>
  <si>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</si>
  <si>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</si>
  <si>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</si>
  <si>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</si>
  <si>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</si>
  <si>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</si>
  <si>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</si>
  <si>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</si>
  <si>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</si>
  <si>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</si>
  <si>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</si>
  <si>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</si>
  <si>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</si>
  <si>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</si>
  <si>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</si>
  <si>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</si>
  <si>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</si>
  <si>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</si>
  <si>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</si>
  <si>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</si>
  <si>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</si>
  <si>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</si>
  <si>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</si>
  <si>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</si>
  <si>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</si>
  <si>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</si>
  <si>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</si>
  <si>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</si>
  <si>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</si>
  <si>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</si>
  <si>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</si>
  <si>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</si>
  <si>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</si>
  <si>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</si>
  <si>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</si>
  <si>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</si>
  <si>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</si>
  <si>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</si>
  <si>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</si>
  <si>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</si>
  <si>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</si>
  <si>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</si>
  <si>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</si>
  <si>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</si>
  <si>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</si>
  <si>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</si>
  <si>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</si>
  <si>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</si>
  <si>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</si>
  <si>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</si>
  <si>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</si>
  <si>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</si>
  <si>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</si>
  <si>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</si>
  <si>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</si>
  <si>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</si>
  <si>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</si>
  <si>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</si>
  <si>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</si>
  <si>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</si>
  <si>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</si>
  <si>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</si>
  <si>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</si>
  <si>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</si>
  <si>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</si>
  <si>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</si>
  <si>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</si>
  <si>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</si>
  <si>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</si>
  <si>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</si>
  <si>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</si>
  <si>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</si>
  <si>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</si>
  <si>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</si>
  <si>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</si>
  <si>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</si>
  <si>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</si>
  <si>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</si>
  <si>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</si>
  <si>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</si>
  <si>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</si>
  <si>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</si>
  <si>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</si>
  <si>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</si>
  <si>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</si>
  <si>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</si>
  <si>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</si>
  <si>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</si>
  <si>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</si>
  <si>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</si>
  <si>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</si>
  <si>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</si>
  <si>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</si>
  <si>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</si>
  <si>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</si>
  <si>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</si>
  <si>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</si>
  <si>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</si>
  <si>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</si>
  <si>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</si>
  <si>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</si>
  <si>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</si>
  <si>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</si>
  <si>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</si>
  <si>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</si>
  <si>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</si>
  <si>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</si>
  <si>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</si>
  <si>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</si>
  <si>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</si>
  <si>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</si>
  <si>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</si>
  <si>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</si>
  <si>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</si>
  <si>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</si>
  <si>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</si>
  <si>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</si>
  <si>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</si>
  <si>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</si>
  <si>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</si>
  <si>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</si>
  <si>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</si>
  <si>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</si>
  <si>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</si>
  <si>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</si>
  <si>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</si>
  <si>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</si>
  <si>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</si>
  <si>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</si>
  <si>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</si>
  <si>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</si>
  <si>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</si>
  <si>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</si>
  <si>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</si>
  <si>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</si>
  <si>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</si>
  <si>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</si>
  <si>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</si>
  <si>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</si>
  <si>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</si>
  <si>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</si>
  <si>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</si>
  <si>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</si>
  <si>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</si>
  <si>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</si>
  <si>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</si>
  <si>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</si>
  <si>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</si>
  <si>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</si>
  <si>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</si>
  <si>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</si>
  <si>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</si>
  <si>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</si>
  <si>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</si>
  <si>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</si>
  <si>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</si>
  <si>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</si>
  <si>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</si>
  <si>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</si>
  <si>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</si>
  <si>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</si>
  <si>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</si>
  <si>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</si>
  <si>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</si>
  <si>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</si>
  <si>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</si>
  <si>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</si>
  <si>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</si>
  <si>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</si>
  <si>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</si>
  <si>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</si>
  <si>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</si>
  <si>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</si>
  <si>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</si>
  <si>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</si>
  <si>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</si>
  <si>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</si>
  <si>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</si>
  <si>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</si>
  <si>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</si>
  <si>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</si>
  <si>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</si>
  <si>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</si>
  <si>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</si>
  <si>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</si>
  <si>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</si>
  <si>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</si>
  <si>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</si>
  <si>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</si>
  <si>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</si>
  <si>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</si>
  <si>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</si>
  <si>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</si>
  <si>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</si>
  <si>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</si>
  <si>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</si>
  <si>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</si>
  <si>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</si>
  <si>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</si>
  <si>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</si>
  <si>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</si>
  <si>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</si>
  <si>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</si>
  <si>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</si>
  <si>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</si>
  <si>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</si>
  <si>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</si>
  <si>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</si>
  <si>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</si>
  <si>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</si>
  <si>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</si>
  <si>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</si>
  <si>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</si>
  <si>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</si>
  <si>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</si>
  <si>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</si>
  <si>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</si>
  <si>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</si>
  <si>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</si>
  <si>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</si>
  <si>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</si>
  <si>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</si>
  <si>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</si>
  <si>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</si>
  <si>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</si>
  <si>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</si>
  <si>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</si>
  <si>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</si>
  <si>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</si>
  <si>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</si>
  <si>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</si>
  <si>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</si>
  <si>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</si>
  <si>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</si>
  <si>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</si>
  <si>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</si>
  <si>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</si>
  <si>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</si>
  <si>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</si>
  <si>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</si>
  <si>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</si>
  <si>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</si>
  <si>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</si>
  <si>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</si>
  <si>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</si>
  <si>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</si>
  <si>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</si>
  <si>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</si>
  <si>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</si>
  <si>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</si>
  <si>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</si>
  <si>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</si>
  <si>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</si>
  <si>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</si>
  <si>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</si>
  <si>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</si>
  <si>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</si>
  <si>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</si>
  <si>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</si>
  <si>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</si>
  <si>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</si>
  <si>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</si>
  <si>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</si>
  <si>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</si>
  <si>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</si>
  <si>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</si>
  <si>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</si>
  <si>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</si>
  <si>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</si>
  <si>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</si>
  <si>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</si>
  <si>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</si>
  <si>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</si>
  <si>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</si>
  <si>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</si>
  <si>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</si>
  <si>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</si>
  <si>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</si>
  <si>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</si>
  <si>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</si>
  <si>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</si>
  <si>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</si>
  <si>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</si>
  <si>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</si>
  <si>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</si>
  <si>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</si>
  <si>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</si>
  <si>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</si>
  <si>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</si>
  <si>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</si>
  <si>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</si>
  <si>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</si>
  <si>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</si>
  <si>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</si>
  <si>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</si>
  <si>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</si>
  <si>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</si>
  <si>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</si>
  <si>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</si>
  <si>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</si>
  <si>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</si>
  <si>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</si>
  <si>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</si>
  <si>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</si>
  <si>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</si>
  <si>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</si>
  <si>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</si>
  <si>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</si>
  <si>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</si>
  <si>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</si>
  <si>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</si>
  <si>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</si>
  <si>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</si>
  <si>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</si>
  <si>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</si>
  <si>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</si>
  <si>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</si>
  <si>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</si>
  <si>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</si>
  <si>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</si>
  <si>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</si>
  <si>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</si>
  <si>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</si>
  <si>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</si>
  <si>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</si>
  <si>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</si>
  <si>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</si>
  <si>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</si>
  <si>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</si>
  <si>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</si>
  <si>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</si>
  <si>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</si>
  <si>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</si>
  <si>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</si>
  <si>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</si>
  <si>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</si>
  <si>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</si>
  <si>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</si>
  <si>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</si>
  <si>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</si>
  <si>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</si>
  <si>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</si>
  <si>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</si>
  <si>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</si>
  <si>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</si>
  <si>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</si>
  <si>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</si>
  <si>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</si>
  <si>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</si>
  <si>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</si>
  <si>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</si>
  <si>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</si>
  <si>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</si>
  <si>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</si>
  <si>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</si>
  <si>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</si>
  <si>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</si>
  <si>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</si>
  <si>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</si>
  <si>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</si>
  <si>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</si>
  <si>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</si>
  <si>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</si>
  <si>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</si>
  <si>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</si>
  <si>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</si>
  <si>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</si>
  <si>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</si>
  <si>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</si>
  <si>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</si>
  <si>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</si>
  <si>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</si>
  <si>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</si>
  <si>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</si>
  <si>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</si>
  <si>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</si>
  <si>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</si>
  <si>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</si>
  <si>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</si>
  <si>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</si>
  <si>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</si>
  <si>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</si>
  <si>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</si>
  <si>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</si>
  <si>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</si>
  <si>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</si>
  <si>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</si>
  <si>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</si>
  <si>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</si>
  <si>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</si>
  <si>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</si>
  <si>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</si>
  <si>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</si>
  <si>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</si>
  <si>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</si>
  <si>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</si>
  <si>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</si>
  <si>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</si>
  <si>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</si>
  <si>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</si>
  <si>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</si>
  <si>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</si>
  <si>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</si>
  <si>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</si>
  <si>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</si>
  <si>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</si>
  <si>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</si>
  <si>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</si>
  <si>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</si>
  <si>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</si>
  <si>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</si>
  <si>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</si>
  <si>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</si>
  <si>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</si>
  <si>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</si>
  <si>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</si>
  <si>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</si>
  <si>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</si>
  <si>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</si>
  <si>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</si>
  <si>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</si>
  <si>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</si>
  <si>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</si>
  <si>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</si>
  <si>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</si>
  <si>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</si>
  <si>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</si>
  <si>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</si>
  <si>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</si>
  <si>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</si>
  <si>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</si>
  <si>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</si>
  <si>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</si>
  <si>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</si>
  <si>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</si>
  <si>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</si>
  <si>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</si>
  <si>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</si>
  <si>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</si>
  <si>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</si>
  <si>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</si>
  <si>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</si>
  <si>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</si>
  <si>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</si>
  <si>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</si>
  <si>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</si>
  <si>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</si>
  <si>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</si>
  <si>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</si>
  <si>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</si>
  <si>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</si>
  <si>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</si>
  <si>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</si>
  <si>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</si>
  <si>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</si>
  <si>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</si>
  <si>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</si>
  <si>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</si>
  <si>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</si>
  <si>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</si>
  <si>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</si>
  <si>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</si>
  <si>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</si>
  <si>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</si>
  <si>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</si>
  <si>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</si>
  <si>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</si>
  <si>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</si>
  <si>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</si>
  <si>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</si>
  <si>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</si>
  <si>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</si>
  <si>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</si>
  <si>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</si>
  <si>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</si>
  <si>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</si>
  <si>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</si>
  <si>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</si>
  <si>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</si>
  <si>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</si>
  <si>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</si>
  <si>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</si>
  <si>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</si>
  <si>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</si>
  <si>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</si>
  <si>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</si>
  <si>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</si>
  <si>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</si>
  <si>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</si>
  <si>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</si>
  <si>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</si>
  <si>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</si>
  <si>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</si>
  <si>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</si>
  <si>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</si>
  <si>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</si>
  <si>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</si>
  <si>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</si>
  <si>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</si>
  <si>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</si>
  <si>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</si>
  <si>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</si>
  <si>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</si>
  <si>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</si>
  <si>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</si>
  <si>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</si>
  <si>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</si>
  <si>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</si>
  <si>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</si>
  <si>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</si>
  <si>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</si>
  <si>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</si>
  <si>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</si>
  <si>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</si>
  <si>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</si>
  <si>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</si>
  <si>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</si>
  <si>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</si>
  <si>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</si>
  <si>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</si>
  <si>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</si>
  <si>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</si>
  <si>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</si>
  <si>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</si>
  <si>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</si>
  <si>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</si>
  <si>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</si>
  <si>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</si>
  <si>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</si>
  <si>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</si>
  <si>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</si>
  <si>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</si>
  <si>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</si>
  <si>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</si>
  <si>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</si>
  <si>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</si>
  <si>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</si>
  <si>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</si>
  <si>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</si>
  <si>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</si>
  <si>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</si>
  <si>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</si>
  <si>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</si>
  <si>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</si>
  <si>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</si>
  <si>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</si>
  <si>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</si>
  <si>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</si>
  <si>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</si>
  <si>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</si>
  <si>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</si>
  <si>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</si>
  <si>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</si>
  <si>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</si>
  <si>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</si>
  <si>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</si>
  <si>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</si>
  <si>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</si>
  <si>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</si>
  <si>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</si>
  <si>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</si>
  <si>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</si>
  <si>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</si>
  <si>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</si>
  <si>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</si>
  <si>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</si>
  <si>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</si>
  <si>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</si>
  <si>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</si>
  <si>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</si>
  <si>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</si>
  <si>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</si>
  <si>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</si>
  <si>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</si>
  <si>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</si>
  <si>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</si>
  <si>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</si>
  <si>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</si>
  <si>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</si>
  <si>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</si>
  <si>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</si>
  <si>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</si>
  <si>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</si>
  <si>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</si>
  <si>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</si>
  <si>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</si>
  <si>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</si>
  <si>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</si>
  <si>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</si>
  <si>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</si>
  <si>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</si>
  <si>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</si>
  <si>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</si>
  <si>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</si>
  <si>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</si>
  <si>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</si>
  <si>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</si>
  <si>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</si>
  <si>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</si>
  <si>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</si>
  <si>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</si>
  <si>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</si>
  <si>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</si>
  <si>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</si>
  <si>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</si>
  <si>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</si>
  <si>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</si>
  <si>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</si>
  <si>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</si>
  <si>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</si>
  <si>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</si>
  <si>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</si>
  <si>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</si>
  <si>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</si>
  <si>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</si>
  <si>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</si>
  <si>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</si>
  <si>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</si>
  <si>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</si>
  <si>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</si>
  <si>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</si>
  <si>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</si>
  <si>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</si>
  <si>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</si>
  <si>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</si>
  <si>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</si>
  <si>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</si>
  <si>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</si>
  <si>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</si>
  <si>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</si>
  <si>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</si>
  <si>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</si>
  <si>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</si>
  <si>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</si>
  <si>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</si>
  <si>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</si>
  <si>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</si>
  <si>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</si>
  <si>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</si>
  <si>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</si>
  <si>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</si>
  <si>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</si>
  <si>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</si>
  <si>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</si>
  <si>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</si>
  <si>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</si>
  <si>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</si>
  <si>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</si>
  <si>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</si>
  <si>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</si>
  <si>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</si>
  <si>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</si>
  <si>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</si>
  <si>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</si>
  <si>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</si>
  <si>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</si>
  <si>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</si>
  <si>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</si>
  <si>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</si>
  <si>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</si>
  <si>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</si>
  <si>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</si>
  <si>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</si>
  <si>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</si>
  <si>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</si>
  <si>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</si>
  <si>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</si>
  <si>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</si>
  <si>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</si>
  <si>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</si>
  <si>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</si>
  <si>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</si>
  <si>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</si>
  <si>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</si>
  <si>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</si>
  <si>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</si>
  <si>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</si>
  <si>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</si>
  <si>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</si>
  <si>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</si>
  <si>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</si>
  <si>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</si>
  <si>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</si>
  <si>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</si>
  <si>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</si>
  <si>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</si>
  <si>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</si>
  <si>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</si>
  <si>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</si>
  <si>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</si>
  <si>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</si>
  <si>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</si>
  <si>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</si>
  <si>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</si>
  <si>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</si>
  <si>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</si>
  <si>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</si>
  <si>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</si>
  <si>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</si>
  <si>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</si>
  <si>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</si>
  <si>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</si>
  <si>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</si>
  <si>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</si>
  <si>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</si>
  <si>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</si>
  <si>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</si>
  <si>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</si>
  <si>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</si>
  <si>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</si>
  <si>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</si>
  <si>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</si>
  <si>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</si>
  <si>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</si>
  <si>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</si>
  <si>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</si>
  <si>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</si>
  <si>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</si>
  <si>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</si>
  <si>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</si>
  <si>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</si>
  <si>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</si>
  <si>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</si>
  <si>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</si>
  <si>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</si>
  <si>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</si>
  <si>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</si>
  <si>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</si>
  <si>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</si>
  <si>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</si>
  <si>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</si>
  <si>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</si>
  <si>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</si>
  <si>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</si>
  <si>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</si>
  <si>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</si>
  <si>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</si>
  <si>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</si>
  <si>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</si>
  <si>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</si>
  <si>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</si>
  <si>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</si>
  <si>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</si>
  <si>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</si>
  <si>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</si>
  <si>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</si>
  <si>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</si>
  <si>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</si>
  <si>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</si>
  <si>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</si>
  <si>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</si>
  <si>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</si>
  <si>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</si>
  <si>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</si>
  <si>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</si>
  <si>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</si>
  <si>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</si>
  <si>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</si>
  <si>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</si>
  <si>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</si>
  <si>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</si>
  <si>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</si>
  <si>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</si>
  <si>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</si>
  <si>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</si>
  <si>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</si>
  <si>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</si>
  <si>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</si>
  <si>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</si>
  <si>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</si>
  <si>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</si>
  <si>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</si>
  <si>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</si>
  <si>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</si>
  <si>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</si>
  <si>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</si>
  <si>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</si>
  <si>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</si>
  <si>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</si>
  <si>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</si>
  <si>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</si>
  <si>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</si>
  <si>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</si>
  <si>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</si>
  <si>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</si>
  <si>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</si>
  <si>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</si>
  <si>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</si>
  <si>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</si>
  <si>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</si>
  <si>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</si>
  <si>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</si>
  <si>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</si>
  <si>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</si>
  <si>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</si>
  <si>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</si>
  <si>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</si>
  <si>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</si>
  <si>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</si>
  <si>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</si>
  <si>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</si>
  <si>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</si>
  <si>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</si>
  <si>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</si>
  <si>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</si>
  <si>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</si>
  <si>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</si>
  <si>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</si>
  <si>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</si>
  <si>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</si>
  <si>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</si>
  <si>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</si>
  <si>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</si>
  <si>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</si>
  <si>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</si>
  <si>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</si>
  <si>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</si>
  <si>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</si>
  <si>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</si>
  <si>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</si>
  <si>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</si>
  <si>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</si>
  <si>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</si>
  <si>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</si>
  <si>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</si>
  <si>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</si>
  <si>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</si>
  <si>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</si>
  <si>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</si>
  <si>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</si>
  <si>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</si>
  <si>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</si>
  <si>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</si>
  <si>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</si>
  <si>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</si>
  <si>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</si>
  <si>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</si>
  <si>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</si>
  <si>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</si>
  <si>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</si>
  <si>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</si>
  <si>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</si>
  <si>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</si>
  <si>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</si>
  <si>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</si>
  <si>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</si>
  <si>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</si>
  <si>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</si>
  <si>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</si>
  <si>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</si>
  <si>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</si>
  <si>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</si>
  <si>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</si>
  <si>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</si>
  <si>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</si>
  <si>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</si>
  <si>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</si>
  <si>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</si>
  <si>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</si>
  <si>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</si>
  <si>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</si>
  <si>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</si>
  <si>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</si>
  <si>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</si>
  <si>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</si>
  <si>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</si>
  <si>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</si>
  <si>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</si>
  <si>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</si>
  <si>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</si>
  <si>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</si>
  <si>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</si>
  <si>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</si>
  <si>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</si>
  <si>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</si>
  <si>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</si>
  <si>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</si>
  <si>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</si>
  <si>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</si>
  <si>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</si>
  <si>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</si>
  <si>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</si>
  <si>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</si>
  <si>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</si>
  <si>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</si>
  <si>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</si>
  <si>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</si>
  <si>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</si>
  <si>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</si>
  <si>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</si>
  <si>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</si>
  <si>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</si>
  <si>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</si>
  <si>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</si>
  <si>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</si>
  <si>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</si>
  <si>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</si>
  <si>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</si>
  <si>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</si>
  <si>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</si>
  <si>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</si>
  <si>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</si>
  <si>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</si>
  <si>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</si>
  <si>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</si>
  <si>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</si>
  <si>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</si>
  <si>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</si>
  <si>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</si>
  <si>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</si>
  <si>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</si>
  <si>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</si>
  <si>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</si>
  <si>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</si>
  <si>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</si>
  <si>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</si>
  <si>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</si>
  <si>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</si>
  <si>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</si>
  <si>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</si>
  <si>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</si>
  <si>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</si>
  <si>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</si>
  <si>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</si>
  <si>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</si>
  <si>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</si>
  <si>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</si>
  <si>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</si>
  <si>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</si>
  <si>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</si>
  <si>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</si>
  <si>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</si>
  <si>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</si>
  <si>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</si>
  <si>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</si>
  <si>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</si>
  <si>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</si>
  <si>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</si>
  <si>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</si>
  <si>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</si>
  <si>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</si>
  <si>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</si>
  <si>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</si>
  <si>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</si>
  <si>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</si>
  <si>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</si>
  <si>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</si>
  <si>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</si>
  <si>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</si>
  <si>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</si>
  <si>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</si>
  <si>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</si>
  <si>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</si>
  <si>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</si>
  <si>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</si>
  <si>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</si>
  <si>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</si>
  <si>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</si>
  <si>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</si>
  <si>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</si>
  <si>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</si>
  <si>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</si>
  <si>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</si>
  <si>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</si>
  <si>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</si>
  <si>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</si>
  <si>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</si>
  <si>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</si>
  <si>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</si>
  <si>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</si>
  <si>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</si>
  <si>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</si>
  <si>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</si>
  <si>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</si>
  <si>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</si>
  <si>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</si>
  <si>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</si>
  <si>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</si>
  <si>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</si>
  <si>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</si>
  <si>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</si>
  <si>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</si>
  <si>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</si>
  <si>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</si>
  <si>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</si>
  <si>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</si>
  <si>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</si>
  <si>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</si>
  <si>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</si>
  <si>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</si>
  <si>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</si>
  <si>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</si>
  <si>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</si>
  <si>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</si>
  <si>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</si>
  <si>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</si>
  <si>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</si>
  <si>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</si>
  <si>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</si>
  <si>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</si>
  <si>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</si>
  <si>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</si>
  <si>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</si>
  <si>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</si>
  <si>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</si>
  <si>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</si>
  <si>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</si>
  <si>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</si>
  <si>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</si>
  <si>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</si>
  <si>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</si>
  <si>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</si>
  <si>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</si>
  <si>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</si>
  <si>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</si>
  <si>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</si>
  <si>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</si>
  <si>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</si>
  <si>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</si>
  <si>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</si>
  <si>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</si>
  <si>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</si>
  <si>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</si>
  <si>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</si>
  <si>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</si>
  <si>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</si>
  <si>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</si>
  <si>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</si>
  <si>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</si>
  <si>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</si>
  <si>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</si>
  <si>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</si>
  <si>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</si>
  <si>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</si>
  <si>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</si>
  <si>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</si>
  <si>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</si>
  <si>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</si>
  <si>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</si>
  <si>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</si>
  <si>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</si>
  <si>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</si>
  <si>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</si>
  <si>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</si>
  <si>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</si>
  <si>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</si>
  <si>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</si>
  <si>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</si>
  <si>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</si>
  <si>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</si>
  <si>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</si>
  <si>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</si>
  <si>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</si>
  <si>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</si>
  <si>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</si>
  <si>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</si>
  <si>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</si>
  <si>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</si>
  <si>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</si>
  <si>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</si>
  <si>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t_equipo</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</si>
  <si>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</si>
  <si>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</si>
  <si>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</si>
  <si>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</si>
  <si>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</si>
  <si>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</si>
  <si>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</si>
  <si>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</si>
  <si>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</si>
  <si>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</si>
  <si>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</si>
  <si>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</si>
  <si>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</si>
  <si>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</si>
  <si>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</si>
  <si>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</si>
  <si>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</si>
  <si>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</si>
  <si>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</si>
  <si>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</si>
  <si>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</si>
  <si>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</si>
  <si>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</si>
  <si>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</si>
  <si>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</si>
  <si>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</si>
  <si>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</si>
  <si>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</si>
  <si>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</si>
  <si>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</si>
  <si>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</si>
  <si>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</si>
  <si>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</si>
  <si>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</si>
  <si>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</si>
  <si>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</si>
  <si>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</si>
  <si>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</si>
  <si>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</si>
  <si>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</si>
  <si>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</si>
  <si>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</si>
  <si>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</si>
  <si>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</si>
  <si>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</si>
  <si>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</si>
  <si>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t_empresa</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</si>
  <si>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</si>
  <si>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</si>
  <si>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</si>
  <si>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</si>
  <si>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</si>
  <si>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</si>
  <si>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</si>
  <si>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</si>
  <si>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</si>
  <si>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</si>
  <si>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</si>
  <si>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</si>
  <si>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</si>
  <si>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</si>
  <si>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</si>
  <si>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</si>
  <si>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</si>
  <si>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</si>
  <si>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</si>
  <si>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</si>
  <si>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</si>
  <si>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</si>
  <si>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</si>
  <si>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</si>
  <si>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</si>
  <si>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</si>
  <si>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</si>
  <si>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</si>
  <si>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</si>
  <si>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</si>
  <si>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</si>
  <si>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</si>
  <si>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</si>
  <si>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</si>
  <si>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</si>
  <si>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</si>
  <si>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</si>
  <si>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</si>
  <si>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</si>
  <si>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</si>
  <si>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</si>
  <si>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</si>
  <si>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</si>
  <si>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</si>
  <si>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</si>
  <si>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</si>
  <si>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</si>
  <si>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</si>
  <si>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</si>
  <si>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</si>
  <si>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</si>
  <si>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</si>
  <si>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</si>
  <si>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</si>
  <si>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</si>
  <si>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</si>
  <si>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</si>
  <si>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</si>
  <si>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</si>
  <si>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</si>
  <si>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</si>
  <si>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</si>
  <si>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</si>
  <si>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</si>
  <si>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</si>
  <si>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</si>
  <si>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</si>
  <si>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</si>
  <si>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</si>
  <si>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RMAT</t>
  </si>
  <si>
    <t>RAW_MATERIAL</t>
  </si>
  <si>
    <t>PROC_MATERIAL</t>
  </si>
  <si>
    <t>SCRAP_MATERIAL</t>
  </si>
  <si>
    <t>PMAT</t>
  </si>
  <si>
    <t>SMAT</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</si>
  <si>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</si>
  <si>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</si>
  <si>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</si>
  <si>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</si>
  <si>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</si>
  <si>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</si>
  <si>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</si>
  <si>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</si>
  <si>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</si>
  <si>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</si>
  <si>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</si>
  <si>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</si>
  <si>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</si>
  <si>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</si>
  <si>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</si>
  <si>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</si>
  <si>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</si>
  <si>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</si>
  <si>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</si>
  <si>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</si>
  <si>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</si>
  <si>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</si>
  <si>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</si>
  <si>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</si>
  <si>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</si>
  <si>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</si>
  <si>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</si>
  <si>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</si>
  <si>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</si>
  <si>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</si>
  <si>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</si>
  <si>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</si>
  <si>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</si>
  <si>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</si>
  <si>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</si>
  <si>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</si>
  <si>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</si>
  <si>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</si>
  <si>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</si>
  <si>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</si>
  <si>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</si>
  <si>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</si>
  <si>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</si>
  <si>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</si>
  <si>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</si>
  <si>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</si>
  <si>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</si>
  <si>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</si>
  <si>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</si>
  <si>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</si>
  <si>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</si>
  <si>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</si>
  <si>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</si>
  <si>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</si>
  <si>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</si>
  <si>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</si>
  <si>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</si>
  <si>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</si>
  <si>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</si>
  <si>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</si>
  <si>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</si>
  <si>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</si>
  <si>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</si>
  <si>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</si>
  <si>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</si>
  <si>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</si>
  <si>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</si>
  <si>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</si>
  <si>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</si>
  <si>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</si>
  <si>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</si>
  <si>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</si>
  <si>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</si>
  <si>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</si>
  <si>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</si>
  <si>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</si>
  <si>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CMAT</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</si>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</sst>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0">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cellXfs>
  <cellStyles count="3">
    <cellStyle name="Moneda 2" xfId="2" xr:uid="{2C3A7A6F-5E14-4B40-A2D5-72CA2B3D7C3F}"/>
    <cellStyle name="Normal" xfId="0" builtinId="0"/>
    <cellStyle name="Normal 2" xfId="1" xr:uid="{076807E7-744A-4DA6-8328-70C8097B1FF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C22" sqref="C22"/>
    </sheetView>
  </sheetViews>
  <sheetFormatPr baseColWidth="10" defaultColWidth="8.88671875" defaultRowHeight="14.4" x14ac:dyDescent="0.3"/>
  <cols>
    <col min="1" max="1" width="12.6640625" style="1" bestFit="1" customWidth="1"/>
    <col min="2" max="2" width="21.6640625" style="1" bestFit="1" customWidth="1"/>
    <col min="3" max="3" width="21.6640625" style="1" customWidth="1"/>
    <col min="4" max="4" width="12.77734375" style="1" bestFit="1" customWidth="1"/>
    <col min="5" max="5" width="21.5546875" style="1" bestFit="1" customWidth="1"/>
    <col min="6" max="6" width="15.44140625" style="1" bestFit="1" customWidth="1"/>
    <col min="7" max="7" width="14" style="1" bestFit="1" customWidth="1"/>
    <col min="8" max="8" width="16.21875" style="1" bestFit="1" customWidth="1"/>
    <col min="9" max="9" width="14.5546875" style="1" bestFit="1" customWidth="1"/>
    <col min="10" max="16384" width="8.88671875" style="1"/>
  </cols>
  <sheetData>
    <row r="1" spans="1:9" s="6" customFormat="1" x14ac:dyDescent="0.3">
      <c r="A1" s="5" t="s">
        <v>7288</v>
      </c>
      <c r="B1" s="5" t="s">
        <v>7286</v>
      </c>
      <c r="C1" s="5" t="s">
        <v>7289</v>
      </c>
      <c r="D1" s="5" t="s">
        <v>24</v>
      </c>
      <c r="E1" s="5" t="s">
        <v>43</v>
      </c>
      <c r="F1" s="5" t="s">
        <v>44</v>
      </c>
      <c r="G1" s="5" t="s">
        <v>45</v>
      </c>
      <c r="H1" s="5" t="s">
        <v>46</v>
      </c>
      <c r="I1" s="5" t="s">
        <v>47</v>
      </c>
    </row>
    <row r="2" spans="1:9" x14ac:dyDescent="0.3">
      <c r="A2" s="1">
        <v>1</v>
      </c>
      <c r="B2" s="2" t="s">
        <v>7287</v>
      </c>
      <c r="C2" s="2" t="s">
        <v>7287</v>
      </c>
      <c r="D2" s="1">
        <v>8</v>
      </c>
      <c r="E2" s="1" t="str">
        <f>VLOOKUP(D2,t_entry_status!A:C,2,FALSE)</f>
        <v>PENDING</v>
      </c>
      <c r="F2" s="7">
        <v>45560</v>
      </c>
      <c r="G2" s="1" t="s">
        <v>7455</v>
      </c>
      <c r="H2" s="7">
        <v>45560</v>
      </c>
      <c r="I2" s="1" t="s">
        <v>7455</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P17"/>
  <sheetViews>
    <sheetView workbookViewId="0">
      <selection activeCell="E2" sqref="E2"/>
    </sheetView>
  </sheetViews>
  <sheetFormatPr baseColWidth="10" defaultColWidth="8.88671875" defaultRowHeight="14.4" x14ac:dyDescent="0.3"/>
  <cols>
    <col min="1" max="1" width="12.6640625" style="1" bestFit="1" customWidth="1"/>
    <col min="2" max="2" width="16.77734375" style="1" customWidth="1"/>
    <col min="3" max="3" width="14.88671875" style="12" bestFit="1" customWidth="1"/>
    <col min="4" max="4" width="30.88671875" style="1" customWidth="1"/>
    <col min="5" max="5" width="12.6640625" style="1" bestFit="1" customWidth="1"/>
    <col min="6" max="6" width="21.6640625" style="1" hidden="1" customWidth="1"/>
    <col min="7" max="7" width="19" style="1" bestFit="1" customWidth="1"/>
    <col min="8" max="8" width="21.6640625" style="1" customWidth="1"/>
    <col min="9" max="9" width="8.21875" style="1" bestFit="1" customWidth="1"/>
    <col min="10" max="10" width="14.77734375" style="1" bestFit="1" customWidth="1"/>
    <col min="11" max="11" width="12.77734375" style="1" bestFit="1" customWidth="1"/>
    <col min="12" max="12" width="21.5546875" style="1" bestFit="1" customWidth="1"/>
    <col min="13" max="13" width="15.44140625" style="1" bestFit="1" customWidth="1"/>
    <col min="14" max="14" width="14" style="1" bestFit="1" customWidth="1"/>
    <col min="15" max="15" width="16.21875" style="1" bestFit="1" customWidth="1"/>
    <col min="16" max="16" width="14.5546875" style="1" bestFit="1" customWidth="1"/>
    <col min="17" max="16384" width="8.88671875" style="1"/>
  </cols>
  <sheetData>
    <row r="1" spans="1:16" s="6" customFormat="1" x14ac:dyDescent="0.3">
      <c r="A1" s="5" t="s">
        <v>7288</v>
      </c>
      <c r="B1" s="11" t="s">
        <v>7294</v>
      </c>
      <c r="C1" s="11" t="s">
        <v>7456</v>
      </c>
      <c r="D1" s="5" t="s">
        <v>7289</v>
      </c>
      <c r="E1" s="5" t="s">
        <v>0</v>
      </c>
      <c r="F1" s="5" t="s">
        <v>7289</v>
      </c>
      <c r="G1" s="5" t="s">
        <v>7295</v>
      </c>
      <c r="H1" s="5" t="s">
        <v>7457</v>
      </c>
      <c r="I1" s="5" t="s">
        <v>7335</v>
      </c>
      <c r="J1" s="5" t="s">
        <v>7289</v>
      </c>
      <c r="K1" s="5" t="s">
        <v>24</v>
      </c>
      <c r="L1" s="5" t="s">
        <v>43</v>
      </c>
      <c r="M1" s="5" t="s">
        <v>44</v>
      </c>
      <c r="N1" s="5" t="s">
        <v>45</v>
      </c>
      <c r="O1" s="5" t="s">
        <v>46</v>
      </c>
      <c r="P1" s="5" t="s">
        <v>47</v>
      </c>
    </row>
    <row r="2" spans="1:16" x14ac:dyDescent="0.3">
      <c r="A2" s="1">
        <v>1</v>
      </c>
      <c r="B2" s="1" t="str">
        <f>_xlfn.CONCAT(I2,"-",VLOOKUP(I2,t_objeto!B:D,3,FALSE),"-",A2)</f>
        <v>PROD-PERCCO-1</v>
      </c>
      <c r="C2" s="12">
        <v>3056125</v>
      </c>
      <c r="D2" s="1" t="s">
        <v>7312</v>
      </c>
      <c r="E2" s="13" t="s">
        <v>5</v>
      </c>
      <c r="F2" s="2" t="e">
        <f>VLOOKUP(E2,t_cliente!C:C,2,FALSE)</f>
        <v>#REF!</v>
      </c>
      <c r="G2" s="2">
        <v>7</v>
      </c>
      <c r="H2" s="2" t="str">
        <f>VLOOKUP(G2,t_productStatus!A:B,2,FALSE)</f>
        <v>PRODUCCION</v>
      </c>
      <c r="I2" s="1" t="s">
        <v>7350</v>
      </c>
      <c r="J2" s="1" t="str">
        <f>VLOOKUP(I2,t_objeto!B:C,2,FALSE)</f>
        <v>PRODUCTO</v>
      </c>
      <c r="K2" s="1">
        <v>8</v>
      </c>
      <c r="L2" s="1" t="str">
        <f>VLOOKUP(K2,t_entry_status!A:C,2,FALSE)</f>
        <v>PENDING</v>
      </c>
      <c r="M2" s="7">
        <v>45560</v>
      </c>
      <c r="N2" s="1" t="s">
        <v>7455</v>
      </c>
      <c r="O2" s="7">
        <v>45560</v>
      </c>
      <c r="P2" s="1" t="s">
        <v>7455</v>
      </c>
    </row>
    <row r="3" spans="1:16" x14ac:dyDescent="0.3">
      <c r="A3" s="1">
        <v>2</v>
      </c>
      <c r="B3" s="1" t="str">
        <f>_xlfn.CONCAT(I3,"-",VLOOKUP(I3,t_objeto!B:D,3,FALSE),"-",A3)</f>
        <v>PROD-PERCCO-2</v>
      </c>
      <c r="C3" s="12">
        <v>2016001</v>
      </c>
      <c r="D3" s="1" t="s">
        <v>7313</v>
      </c>
      <c r="E3" s="13" t="s">
        <v>5</v>
      </c>
      <c r="F3" s="2" t="e">
        <f>VLOOKUP(E3,t_cliente!C:C,2,FALSE)</f>
        <v>#REF!</v>
      </c>
      <c r="G3" s="2">
        <v>7</v>
      </c>
      <c r="H3" s="2" t="str">
        <f>VLOOKUP(G3,t_productStatus!A:B,2,FALSE)</f>
        <v>PRODUCCION</v>
      </c>
      <c r="I3" s="1" t="s">
        <v>7350</v>
      </c>
      <c r="J3" s="1" t="str">
        <f>VLOOKUP(I3,t_objeto!B:C,2,FALSE)</f>
        <v>PRODUCTO</v>
      </c>
      <c r="K3" s="1">
        <v>8</v>
      </c>
      <c r="L3" s="1" t="str">
        <f>VLOOKUP(K3,t_entry_status!A:C,2,FALSE)</f>
        <v>PENDING</v>
      </c>
      <c r="M3" s="7">
        <v>45560</v>
      </c>
      <c r="N3" s="1" t="s">
        <v>7455</v>
      </c>
      <c r="O3" s="7">
        <v>45560</v>
      </c>
      <c r="P3" s="1" t="s">
        <v>7455</v>
      </c>
    </row>
    <row r="4" spans="1:16" x14ac:dyDescent="0.3">
      <c r="A4" s="1">
        <v>3</v>
      </c>
      <c r="B4" s="1" t="str">
        <f>_xlfn.CONCAT(I4,"-",VLOOKUP(I4,t_objeto!B:D,3,FALSE),"-",A4)</f>
        <v>PROD-PERCCO-3</v>
      </c>
      <c r="C4" s="12">
        <v>2017245</v>
      </c>
      <c r="D4" s="1" t="s">
        <v>7314</v>
      </c>
      <c r="E4" s="13" t="s">
        <v>5</v>
      </c>
      <c r="F4" s="2" t="e">
        <f>VLOOKUP(E4,t_cliente!C:C,2,FALSE)</f>
        <v>#REF!</v>
      </c>
      <c r="G4" s="2">
        <v>7</v>
      </c>
      <c r="H4" s="2" t="str">
        <f>VLOOKUP(G4,t_productStatus!A:B,2,FALSE)</f>
        <v>PRODUCCION</v>
      </c>
      <c r="I4" s="1" t="s">
        <v>7350</v>
      </c>
      <c r="J4" s="1" t="str">
        <f>VLOOKUP(I4,t_objeto!B:C,2,FALSE)</f>
        <v>PRODUCTO</v>
      </c>
      <c r="K4" s="1">
        <v>8</v>
      </c>
      <c r="L4" s="1" t="str">
        <f>VLOOKUP(K4,t_entry_status!A:C,2,FALSE)</f>
        <v>PENDING</v>
      </c>
      <c r="M4" s="7">
        <v>45560</v>
      </c>
      <c r="N4" s="1" t="s">
        <v>7455</v>
      </c>
      <c r="O4" s="7">
        <v>45560</v>
      </c>
      <c r="P4" s="1" t="s">
        <v>7455</v>
      </c>
    </row>
    <row r="5" spans="1:16" x14ac:dyDescent="0.3">
      <c r="A5" s="1">
        <v>4</v>
      </c>
      <c r="B5" s="1" t="str">
        <f>_xlfn.CONCAT(I5,"-",VLOOKUP(I5,t_objeto!B:D,3,FALSE),"-",A5)</f>
        <v>PROD-PERCCO-4</v>
      </c>
      <c r="C5" s="12">
        <v>2054402</v>
      </c>
      <c r="D5" s="1" t="s">
        <v>7315</v>
      </c>
      <c r="E5" s="13" t="s">
        <v>5</v>
      </c>
      <c r="F5" s="2" t="e">
        <f>VLOOKUP(E5,t_cliente!C:C,2,FALSE)</f>
        <v>#REF!</v>
      </c>
      <c r="G5" s="2">
        <v>7</v>
      </c>
      <c r="H5" s="2" t="str">
        <f>VLOOKUP(G5,t_productStatus!A:B,2,FALSE)</f>
        <v>PRODUCCION</v>
      </c>
      <c r="I5" s="1" t="s">
        <v>7350</v>
      </c>
      <c r="J5" s="1" t="str">
        <f>VLOOKUP(I5,t_objeto!B:C,2,FALSE)</f>
        <v>PRODUCTO</v>
      </c>
      <c r="K5" s="1">
        <v>8</v>
      </c>
      <c r="L5" s="1" t="str">
        <f>VLOOKUP(K5,t_entry_status!A:C,2,FALSE)</f>
        <v>PENDING</v>
      </c>
      <c r="M5" s="7">
        <v>45560</v>
      </c>
      <c r="N5" s="1" t="s">
        <v>7455</v>
      </c>
      <c r="O5" s="7">
        <v>45560</v>
      </c>
      <c r="P5" s="1" t="s">
        <v>7455</v>
      </c>
    </row>
    <row r="6" spans="1:16" x14ac:dyDescent="0.3">
      <c r="A6" s="1">
        <v>5</v>
      </c>
      <c r="B6" s="1" t="str">
        <f>_xlfn.CONCAT(I6,"-",VLOOKUP(I6,t_objeto!B:D,3,FALSE),"-",A6)</f>
        <v>PROD-PERCCO-5</v>
      </c>
      <c r="C6" s="12">
        <v>2106718</v>
      </c>
      <c r="D6" s="1" t="s">
        <v>7316</v>
      </c>
      <c r="E6" s="13" t="s">
        <v>5</v>
      </c>
      <c r="F6" s="2" t="e">
        <f>VLOOKUP(E6,t_cliente!C:C,2,FALSE)</f>
        <v>#REF!</v>
      </c>
      <c r="G6" s="2">
        <v>7</v>
      </c>
      <c r="H6" s="2" t="str">
        <f>VLOOKUP(G6,t_productStatus!A:B,2,FALSE)</f>
        <v>PRODUCCION</v>
      </c>
      <c r="I6" s="1" t="s">
        <v>7350</v>
      </c>
      <c r="J6" s="1" t="str">
        <f>VLOOKUP(I6,t_objeto!B:C,2,FALSE)</f>
        <v>PRODUCTO</v>
      </c>
      <c r="K6" s="1">
        <v>8</v>
      </c>
      <c r="L6" s="1" t="str">
        <f>VLOOKUP(K6,t_entry_status!A:C,2,FALSE)</f>
        <v>PENDING</v>
      </c>
      <c r="M6" s="7">
        <v>45560</v>
      </c>
      <c r="N6" s="1" t="s">
        <v>7455</v>
      </c>
      <c r="O6" s="7">
        <v>45560</v>
      </c>
      <c r="P6" s="1" t="s">
        <v>7455</v>
      </c>
    </row>
    <row r="7" spans="1:16" x14ac:dyDescent="0.3">
      <c r="A7" s="1">
        <v>6</v>
      </c>
      <c r="B7" s="1" t="str">
        <f>_xlfn.CONCAT(I7,"-",VLOOKUP(I7,t_objeto!B:D,3,FALSE),"-",A7)</f>
        <v>PROD-PERCCO-6</v>
      </c>
      <c r="C7" s="12">
        <v>2042088</v>
      </c>
      <c r="D7" s="1" t="s">
        <v>7317</v>
      </c>
      <c r="E7" s="13" t="s">
        <v>5</v>
      </c>
      <c r="F7" s="2" t="e">
        <f>VLOOKUP(E7,t_cliente!C:C,2,FALSE)</f>
        <v>#REF!</v>
      </c>
      <c r="G7" s="2">
        <v>7</v>
      </c>
      <c r="H7" s="2" t="str">
        <f>VLOOKUP(G7,t_productStatus!A:B,2,FALSE)</f>
        <v>PRODUCCION</v>
      </c>
      <c r="I7" s="1" t="s">
        <v>7350</v>
      </c>
      <c r="J7" s="1" t="str">
        <f>VLOOKUP(I7,t_objeto!B:C,2,FALSE)</f>
        <v>PRODUCTO</v>
      </c>
      <c r="K7" s="1">
        <v>8</v>
      </c>
      <c r="L7" s="1" t="str">
        <f>VLOOKUP(K7,t_entry_status!A:C,2,FALSE)</f>
        <v>PENDING</v>
      </c>
      <c r="M7" s="7">
        <v>45560</v>
      </c>
      <c r="N7" s="1" t="s">
        <v>7455</v>
      </c>
      <c r="O7" s="7">
        <v>45560</v>
      </c>
      <c r="P7" s="1" t="s">
        <v>7455</v>
      </c>
    </row>
    <row r="8" spans="1:16" x14ac:dyDescent="0.3">
      <c r="A8" s="1">
        <v>7</v>
      </c>
      <c r="B8" s="1" t="str">
        <f>_xlfn.CONCAT(I8,"-",VLOOKUP(I8,t_objeto!B:D,3,FALSE),"-",A8)</f>
        <v>PROD-PERCCO-7</v>
      </c>
      <c r="C8" s="12">
        <v>2062473</v>
      </c>
      <c r="D8" s="1" t="s">
        <v>7318</v>
      </c>
      <c r="E8" s="13" t="s">
        <v>5</v>
      </c>
      <c r="F8" s="2" t="e">
        <f>VLOOKUP(E8,t_cliente!C:C,2,FALSE)</f>
        <v>#REF!</v>
      </c>
      <c r="G8" s="2">
        <v>7</v>
      </c>
      <c r="H8" s="2" t="str">
        <f>VLOOKUP(G8,t_productStatus!A:B,2,FALSE)</f>
        <v>PRODUCCION</v>
      </c>
      <c r="I8" s="1" t="s">
        <v>7350</v>
      </c>
      <c r="J8" s="1" t="str">
        <f>VLOOKUP(I8,t_objeto!B:C,2,FALSE)</f>
        <v>PRODUCTO</v>
      </c>
      <c r="K8" s="1">
        <v>8</v>
      </c>
      <c r="L8" s="1" t="str">
        <f>VLOOKUP(K8,t_entry_status!A:C,2,FALSE)</f>
        <v>PENDING</v>
      </c>
      <c r="M8" s="7">
        <v>45560</v>
      </c>
      <c r="N8" s="1" t="s">
        <v>7455</v>
      </c>
      <c r="O8" s="7">
        <v>45560</v>
      </c>
      <c r="P8" s="1" t="s">
        <v>7455</v>
      </c>
    </row>
    <row r="9" spans="1:16" x14ac:dyDescent="0.3">
      <c r="A9" s="1">
        <v>8</v>
      </c>
      <c r="B9" s="1" t="str">
        <f>_xlfn.CONCAT(I9,"-",VLOOKUP(I9,t_objeto!B:D,3,FALSE),"-",A9)</f>
        <v>PROD-PERCCO-8</v>
      </c>
      <c r="C9" s="12" t="s">
        <v>7319</v>
      </c>
      <c r="D9" s="1" t="s">
        <v>7320</v>
      </c>
      <c r="E9" s="1" t="s">
        <v>5</v>
      </c>
      <c r="G9" s="2">
        <v>7</v>
      </c>
      <c r="H9" s="2" t="str">
        <f>VLOOKUP(G9,t_productStatus!A:B,2,FALSE)</f>
        <v>PRODUCCION</v>
      </c>
      <c r="I9" s="1" t="s">
        <v>7350</v>
      </c>
      <c r="J9" s="1" t="str">
        <f>VLOOKUP(I9,t_objeto!B:C,2,FALSE)</f>
        <v>PRODUCTO</v>
      </c>
      <c r="K9" s="1">
        <v>8</v>
      </c>
      <c r="L9" s="1" t="str">
        <f>VLOOKUP(K9,t_entry_status!A:C,2,FALSE)</f>
        <v>PENDING</v>
      </c>
      <c r="M9" s="7">
        <v>45560</v>
      </c>
      <c r="N9" s="1" t="s">
        <v>7455</v>
      </c>
      <c r="O9" s="7">
        <v>45560</v>
      </c>
      <c r="P9" s="1" t="s">
        <v>7455</v>
      </c>
    </row>
    <row r="10" spans="1:16" x14ac:dyDescent="0.3">
      <c r="A10" s="1">
        <v>9</v>
      </c>
      <c r="B10" s="1" t="str">
        <f>_xlfn.CONCAT(I10,"-",VLOOKUP(I10,t_objeto!B:D,3,FALSE),"-",A10)</f>
        <v>PROD-PERCCO-9</v>
      </c>
      <c r="C10" s="12">
        <v>1021723</v>
      </c>
      <c r="D10" s="1" t="s">
        <v>7321</v>
      </c>
      <c r="E10" s="1" t="s">
        <v>6</v>
      </c>
      <c r="G10" s="2">
        <v>7</v>
      </c>
      <c r="H10" s="2" t="str">
        <f>VLOOKUP(G10,t_productStatus!A:B,2,FALSE)</f>
        <v>PRODUCCION</v>
      </c>
      <c r="I10" s="1" t="s">
        <v>7350</v>
      </c>
      <c r="J10" s="1" t="str">
        <f>VLOOKUP(I10,t_objeto!B:C,2,FALSE)</f>
        <v>PRODUCTO</v>
      </c>
      <c r="K10" s="1">
        <v>8</v>
      </c>
      <c r="L10" s="1" t="str">
        <f>VLOOKUP(K10,t_entry_status!A:C,2,FALSE)</f>
        <v>PENDING</v>
      </c>
      <c r="M10" s="7">
        <v>45560</v>
      </c>
      <c r="N10" s="1" t="s">
        <v>7455</v>
      </c>
      <c r="O10" s="7">
        <v>45560</v>
      </c>
      <c r="P10" s="1" t="s">
        <v>7455</v>
      </c>
    </row>
    <row r="11" spans="1:16" x14ac:dyDescent="0.3">
      <c r="A11" s="1">
        <v>10</v>
      </c>
      <c r="B11" s="1" t="str">
        <f>_xlfn.CONCAT(I11,"-",VLOOKUP(I11,t_objeto!B:D,3,FALSE),"-",A11)</f>
        <v>PROD-PERCCO-10</v>
      </c>
      <c r="C11" s="12">
        <v>1021771</v>
      </c>
      <c r="D11" s="1" t="s">
        <v>7322</v>
      </c>
      <c r="E11" s="1" t="s">
        <v>6</v>
      </c>
      <c r="G11" s="2">
        <v>7</v>
      </c>
      <c r="H11" s="2" t="str">
        <f>VLOOKUP(G11,t_productStatus!A:B,2,FALSE)</f>
        <v>PRODUCCION</v>
      </c>
      <c r="I11" s="1" t="s">
        <v>7350</v>
      </c>
      <c r="J11" s="1" t="str">
        <f>VLOOKUP(I11,t_objeto!B:C,2,FALSE)</f>
        <v>PRODUCTO</v>
      </c>
      <c r="K11" s="1">
        <v>8</v>
      </c>
      <c r="L11" s="1" t="str">
        <f>VLOOKUP(K11,t_entry_status!A:C,2,FALSE)</f>
        <v>PENDING</v>
      </c>
      <c r="M11" s="7">
        <v>45560</v>
      </c>
      <c r="N11" s="1" t="s">
        <v>7455</v>
      </c>
      <c r="O11" s="7">
        <v>45560</v>
      </c>
      <c r="P11" s="1" t="s">
        <v>7455</v>
      </c>
    </row>
    <row r="12" spans="1:16" x14ac:dyDescent="0.3">
      <c r="A12" s="1">
        <v>11</v>
      </c>
      <c r="B12" s="1" t="str">
        <f>_xlfn.CONCAT(I12,"-",VLOOKUP(I12,t_objeto!B:D,3,FALSE),"-",A12)</f>
        <v>PROD-PERCCO-11</v>
      </c>
      <c r="C12" s="12">
        <v>1020919</v>
      </c>
      <c r="D12" s="1" t="s">
        <v>7323</v>
      </c>
      <c r="E12" s="1" t="s">
        <v>6</v>
      </c>
      <c r="G12" s="2">
        <v>7</v>
      </c>
      <c r="H12" s="2" t="str">
        <f>VLOOKUP(G12,t_productStatus!A:B,2,FALSE)</f>
        <v>PRODUCCION</v>
      </c>
      <c r="I12" s="1" t="s">
        <v>7350</v>
      </c>
      <c r="J12" s="1" t="str">
        <f>VLOOKUP(I12,t_objeto!B:C,2,FALSE)</f>
        <v>PRODUCTO</v>
      </c>
      <c r="K12" s="1">
        <v>8</v>
      </c>
      <c r="L12" s="1" t="str">
        <f>VLOOKUP(K12,t_entry_status!A:C,2,FALSE)</f>
        <v>PENDING</v>
      </c>
      <c r="M12" s="7">
        <v>45560</v>
      </c>
      <c r="N12" s="1" t="s">
        <v>7455</v>
      </c>
      <c r="O12" s="7">
        <v>45560</v>
      </c>
      <c r="P12" s="1" t="s">
        <v>7455</v>
      </c>
    </row>
    <row r="13" spans="1:16" x14ac:dyDescent="0.3">
      <c r="A13" s="1">
        <v>12</v>
      </c>
      <c r="B13" s="1" t="str">
        <f>_xlfn.CONCAT(I13,"-",VLOOKUP(I13,t_objeto!B:D,3,FALSE),"-",A13)</f>
        <v>PROD-PERCCO-12</v>
      </c>
      <c r="C13" s="12">
        <v>3001608</v>
      </c>
      <c r="D13" s="1" t="s">
        <v>7324</v>
      </c>
      <c r="E13" s="1" t="s">
        <v>5</v>
      </c>
      <c r="G13" s="2">
        <v>7</v>
      </c>
      <c r="H13" s="2" t="str">
        <f>VLOOKUP(G13,t_productStatus!A:B,2,FALSE)</f>
        <v>PRODUCCION</v>
      </c>
      <c r="I13" s="1" t="s">
        <v>7350</v>
      </c>
      <c r="J13" s="1" t="str">
        <f>VLOOKUP(I13,t_objeto!B:C,2,FALSE)</f>
        <v>PRODUCTO</v>
      </c>
      <c r="K13" s="1">
        <v>8</v>
      </c>
      <c r="L13" s="1" t="str">
        <f>VLOOKUP(K13,t_entry_status!A:C,2,FALSE)</f>
        <v>PENDING</v>
      </c>
      <c r="M13" s="7">
        <v>45560</v>
      </c>
      <c r="N13" s="1" t="s">
        <v>7455</v>
      </c>
      <c r="O13" s="7">
        <v>45560</v>
      </c>
      <c r="P13" s="1" t="s">
        <v>7455</v>
      </c>
    </row>
    <row r="14" spans="1:16" x14ac:dyDescent="0.3">
      <c r="A14" s="1">
        <v>13</v>
      </c>
      <c r="B14" s="1" t="str">
        <f>_xlfn.CONCAT(I14,"-",VLOOKUP(I14,t_objeto!B:D,3,FALSE),"-",A14)</f>
        <v>PROD-PERCCO-13</v>
      </c>
      <c r="C14" s="12">
        <v>3062681</v>
      </c>
      <c r="D14" s="1" t="s">
        <v>7325</v>
      </c>
      <c r="E14" s="1" t="s">
        <v>5</v>
      </c>
      <c r="G14" s="2">
        <v>7</v>
      </c>
      <c r="H14" s="2" t="str">
        <f>VLOOKUP(G14,t_productStatus!A:B,2,FALSE)</f>
        <v>PRODUCCION</v>
      </c>
      <c r="I14" s="1" t="s">
        <v>7350</v>
      </c>
      <c r="J14" s="1" t="str">
        <f>VLOOKUP(I14,t_objeto!B:C,2,FALSE)</f>
        <v>PRODUCTO</v>
      </c>
      <c r="K14" s="1">
        <v>8</v>
      </c>
      <c r="L14" s="1" t="str">
        <f>VLOOKUP(K14,t_entry_status!A:C,2,FALSE)</f>
        <v>PENDING</v>
      </c>
      <c r="M14" s="7">
        <v>45560</v>
      </c>
      <c r="N14" s="1" t="s">
        <v>7455</v>
      </c>
      <c r="O14" s="7">
        <v>45560</v>
      </c>
      <c r="P14" s="1" t="s">
        <v>7455</v>
      </c>
    </row>
    <row r="15" spans="1:16" x14ac:dyDescent="0.3">
      <c r="A15" s="1">
        <v>14</v>
      </c>
      <c r="B15" s="1" t="str">
        <f>_xlfn.CONCAT(I15,"-",VLOOKUP(I15,t_objeto!B:D,3,FALSE),"-",A15)</f>
        <v>PROD-PERCCO-14</v>
      </c>
      <c r="C15" s="12">
        <v>3057150</v>
      </c>
      <c r="D15" s="1" t="s">
        <v>7326</v>
      </c>
      <c r="E15" s="1" t="s">
        <v>5</v>
      </c>
      <c r="G15" s="2">
        <v>7</v>
      </c>
      <c r="H15" s="2" t="str">
        <f>VLOOKUP(G15,t_productStatus!A:B,2,FALSE)</f>
        <v>PRODUCCION</v>
      </c>
      <c r="I15" s="1" t="s">
        <v>7350</v>
      </c>
      <c r="J15" s="1" t="str">
        <f>VLOOKUP(I15,t_objeto!B:C,2,FALSE)</f>
        <v>PRODUCTO</v>
      </c>
      <c r="K15" s="1">
        <v>8</v>
      </c>
      <c r="L15" s="1" t="str">
        <f>VLOOKUP(K15,t_entry_status!A:C,2,FALSE)</f>
        <v>PENDING</v>
      </c>
      <c r="M15" s="7">
        <v>45560</v>
      </c>
      <c r="N15" s="1" t="s">
        <v>7455</v>
      </c>
      <c r="O15" s="7">
        <v>45560</v>
      </c>
      <c r="P15" s="1" t="s">
        <v>7455</v>
      </c>
    </row>
    <row r="16" spans="1:16" x14ac:dyDescent="0.3">
      <c r="A16" s="1">
        <v>15</v>
      </c>
      <c r="B16" s="1" t="str">
        <f>_xlfn.CONCAT(I16,"-",VLOOKUP(I16,t_objeto!B:D,3,FALSE),"-",A16)</f>
        <v>PROD-PERCCO-15</v>
      </c>
      <c r="C16" s="12">
        <v>3024165</v>
      </c>
      <c r="D16" s="1" t="s">
        <v>7327</v>
      </c>
      <c r="E16" s="1" t="s">
        <v>5</v>
      </c>
      <c r="G16" s="2">
        <v>7</v>
      </c>
      <c r="H16" s="2" t="str">
        <f>VLOOKUP(G16,t_productStatus!A:B,2,FALSE)</f>
        <v>PRODUCCION</v>
      </c>
      <c r="I16" s="1" t="s">
        <v>7350</v>
      </c>
      <c r="J16" s="1" t="str">
        <f>VLOOKUP(I16,t_objeto!B:C,2,FALSE)</f>
        <v>PRODUCTO</v>
      </c>
      <c r="K16" s="1">
        <v>8</v>
      </c>
      <c r="L16" s="1" t="str">
        <f>VLOOKUP(K16,t_entry_status!A:C,2,FALSE)</f>
        <v>PENDING</v>
      </c>
      <c r="M16" s="7">
        <v>45560</v>
      </c>
      <c r="N16" s="1" t="s">
        <v>7455</v>
      </c>
      <c r="O16" s="7">
        <v>45560</v>
      </c>
      <c r="P16" s="1" t="s">
        <v>7455</v>
      </c>
    </row>
    <row r="17" spans="1:16" x14ac:dyDescent="0.3">
      <c r="A17" s="1">
        <v>16</v>
      </c>
      <c r="B17" s="1" t="str">
        <f>_xlfn.CONCAT(I17,"-",VLOOKUP(I17,t_objeto!B:D,3,FALSE),"-",A17)</f>
        <v>PROD-PERCCO-16</v>
      </c>
      <c r="C17" s="12" t="s">
        <v>3084</v>
      </c>
      <c r="D17" s="1" t="s">
        <v>7328</v>
      </c>
      <c r="E17" s="1" t="s">
        <v>7</v>
      </c>
      <c r="G17" s="2">
        <v>7</v>
      </c>
      <c r="H17" s="2" t="str">
        <f>VLOOKUP(G17,t_productStatus!A:B,2,FALSE)</f>
        <v>PRODUCCION</v>
      </c>
      <c r="I17" s="1" t="s">
        <v>7350</v>
      </c>
      <c r="J17" s="1" t="str">
        <f>VLOOKUP(I17,t_objeto!B:C,2,FALSE)</f>
        <v>PRODUCTO</v>
      </c>
      <c r="K17" s="1">
        <v>8</v>
      </c>
      <c r="L17" s="1" t="str">
        <f>VLOOKUP(K17,t_entry_status!A:C,2,FALSE)</f>
        <v>PENDING</v>
      </c>
      <c r="M17" s="7">
        <v>45560</v>
      </c>
      <c r="N17" s="1" t="s">
        <v>7455</v>
      </c>
      <c r="O17" s="7">
        <v>45560</v>
      </c>
      <c r="P17" s="1" t="s">
        <v>7455</v>
      </c>
    </row>
  </sheetData>
  <autoFilter ref="A1:P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7CFCF856-6798-4DF8-820A-1F2DA2AD0FEC}">
          <x14:formula1>
            <xm:f>t_entry_status!$A:$A</xm:f>
          </x14:formula1>
          <xm:sqref>K2:K17</xm:sqref>
        </x14:dataValidation>
        <x14:dataValidation type="list" allowBlank="1" showInputMessage="1" showErrorMessage="1" xr:uid="{87A61023-7F35-4D6E-9BDF-04EFCC8971F7}">
          <x14:formula1>
            <xm:f>t_productStatus!$A:$A</xm:f>
          </x14:formula1>
          <xm:sqref>G2:G17</xm:sqref>
        </x14:dataValidation>
        <x14:dataValidation type="list" allowBlank="1" showInputMessage="1" showErrorMessage="1" xr:uid="{26766F82-6B60-4228-9DDC-BA461841ECBC}">
          <x14:formula1>
            <xm:f>t_objeto!$B:$B</xm:f>
          </x14:formula1>
          <xm:sqref>I2:I20</xm:sqref>
        </x14:dataValidation>
        <x14:dataValidation type="list" allowBlank="1" showInputMessage="1" showErrorMessage="1" xr:uid="{AAACDE8C-715B-4066-AD52-22434A0E7D9B}">
          <x14:formula1>
            <xm:f>t_cliente!$C:$C</xm:f>
          </x14:formula1>
          <xm:sqref>E2:E8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8671875" defaultRowHeight="14.4" x14ac:dyDescent="0.3"/>
  <cols>
    <col min="1" max="1" width="12.77734375" style="1" bestFit="1" customWidth="1"/>
    <col min="2" max="2" width="22.77734375" style="1" bestFit="1" customWidth="1"/>
    <col min="3" max="3" width="86.6640625" style="1" bestFit="1" customWidth="1"/>
    <col min="4" max="4" width="12.77734375" style="1" bestFit="1" customWidth="1"/>
    <col min="5" max="5" width="21.5546875" style="1" bestFit="1" customWidth="1"/>
    <col min="6" max="6" width="15.44140625" style="1" bestFit="1" customWidth="1"/>
    <col min="7" max="7" width="8.88671875" style="1"/>
    <col min="8" max="8" width="16.21875" style="1" bestFit="1" customWidth="1"/>
    <col min="9" max="9" width="14.5546875" style="1" bestFit="1" customWidth="1"/>
    <col min="10" max="16384" width="8.88671875" style="1"/>
  </cols>
  <sheetData>
    <row r="1" spans="1:9" s="6" customFormat="1" x14ac:dyDescent="0.3">
      <c r="A1" s="5" t="s">
        <v>7288</v>
      </c>
      <c r="B1" s="5" t="s">
        <v>7295</v>
      </c>
      <c r="C1" s="5" t="s">
        <v>7289</v>
      </c>
      <c r="D1" s="5" t="s">
        <v>24</v>
      </c>
      <c r="E1" s="5" t="s">
        <v>43</v>
      </c>
      <c r="F1" s="5" t="s">
        <v>44</v>
      </c>
      <c r="G1" s="5" t="s">
        <v>45</v>
      </c>
      <c r="H1" s="5" t="s">
        <v>46</v>
      </c>
      <c r="I1" s="5" t="s">
        <v>47</v>
      </c>
    </row>
    <row r="2" spans="1:9" x14ac:dyDescent="0.3">
      <c r="A2" s="1">
        <v>1</v>
      </c>
      <c r="B2" s="1" t="s">
        <v>7299</v>
      </c>
      <c r="C2" s="1" t="s">
        <v>7302</v>
      </c>
      <c r="D2" s="1">
        <v>8</v>
      </c>
      <c r="E2" s="1" t="str">
        <f>VLOOKUP(D2,t_entry_status!A:B,2,FALSE)</f>
        <v>PENDING</v>
      </c>
      <c r="F2" s="7">
        <v>45560</v>
      </c>
      <c r="G2" s="1" t="s">
        <v>7455</v>
      </c>
      <c r="H2" s="7">
        <v>45560</v>
      </c>
      <c r="I2" s="1" t="s">
        <v>7455</v>
      </c>
    </row>
    <row r="3" spans="1:9" x14ac:dyDescent="0.3">
      <c r="A3" s="1">
        <v>2</v>
      </c>
      <c r="B3" s="1" t="s">
        <v>7333</v>
      </c>
      <c r="C3" s="1" t="s">
        <v>7334</v>
      </c>
      <c r="D3" s="1">
        <v>8</v>
      </c>
      <c r="E3" s="1" t="str">
        <f>VLOOKUP(D3,t_entry_status!A:B,2,FALSE)</f>
        <v>PENDING</v>
      </c>
      <c r="F3" s="7">
        <v>45560</v>
      </c>
      <c r="G3" s="1" t="s">
        <v>7455</v>
      </c>
      <c r="H3" s="7">
        <v>45560</v>
      </c>
      <c r="I3" s="1" t="s">
        <v>7455</v>
      </c>
    </row>
    <row r="4" spans="1:9" x14ac:dyDescent="0.3">
      <c r="A4" s="1">
        <v>3</v>
      </c>
      <c r="B4" s="1" t="s">
        <v>7297</v>
      </c>
      <c r="C4" s="1" t="s">
        <v>7303</v>
      </c>
      <c r="D4" s="1">
        <v>8</v>
      </c>
      <c r="E4" s="1" t="str">
        <f>VLOOKUP(D4,t_entry_status!A:B,2,FALSE)</f>
        <v>PENDING</v>
      </c>
      <c r="F4" s="7">
        <v>45560</v>
      </c>
      <c r="G4" s="1" t="s">
        <v>7455</v>
      </c>
      <c r="H4" s="7">
        <v>45560</v>
      </c>
      <c r="I4" s="1" t="s">
        <v>7455</v>
      </c>
    </row>
    <row r="5" spans="1:9" x14ac:dyDescent="0.3">
      <c r="A5" s="1">
        <v>4</v>
      </c>
      <c r="B5" s="1" t="s">
        <v>7298</v>
      </c>
      <c r="C5" s="1" t="s">
        <v>7304</v>
      </c>
      <c r="D5" s="1">
        <v>8</v>
      </c>
      <c r="E5" s="1" t="str">
        <f>VLOOKUP(D5,t_entry_status!A:B,2,FALSE)</f>
        <v>PENDING</v>
      </c>
      <c r="F5" s="7">
        <v>45560</v>
      </c>
      <c r="G5" s="1" t="s">
        <v>7455</v>
      </c>
      <c r="H5" s="7">
        <v>45560</v>
      </c>
      <c r="I5" s="1" t="s">
        <v>7455</v>
      </c>
    </row>
    <row r="6" spans="1:9" x14ac:dyDescent="0.3">
      <c r="A6" s="1">
        <v>5</v>
      </c>
      <c r="B6" s="1" t="s">
        <v>7305</v>
      </c>
      <c r="C6" s="1" t="s">
        <v>7306</v>
      </c>
      <c r="D6" s="1">
        <v>8</v>
      </c>
      <c r="E6" s="1" t="str">
        <f>VLOOKUP(D6,t_entry_status!A:B,2,FALSE)</f>
        <v>PENDING</v>
      </c>
      <c r="F6" s="7">
        <v>45560</v>
      </c>
      <c r="G6" s="1" t="s">
        <v>7455</v>
      </c>
      <c r="H6" s="7">
        <v>45560</v>
      </c>
      <c r="I6" s="1" t="s">
        <v>7455</v>
      </c>
    </row>
    <row r="7" spans="1:9" x14ac:dyDescent="0.3">
      <c r="A7" s="1">
        <v>6</v>
      </c>
      <c r="B7" s="1" t="s">
        <v>7331</v>
      </c>
      <c r="C7" s="1" t="s">
        <v>7332</v>
      </c>
      <c r="D7" s="1">
        <v>8</v>
      </c>
      <c r="E7" s="1" t="str">
        <f>VLOOKUP(D7,t_entry_status!A:B,2,FALSE)</f>
        <v>PENDING</v>
      </c>
      <c r="F7" s="7">
        <v>45560</v>
      </c>
      <c r="G7" s="1" t="s">
        <v>7455</v>
      </c>
      <c r="H7" s="7">
        <v>45560</v>
      </c>
      <c r="I7" s="1" t="s">
        <v>7455</v>
      </c>
    </row>
    <row r="8" spans="1:9" x14ac:dyDescent="0.3">
      <c r="A8" s="1">
        <v>7</v>
      </c>
      <c r="B8" s="1" t="s">
        <v>7329</v>
      </c>
      <c r="C8" s="1" t="s">
        <v>7330</v>
      </c>
      <c r="D8" s="1">
        <v>8</v>
      </c>
      <c r="E8" s="1" t="str">
        <f>VLOOKUP(D8,t_entry_status!A:B,2,FALSE)</f>
        <v>PENDING</v>
      </c>
      <c r="F8" s="7">
        <v>45560</v>
      </c>
      <c r="G8" s="1" t="s">
        <v>7455</v>
      </c>
      <c r="H8" s="7">
        <v>45560</v>
      </c>
      <c r="I8" s="1" t="s">
        <v>7455</v>
      </c>
    </row>
    <row r="9" spans="1:9" x14ac:dyDescent="0.3">
      <c r="A9" s="1">
        <v>8</v>
      </c>
      <c r="B9" s="1" t="s">
        <v>7300</v>
      </c>
      <c r="C9" s="1" t="s">
        <v>7307</v>
      </c>
      <c r="D9" s="1">
        <v>8</v>
      </c>
      <c r="E9" s="1" t="str">
        <f>VLOOKUP(D9,t_entry_status!A:B,2,FALSE)</f>
        <v>PENDING</v>
      </c>
      <c r="F9" s="7">
        <v>45560</v>
      </c>
      <c r="G9" s="1" t="s">
        <v>7455</v>
      </c>
      <c r="H9" s="7">
        <v>45560</v>
      </c>
      <c r="I9" s="1" t="s">
        <v>7455</v>
      </c>
    </row>
    <row r="10" spans="1:9" x14ac:dyDescent="0.3">
      <c r="A10" s="1">
        <v>9</v>
      </c>
      <c r="B10" s="1" t="s">
        <v>7301</v>
      </c>
      <c r="C10" s="1" t="s">
        <v>7308</v>
      </c>
      <c r="D10" s="1">
        <v>8</v>
      </c>
      <c r="E10" s="1" t="str">
        <f>VLOOKUP(D10,t_entry_status!A:B,2,FALSE)</f>
        <v>PENDING</v>
      </c>
      <c r="F10" s="7">
        <v>45560</v>
      </c>
      <c r="G10" s="1" t="s">
        <v>7455</v>
      </c>
      <c r="H10" s="7">
        <v>45560</v>
      </c>
      <c r="I10" s="1" t="s">
        <v>7455</v>
      </c>
    </row>
    <row r="11" spans="1:9" x14ac:dyDescent="0.3">
      <c r="A11" s="1">
        <v>10</v>
      </c>
      <c r="B11" s="1" t="s">
        <v>7311</v>
      </c>
      <c r="C11" s="1" t="s">
        <v>7309</v>
      </c>
      <c r="D11" s="1">
        <v>8</v>
      </c>
      <c r="E11" s="1" t="str">
        <f>VLOOKUP(D11,t_entry_status!A:B,2,FALSE)</f>
        <v>PENDING</v>
      </c>
      <c r="F11" s="7">
        <v>45560</v>
      </c>
      <c r="G11" s="1" t="s">
        <v>7455</v>
      </c>
      <c r="H11" s="7">
        <v>45560</v>
      </c>
      <c r="I11" s="1" t="s">
        <v>7455</v>
      </c>
    </row>
    <row r="12" spans="1:9" x14ac:dyDescent="0.3">
      <c r="A12" s="1">
        <v>11</v>
      </c>
      <c r="B12" s="1" t="s">
        <v>7296</v>
      </c>
      <c r="C12" s="1" t="s">
        <v>7310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8"/>
  <sheetViews>
    <sheetView topLeftCell="D1" workbookViewId="0">
      <selection activeCell="O2" sqref="O2:O3"/>
    </sheetView>
  </sheetViews>
  <sheetFormatPr baseColWidth="10" defaultColWidth="8.88671875" defaultRowHeight="14.4" x14ac:dyDescent="0.3"/>
  <cols>
    <col min="1" max="1" width="12.6640625" style="1" bestFit="1" customWidth="1"/>
    <col min="2" max="2" width="14.33203125" style="1" bestFit="1" customWidth="1"/>
    <col min="3" max="3" width="21.6640625" style="1" bestFit="1" customWidth="1"/>
    <col min="4" max="4" width="17" style="1" bestFit="1" customWidth="1"/>
    <col min="5" max="5" width="26.109375" style="1" bestFit="1" customWidth="1"/>
    <col min="6" max="6" width="21.44140625" style="1" bestFit="1" customWidth="1"/>
    <col min="7" max="7" width="30.44140625" style="1" bestFit="1" customWidth="1"/>
    <col min="8" max="8" width="8.21875" style="1" bestFit="1" customWidth="1"/>
    <col min="9" max="9" width="19.44140625" style="1" bestFit="1" customWidth="1"/>
    <col min="10" max="10" width="12.77734375" style="1" bestFit="1" customWidth="1"/>
    <col min="11" max="11" width="21.5546875" style="1" bestFit="1" customWidth="1"/>
    <col min="12" max="12" width="15.44140625" style="1" bestFit="1" customWidth="1"/>
    <col min="13" max="13" width="8.88671875" style="1"/>
    <col min="14" max="14" width="16.21875" style="1" bestFit="1" customWidth="1"/>
    <col min="15" max="15" width="14.5546875" style="1" bestFit="1" customWidth="1"/>
    <col min="16" max="16384" width="8.88671875" style="1"/>
  </cols>
  <sheetData>
    <row r="1" spans="1:15" s="6" customFormat="1" x14ac:dyDescent="0.3">
      <c r="A1" s="5" t="s">
        <v>7288</v>
      </c>
      <c r="B1" s="5" t="s">
        <v>0</v>
      </c>
      <c r="C1" s="5" t="s">
        <v>7410</v>
      </c>
      <c r="D1" s="5" t="s">
        <v>1</v>
      </c>
      <c r="E1" s="5" t="s">
        <v>2</v>
      </c>
      <c r="F1" s="5" t="s">
        <v>3</v>
      </c>
      <c r="G1" s="5" t="s">
        <v>4</v>
      </c>
      <c r="H1" s="5" t="s">
        <v>7335</v>
      </c>
      <c r="I1" s="5" t="s">
        <v>7289</v>
      </c>
      <c r="J1" s="5" t="s">
        <v>24</v>
      </c>
      <c r="K1" s="5" t="s">
        <v>43</v>
      </c>
      <c r="L1" s="5" t="s">
        <v>44</v>
      </c>
      <c r="M1" s="5" t="s">
        <v>45</v>
      </c>
      <c r="N1" s="5" t="s">
        <v>46</v>
      </c>
      <c r="O1" s="5" t="s">
        <v>47</v>
      </c>
    </row>
    <row r="2" spans="1:15" x14ac:dyDescent="0.3">
      <c r="A2" s="1">
        <v>1</v>
      </c>
      <c r="B2" s="1" t="str">
        <f>_xlfn.CONCAT(H2,"-",VLOOKUP(H2,t_objeto!B:D,3,FALSE),"-",A2)</f>
        <v>CUST-PERCCO-1</v>
      </c>
      <c r="C2" s="2" t="s">
        <v>5</v>
      </c>
      <c r="D2" s="1">
        <v>2</v>
      </c>
      <c r="E2" s="1" t="str">
        <f>VLOOKUP(D2,t_tipo_cliente!A:C,2,FALSE)</f>
        <v>EXTERNO</v>
      </c>
      <c r="F2" s="1">
        <v>2</v>
      </c>
      <c r="G2" s="1" t="str">
        <f>VLOOKUP(F2,t_prioridad_cliente!A:B,2,)</f>
        <v>MEDIA</v>
      </c>
      <c r="H2" s="1" t="s">
        <v>7349</v>
      </c>
      <c r="I2" s="1" t="str">
        <f>VLOOKUP(H2,t_objeto!B:C,2,FALSE)</f>
        <v>CLIENTE</v>
      </c>
      <c r="J2" s="1">
        <v>8</v>
      </c>
      <c r="K2" s="1" t="str">
        <f>VLOOKUP(J2,t_entry_status!A:C,2,FALSE)</f>
        <v>PENDING</v>
      </c>
      <c r="L2" s="7">
        <v>45560</v>
      </c>
      <c r="M2" s="1" t="s">
        <v>7455</v>
      </c>
      <c r="N2" s="7">
        <v>45560</v>
      </c>
      <c r="O2" s="1" t="s">
        <v>7455</v>
      </c>
    </row>
    <row r="3" spans="1:15" x14ac:dyDescent="0.3">
      <c r="A3" s="1">
        <v>2</v>
      </c>
      <c r="B3" s="1" t="str">
        <f>_xlfn.CONCAT(H3,"-",VLOOKUP(H3,t_objeto!B:D,3,FALSE),"-",A3)</f>
        <v>CUST-PERCCO-2</v>
      </c>
      <c r="C3" s="2" t="s">
        <v>6</v>
      </c>
      <c r="D3" s="1">
        <v>2</v>
      </c>
      <c r="E3" s="1" t="str">
        <f>VLOOKUP(D3,t_tipo_cliente!A:C,2,FALSE)</f>
        <v>EXTERNO</v>
      </c>
      <c r="F3" s="1">
        <v>2</v>
      </c>
      <c r="G3" s="1" t="str">
        <f>VLOOKUP(F3,t_prioridad_cliente!A:B,2,)</f>
        <v>MEDIA</v>
      </c>
      <c r="H3" s="1" t="s">
        <v>7349</v>
      </c>
      <c r="I3" s="1" t="str">
        <f>VLOOKUP(H3,t_objeto!B:C,2,FALSE)</f>
        <v>CLIENTE</v>
      </c>
      <c r="J3" s="1">
        <v>8</v>
      </c>
      <c r="K3" s="1" t="str">
        <f>VLOOKUP(J3,t_entry_status!A:C,2,FALSE)</f>
        <v>PENDING</v>
      </c>
      <c r="L3" s="7">
        <v>45560</v>
      </c>
      <c r="M3" s="1" t="s">
        <v>7455</v>
      </c>
      <c r="N3" s="7">
        <v>45560</v>
      </c>
      <c r="O3" s="1" t="s">
        <v>7455</v>
      </c>
    </row>
    <row r="4" spans="1:15" x14ac:dyDescent="0.3">
      <c r="A4" s="1">
        <v>3</v>
      </c>
      <c r="B4" s="1" t="str">
        <f>_xlfn.CONCAT(H4,"-",VLOOKUP(H4,t_objeto!B:D,3,FALSE),"-",A4)</f>
        <v>CUST-PERCCO-3</v>
      </c>
      <c r="C4" s="2" t="s">
        <v>7</v>
      </c>
      <c r="D4" s="1">
        <v>2</v>
      </c>
      <c r="E4" s="1" t="str">
        <f>VLOOKUP(D4,t_tipo_cliente!A:C,2,FALSE)</f>
        <v>EXTERNO</v>
      </c>
      <c r="F4" s="1">
        <v>2</v>
      </c>
      <c r="G4" s="1" t="str">
        <f>VLOOKUP(F4,t_prioridad_cliente!A:B,2,)</f>
        <v>MEDIA</v>
      </c>
      <c r="H4" s="1" t="s">
        <v>7349</v>
      </c>
      <c r="I4" s="1" t="str">
        <f>VLOOKUP(H4,t_objeto!B:C,2,FALSE)</f>
        <v>CLIENTE</v>
      </c>
      <c r="J4" s="1">
        <v>8</v>
      </c>
      <c r="K4" s="1" t="str">
        <f>VLOOKUP(J4,t_entry_status!A:C,2,FALSE)</f>
        <v>PENDING</v>
      </c>
      <c r="L4" s="7">
        <v>45560</v>
      </c>
      <c r="M4" s="1" t="s">
        <v>7455</v>
      </c>
      <c r="N4" s="7">
        <v>45560</v>
      </c>
      <c r="O4" s="1" t="s">
        <v>7455</v>
      </c>
    </row>
    <row r="5" spans="1:15" x14ac:dyDescent="0.3">
      <c r="A5" s="1">
        <v>4</v>
      </c>
      <c r="B5" s="1" t="str">
        <f>_xlfn.CONCAT(H5,"-",VLOOKUP(H5,t_objeto!B:D,3,FALSE),"-",A5)</f>
        <v>CUST-PERCCO-4</v>
      </c>
      <c r="C5" s="2" t="s">
        <v>8</v>
      </c>
      <c r="D5" s="1">
        <v>1</v>
      </c>
      <c r="E5" s="1" t="str">
        <f>VLOOKUP(D5,t_tipo_cliente!A:C,2,FALSE)</f>
        <v>INTERNO</v>
      </c>
      <c r="F5" s="1">
        <v>1</v>
      </c>
      <c r="G5" s="1" t="str">
        <f>VLOOKUP(F5,t_prioridad_cliente!A:B,2,)</f>
        <v>BAJA</v>
      </c>
      <c r="H5" s="1" t="s">
        <v>7349</v>
      </c>
      <c r="I5" s="1" t="str">
        <f>VLOOKUP(H5,t_objeto!B:C,2,FALSE)</f>
        <v>CLIENTE</v>
      </c>
      <c r="J5" s="1">
        <v>8</v>
      </c>
      <c r="K5" s="1" t="str">
        <f>VLOOKUP(J5,t_entry_status!A:C,2,FALSE)</f>
        <v>PENDING</v>
      </c>
      <c r="L5" s="7">
        <v>45560</v>
      </c>
      <c r="M5" s="1" t="s">
        <v>7455</v>
      </c>
      <c r="N5" s="7">
        <v>45560</v>
      </c>
      <c r="O5" s="1" t="s">
        <v>7455</v>
      </c>
    </row>
    <row r="6" spans="1:15" x14ac:dyDescent="0.3">
      <c r="A6" s="1">
        <v>5</v>
      </c>
      <c r="B6" s="1" t="str">
        <f>_xlfn.CONCAT(H6,"-",VLOOKUP(H6,t_objeto!B:D,3,FALSE),"-",A6)</f>
        <v>CUST-PERCCO-5</v>
      </c>
      <c r="C6" s="2" t="s">
        <v>9</v>
      </c>
      <c r="D6" s="1">
        <v>1</v>
      </c>
      <c r="E6" s="1" t="str">
        <f>VLOOKUP(D6,t_tipo_cliente!A:C,2,FALSE)</f>
        <v>INTERNO</v>
      </c>
      <c r="F6" s="1">
        <v>4</v>
      </c>
      <c r="G6" s="1" t="str">
        <f>VLOOKUP(F6,t_prioridad_cliente!A:B,2,)</f>
        <v>URGENTE</v>
      </c>
      <c r="H6" s="1" t="s">
        <v>7349</v>
      </c>
      <c r="I6" s="1" t="str">
        <f>VLOOKUP(H6,t_objeto!B:C,2,FALSE)</f>
        <v>CLIENTE</v>
      </c>
      <c r="J6" s="1">
        <v>8</v>
      </c>
      <c r="K6" s="1" t="str">
        <f>VLOOKUP(J6,t_entry_status!A:C,2,FALSE)</f>
        <v>PENDING</v>
      </c>
      <c r="L6" s="7">
        <v>45560</v>
      </c>
      <c r="M6" s="1" t="s">
        <v>7455</v>
      </c>
      <c r="N6" s="7">
        <v>45560</v>
      </c>
      <c r="O6" s="1" t="s">
        <v>7455</v>
      </c>
    </row>
    <row r="7" spans="1:15" x14ac:dyDescent="0.3">
      <c r="A7" s="1">
        <v>6</v>
      </c>
      <c r="B7" s="1" t="str">
        <f>_xlfn.CONCAT(H7,"-",VLOOKUP(H7,t_objeto!B:D,3,FALSE),"-",A7)</f>
        <v>CUST-PERCCO-6</v>
      </c>
      <c r="C7" s="2" t="s">
        <v>10</v>
      </c>
      <c r="D7" s="1">
        <v>1</v>
      </c>
      <c r="E7" s="1" t="str">
        <f>VLOOKUP(D7,t_tipo_cliente!A:C,2,FALSE)</f>
        <v>INTERNO</v>
      </c>
      <c r="F7" s="1">
        <v>3</v>
      </c>
      <c r="G7" s="1" t="str">
        <f>VLOOKUP(F7,t_prioridad_cliente!A:B,2,)</f>
        <v>ALTA</v>
      </c>
      <c r="H7" s="1" t="s">
        <v>7349</v>
      </c>
      <c r="I7" s="1" t="str">
        <f>VLOOKUP(H7,t_objeto!B:C,2,FALSE)</f>
        <v>CLIENTE</v>
      </c>
      <c r="J7" s="1">
        <v>8</v>
      </c>
      <c r="K7" s="1" t="str">
        <f>VLOOKUP(J7,t_entry_status!A:C,2,FALSE)</f>
        <v>PENDING</v>
      </c>
      <c r="L7" s="7">
        <v>45560</v>
      </c>
      <c r="M7" s="1" t="s">
        <v>7455</v>
      </c>
      <c r="N7" s="7">
        <v>45560</v>
      </c>
      <c r="O7" s="1" t="s">
        <v>7455</v>
      </c>
    </row>
    <row r="8" spans="1:15" x14ac:dyDescent="0.3">
      <c r="A8" s="1">
        <v>7</v>
      </c>
      <c r="B8" s="1" t="str">
        <f>_xlfn.CONCAT(H8,"-",VLOOKUP(H8,t_objeto!B:D,3,FALSE),"-",A8)</f>
        <v>CUST-PERCCO-7</v>
      </c>
      <c r="C8" s="2" t="s">
        <v>11</v>
      </c>
      <c r="D8" s="1">
        <v>1</v>
      </c>
      <c r="E8" s="1" t="str">
        <f>VLOOKUP(D8,t_tipo_cliente!A:C,2,FALSE)</f>
        <v>INTERNO</v>
      </c>
      <c r="F8" s="1">
        <v>1</v>
      </c>
      <c r="G8" s="1" t="str">
        <f>VLOOKUP(F8,t_prioridad_cliente!A:B,2,)</f>
        <v>BAJA</v>
      </c>
      <c r="H8" s="1" t="s">
        <v>7349</v>
      </c>
      <c r="I8" s="1" t="str">
        <f>VLOOKUP(H8,t_objeto!B:C,2,FALSE)</f>
        <v>CLIENTE</v>
      </c>
      <c r="J8" s="1">
        <v>8</v>
      </c>
      <c r="K8" s="1" t="str">
        <f>VLOOKUP(J8,t_entry_status!A:C,2,FALSE)</f>
        <v>PENDING</v>
      </c>
      <c r="L8" s="7">
        <v>45560</v>
      </c>
      <c r="M8" s="1" t="s">
        <v>7455</v>
      </c>
      <c r="N8" s="7">
        <v>45560</v>
      </c>
      <c r="O8" s="1" t="s">
        <v>7455</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D2:D8</xm:sqref>
        </x14:dataValidation>
        <x14:dataValidation type="list" allowBlank="1" showInputMessage="1" showErrorMessage="1" xr:uid="{89BCCF65-3FD2-4E52-85D9-F3A1F2458C28}">
          <x14:formula1>
            <xm:f>t_prioridad_cliente!$A:$A</xm:f>
          </x14:formula1>
          <xm:sqref>F2:F8</xm:sqref>
        </x14:dataValidation>
        <x14:dataValidation type="list" allowBlank="1" showInputMessage="1" showErrorMessage="1" xr:uid="{5C7DFCFA-4382-4591-9579-FC45AD7C3270}">
          <x14:formula1>
            <xm:f>t_entry_status!$A:$A</xm:f>
          </x14:formula1>
          <xm:sqref>J2:J8</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tabSelected="1" workbookViewId="0">
      <selection activeCell="I2" sqref="I2:I3"/>
    </sheetView>
  </sheetViews>
  <sheetFormatPr baseColWidth="10" defaultColWidth="8.88671875" defaultRowHeight="14.4" x14ac:dyDescent="0.3"/>
  <cols>
    <col min="1" max="1" width="17" style="1" bestFit="1" customWidth="1"/>
    <col min="2" max="2" width="20.109375" style="1" bestFit="1" customWidth="1"/>
    <col min="3" max="3" width="19.44140625" style="1" bestFit="1" customWidth="1"/>
    <col min="4" max="5" width="8.88671875" style="1"/>
    <col min="6" max="6" width="15.5546875" style="1" bestFit="1" customWidth="1"/>
    <col min="7" max="7" width="8.88671875" style="1"/>
    <col min="8" max="8" width="15.5546875" style="1" bestFit="1" customWidth="1"/>
    <col min="9" max="16384" width="8.88671875" style="1"/>
  </cols>
  <sheetData>
    <row r="1" spans="1:9" s="6" customFormat="1" x14ac:dyDescent="0.3">
      <c r="A1" s="5" t="s">
        <v>7288</v>
      </c>
      <c r="B1" s="5" t="s">
        <v>7290</v>
      </c>
      <c r="C1" s="5" t="s">
        <v>7289</v>
      </c>
      <c r="D1" s="5" t="s">
        <v>24</v>
      </c>
      <c r="E1" s="5" t="s">
        <v>43</v>
      </c>
      <c r="F1" s="5" t="s">
        <v>44</v>
      </c>
      <c r="G1" s="5" t="s">
        <v>45</v>
      </c>
      <c r="H1" s="5" t="s">
        <v>46</v>
      </c>
      <c r="I1" s="5" t="s">
        <v>47</v>
      </c>
    </row>
    <row r="2" spans="1:9" x14ac:dyDescent="0.3">
      <c r="A2" s="1">
        <v>1</v>
      </c>
      <c r="B2" s="1" t="s">
        <v>12</v>
      </c>
      <c r="C2" s="1" t="s">
        <v>13</v>
      </c>
      <c r="D2" s="1">
        <v>8</v>
      </c>
      <c r="E2" s="1" t="str">
        <f>VLOOKUP(D2,t_entry_status!A:B,2,FALSE)</f>
        <v>PENDING</v>
      </c>
      <c r="F2" s="7">
        <v>45560</v>
      </c>
      <c r="G2" s="1" t="s">
        <v>7455</v>
      </c>
      <c r="H2" s="7">
        <v>45560</v>
      </c>
      <c r="I2" s="1" t="s">
        <v>7455</v>
      </c>
    </row>
    <row r="3" spans="1:9" x14ac:dyDescent="0.3">
      <c r="A3" s="1">
        <v>2</v>
      </c>
      <c r="B3" s="1" t="s">
        <v>14</v>
      </c>
      <c r="C3" s="1" t="s">
        <v>15</v>
      </c>
      <c r="D3" s="1">
        <v>8</v>
      </c>
      <c r="E3" s="1" t="str">
        <f>VLOOKUP(D3,t_entry_status!A:B,2,FALSE)</f>
        <v>PENDING</v>
      </c>
      <c r="F3" s="7">
        <v>45560</v>
      </c>
      <c r="G3" s="1" t="s">
        <v>7455</v>
      </c>
      <c r="H3" s="7">
        <v>45560</v>
      </c>
      <c r="I3" s="1" t="s">
        <v>7455</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8671875" defaultRowHeight="14.4" x14ac:dyDescent="0.3"/>
  <cols>
    <col min="1" max="1" width="21.44140625" style="1" bestFit="1" customWidth="1"/>
    <col min="2" max="2" width="20.109375" style="1" bestFit="1" customWidth="1"/>
    <col min="3" max="3" width="120.88671875" style="1" bestFit="1" customWidth="1"/>
    <col min="4" max="4" width="13.109375" style="1" bestFit="1" customWidth="1"/>
    <col min="5" max="5" width="22.21875" style="1" bestFit="1" customWidth="1"/>
    <col min="6" max="6" width="15.5546875" style="1" bestFit="1" customWidth="1"/>
    <col min="7" max="7" width="9.33203125" style="1" bestFit="1" customWidth="1"/>
    <col min="8" max="8" width="15.5546875" style="1" bestFit="1" customWidth="1"/>
    <col min="9" max="16384" width="8.88671875" style="1"/>
  </cols>
  <sheetData>
    <row r="1" spans="1:9" s="6" customFormat="1" x14ac:dyDescent="0.3">
      <c r="A1" s="5" t="s">
        <v>7288</v>
      </c>
      <c r="B1" s="5" t="s">
        <v>7291</v>
      </c>
      <c r="C1" s="5" t="s">
        <v>7289</v>
      </c>
      <c r="D1" s="5" t="s">
        <v>24</v>
      </c>
      <c r="E1" s="5" t="s">
        <v>43</v>
      </c>
      <c r="F1" s="5" t="s">
        <v>44</v>
      </c>
      <c r="G1" s="5" t="s">
        <v>45</v>
      </c>
      <c r="H1" s="5" t="s">
        <v>46</v>
      </c>
      <c r="I1" s="5" t="s">
        <v>47</v>
      </c>
    </row>
    <row r="2" spans="1:9" ht="15" x14ac:dyDescent="0.35">
      <c r="A2" s="1">
        <v>1</v>
      </c>
      <c r="B2" s="3" t="s">
        <v>16</v>
      </c>
      <c r="C2" s="4" t="s">
        <v>17</v>
      </c>
      <c r="D2" s="1">
        <v>8</v>
      </c>
      <c r="E2" s="1" t="str">
        <f>VLOOKUP(D2,t_entry_status!A:B,2,FALSE)</f>
        <v>PENDING</v>
      </c>
      <c r="F2" s="7">
        <v>45560</v>
      </c>
      <c r="G2" s="1" t="s">
        <v>7455</v>
      </c>
      <c r="H2" s="7">
        <v>45560</v>
      </c>
      <c r="I2" s="1" t="s">
        <v>7455</v>
      </c>
    </row>
    <row r="3" spans="1:9" ht="15" x14ac:dyDescent="0.35">
      <c r="A3" s="1">
        <v>2</v>
      </c>
      <c r="B3" s="3" t="s">
        <v>18</v>
      </c>
      <c r="C3" s="4" t="s">
        <v>19</v>
      </c>
      <c r="D3" s="1">
        <v>8</v>
      </c>
      <c r="E3" s="1" t="str">
        <f>VLOOKUP(D3,t_entry_status!A:B,2,FALSE)</f>
        <v>PENDING</v>
      </c>
      <c r="F3" s="7">
        <v>45560</v>
      </c>
      <c r="G3" s="1" t="s">
        <v>7455</v>
      </c>
      <c r="H3" s="7">
        <v>45560</v>
      </c>
      <c r="I3" s="1" t="s">
        <v>7455</v>
      </c>
    </row>
    <row r="4" spans="1:9" x14ac:dyDescent="0.3">
      <c r="A4" s="1">
        <v>3</v>
      </c>
      <c r="B4" s="1" t="s">
        <v>20</v>
      </c>
      <c r="C4" s="4" t="s">
        <v>21</v>
      </c>
      <c r="D4" s="1">
        <v>8</v>
      </c>
      <c r="E4" s="1" t="str">
        <f>VLOOKUP(D4,t_entry_status!A:B,2,FALSE)</f>
        <v>PENDING</v>
      </c>
      <c r="F4" s="7">
        <v>45560</v>
      </c>
      <c r="G4" s="1" t="s">
        <v>7455</v>
      </c>
      <c r="H4" s="7">
        <v>45560</v>
      </c>
      <c r="I4" s="1" t="s">
        <v>7455</v>
      </c>
    </row>
    <row r="5" spans="1:9" ht="15" x14ac:dyDescent="0.35">
      <c r="A5" s="1">
        <v>4</v>
      </c>
      <c r="B5" s="3" t="s">
        <v>22</v>
      </c>
      <c r="C5" s="4" t="s">
        <v>23</v>
      </c>
      <c r="D5" s="1">
        <v>8</v>
      </c>
      <c r="E5" s="1" t="str">
        <f>VLOOKUP(D5,t_entry_status!A:B,2,FALSE)</f>
        <v>PENDING</v>
      </c>
      <c r="F5" s="7">
        <v>45560</v>
      </c>
      <c r="G5" s="1" t="s">
        <v>7455</v>
      </c>
      <c r="H5" s="7">
        <v>45560</v>
      </c>
      <c r="I5" s="1" t="s">
        <v>7455</v>
      </c>
    </row>
    <row r="6" spans="1:9" ht="15" x14ac:dyDescent="0.3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RowHeight="14.4" x14ac:dyDescent="0.3"/>
  <cols>
    <col min="1" max="1" width="13.88671875" style="1" bestFit="1" customWidth="1"/>
    <col min="2" max="2" width="15.6640625" style="1" bestFit="1" customWidth="1"/>
    <col min="3" max="3" width="93.6640625" style="1" bestFit="1" customWidth="1"/>
    <col min="4" max="4" width="255.77734375" style="1" bestFit="1" customWidth="1"/>
    <col min="5" max="5" width="187.21875" style="1" bestFit="1" customWidth="1"/>
    <col min="6" max="6" width="22.109375" style="1" bestFit="1" customWidth="1"/>
    <col min="7" max="7" width="13.109375" style="1" bestFit="1" customWidth="1"/>
    <col min="8" max="8" width="15.5546875" style="1" bestFit="1" customWidth="1"/>
    <col min="9" max="9" width="11" style="1" bestFit="1" customWidth="1"/>
    <col min="10" max="10" width="15.5546875" style="1" bestFit="1" customWidth="1"/>
    <col min="11" max="11" width="11" style="1" bestFit="1" customWidth="1"/>
    <col min="12" max="16384" width="11.5546875" style="1"/>
  </cols>
  <sheetData>
    <row r="1" spans="1:11" s="6" customFormat="1" x14ac:dyDescent="0.3">
      <c r="A1" s="5" t="s">
        <v>7288</v>
      </c>
      <c r="B1" s="5" t="s">
        <v>7292</v>
      </c>
      <c r="C1" s="5" t="s">
        <v>7289</v>
      </c>
      <c r="D1" s="5" t="s">
        <v>48</v>
      </c>
      <c r="E1" s="5" t="s">
        <v>49</v>
      </c>
      <c r="F1" s="5" t="s">
        <v>50</v>
      </c>
      <c r="G1" s="5" t="s">
        <v>24</v>
      </c>
      <c r="H1" s="5" t="s">
        <v>44</v>
      </c>
      <c r="I1" s="5" t="s">
        <v>45</v>
      </c>
      <c r="J1" s="5" t="s">
        <v>46</v>
      </c>
      <c r="K1" s="6" t="s">
        <v>47</v>
      </c>
    </row>
    <row r="2" spans="1:11" x14ac:dyDescent="0.3">
      <c r="A2" s="1">
        <v>1</v>
      </c>
      <c r="B2" s="1">
        <v>18</v>
      </c>
      <c r="C2" s="1" t="s">
        <v>51</v>
      </c>
      <c r="E2" s="1" t="s">
        <v>52</v>
      </c>
      <c r="G2" s="1">
        <v>1</v>
      </c>
      <c r="H2" s="7">
        <v>45560</v>
      </c>
      <c r="I2" s="1" t="s">
        <v>7455</v>
      </c>
      <c r="J2" s="7">
        <v>45560</v>
      </c>
      <c r="K2" s="1" t="s">
        <v>7455</v>
      </c>
    </row>
    <row r="3" spans="1:11" x14ac:dyDescent="0.3">
      <c r="A3" s="1">
        <v>2</v>
      </c>
      <c r="B3" s="1">
        <v>19</v>
      </c>
      <c r="C3" s="1" t="s">
        <v>53</v>
      </c>
      <c r="E3" s="1" t="s">
        <v>52</v>
      </c>
      <c r="G3" s="1">
        <v>1</v>
      </c>
      <c r="H3" s="7">
        <v>45560</v>
      </c>
      <c r="I3" s="1" t="s">
        <v>7455</v>
      </c>
      <c r="J3" s="7">
        <v>45560</v>
      </c>
      <c r="K3" s="1" t="s">
        <v>7455</v>
      </c>
    </row>
    <row r="4" spans="1:11" x14ac:dyDescent="0.3">
      <c r="A4" s="1">
        <v>3</v>
      </c>
      <c r="B4" s="1">
        <v>26</v>
      </c>
      <c r="C4" s="1" t="s">
        <v>54</v>
      </c>
      <c r="E4" s="1" t="s">
        <v>52</v>
      </c>
      <c r="G4" s="1">
        <v>1</v>
      </c>
      <c r="H4" s="7">
        <v>45560</v>
      </c>
      <c r="I4" s="1" t="s">
        <v>7455</v>
      </c>
      <c r="J4" s="7">
        <v>45560</v>
      </c>
      <c r="K4" s="1" t="s">
        <v>7455</v>
      </c>
    </row>
    <row r="5" spans="1:11" x14ac:dyDescent="0.3">
      <c r="A5" s="1">
        <v>4</v>
      </c>
      <c r="B5" s="1">
        <v>29</v>
      </c>
      <c r="C5" s="1" t="s">
        <v>55</v>
      </c>
      <c r="E5" s="1" t="s">
        <v>52</v>
      </c>
      <c r="F5" s="1" t="s">
        <v>56</v>
      </c>
      <c r="G5" s="1">
        <v>1</v>
      </c>
      <c r="H5" s="7">
        <v>45560</v>
      </c>
      <c r="I5" s="1" t="s">
        <v>7455</v>
      </c>
      <c r="J5" s="7">
        <v>45560</v>
      </c>
      <c r="K5" s="1" t="s">
        <v>7455</v>
      </c>
    </row>
    <row r="6" spans="1:11" x14ac:dyDescent="0.3">
      <c r="A6" s="1">
        <v>5</v>
      </c>
      <c r="B6" s="1">
        <v>30</v>
      </c>
      <c r="C6" s="1" t="s">
        <v>57</v>
      </c>
      <c r="E6" s="1" t="s">
        <v>52</v>
      </c>
      <c r="G6" s="1">
        <v>1</v>
      </c>
      <c r="H6" s="7">
        <v>45560</v>
      </c>
      <c r="I6" s="1" t="s">
        <v>7455</v>
      </c>
      <c r="J6" s="7">
        <v>45560</v>
      </c>
      <c r="K6" s="1" t="s">
        <v>7455</v>
      </c>
    </row>
    <row r="7" spans="1:11" x14ac:dyDescent="0.3">
      <c r="A7" s="1">
        <v>6</v>
      </c>
      <c r="B7" s="1">
        <v>31</v>
      </c>
      <c r="C7" s="1" t="s">
        <v>58</v>
      </c>
      <c r="E7" s="1" t="s">
        <v>52</v>
      </c>
      <c r="G7" s="1">
        <v>1</v>
      </c>
      <c r="H7" s="7">
        <v>45560</v>
      </c>
      <c r="I7" s="1" t="s">
        <v>7455</v>
      </c>
      <c r="J7" s="7">
        <v>45560</v>
      </c>
      <c r="K7" s="1" t="s">
        <v>7455</v>
      </c>
    </row>
    <row r="8" spans="1:11" x14ac:dyDescent="0.3">
      <c r="A8" s="1">
        <v>7</v>
      </c>
      <c r="B8" s="1">
        <v>32</v>
      </c>
      <c r="C8" s="1" t="s">
        <v>59</v>
      </c>
      <c r="E8" s="1" t="s">
        <v>52</v>
      </c>
      <c r="G8" s="1">
        <v>1</v>
      </c>
      <c r="H8" s="7">
        <v>45560</v>
      </c>
      <c r="I8" s="1" t="s">
        <v>7455</v>
      </c>
      <c r="J8" s="7">
        <v>45560</v>
      </c>
      <c r="K8" s="1" t="s">
        <v>7455</v>
      </c>
    </row>
    <row r="9" spans="1:11" x14ac:dyDescent="0.3">
      <c r="A9" s="1">
        <v>8</v>
      </c>
      <c r="B9" s="1">
        <v>36</v>
      </c>
      <c r="C9" s="1" t="s">
        <v>60</v>
      </c>
      <c r="D9" s="1" t="s">
        <v>61</v>
      </c>
      <c r="E9" s="1" t="s">
        <v>52</v>
      </c>
      <c r="F9" s="1" t="s">
        <v>62</v>
      </c>
      <c r="G9" s="1">
        <v>1</v>
      </c>
      <c r="H9" s="7">
        <v>45560</v>
      </c>
      <c r="I9" s="1" t="s">
        <v>7455</v>
      </c>
      <c r="J9" s="7">
        <v>45560</v>
      </c>
      <c r="K9" s="1" t="s">
        <v>7455</v>
      </c>
    </row>
    <row r="10" spans="1:11" x14ac:dyDescent="0.3">
      <c r="A10" s="1">
        <v>9</v>
      </c>
      <c r="B10" s="1">
        <v>44</v>
      </c>
      <c r="C10" s="1" t="s">
        <v>63</v>
      </c>
      <c r="E10" s="1" t="s">
        <v>52</v>
      </c>
      <c r="G10" s="1">
        <v>1</v>
      </c>
      <c r="H10" s="7">
        <v>45560</v>
      </c>
      <c r="I10" s="1" t="s">
        <v>7455</v>
      </c>
      <c r="J10" s="7">
        <v>45560</v>
      </c>
      <c r="K10" s="1" t="s">
        <v>7455</v>
      </c>
    </row>
    <row r="11" spans="1:11" x14ac:dyDescent="0.3">
      <c r="A11" s="1">
        <v>10</v>
      </c>
      <c r="B11" s="1">
        <v>45</v>
      </c>
      <c r="C11" s="1" t="s">
        <v>64</v>
      </c>
      <c r="E11" s="1" t="s">
        <v>52</v>
      </c>
      <c r="G11" s="1">
        <v>1</v>
      </c>
      <c r="H11" s="7">
        <v>45560</v>
      </c>
      <c r="I11" s="1" t="s">
        <v>7455</v>
      </c>
      <c r="J11" s="7">
        <v>45560</v>
      </c>
      <c r="K11" s="1" t="s">
        <v>7455</v>
      </c>
    </row>
    <row r="12" spans="1:11" x14ac:dyDescent="0.3">
      <c r="A12" s="1">
        <v>11</v>
      </c>
      <c r="B12" s="1">
        <v>46</v>
      </c>
      <c r="C12" s="1" t="s">
        <v>65</v>
      </c>
      <c r="E12" s="1" t="s">
        <v>52</v>
      </c>
      <c r="G12" s="1">
        <v>1</v>
      </c>
      <c r="H12" s="7">
        <v>45560</v>
      </c>
      <c r="I12" s="1" t="s">
        <v>7455</v>
      </c>
      <c r="J12" s="7">
        <v>45560</v>
      </c>
      <c r="K12" s="1" t="s">
        <v>7455</v>
      </c>
    </row>
    <row r="13" spans="1:11" x14ac:dyDescent="0.3">
      <c r="A13" s="1">
        <v>12</v>
      </c>
      <c r="B13" s="1">
        <v>47</v>
      </c>
      <c r="C13" s="1" t="s">
        <v>66</v>
      </c>
      <c r="E13" s="1" t="s">
        <v>52</v>
      </c>
      <c r="G13" s="1">
        <v>1</v>
      </c>
      <c r="H13" s="7">
        <v>45560</v>
      </c>
      <c r="I13" s="1" t="s">
        <v>7455</v>
      </c>
      <c r="J13" s="7">
        <v>45560</v>
      </c>
      <c r="K13" s="1" t="s">
        <v>7455</v>
      </c>
    </row>
    <row r="14" spans="1:11" x14ac:dyDescent="0.3">
      <c r="A14" s="1">
        <v>13</v>
      </c>
      <c r="B14" s="1">
        <v>48</v>
      </c>
      <c r="C14" s="1" t="s">
        <v>67</v>
      </c>
      <c r="E14" s="1" t="s">
        <v>52</v>
      </c>
      <c r="G14" s="1">
        <v>1</v>
      </c>
      <c r="H14" s="7">
        <v>45560</v>
      </c>
      <c r="I14" s="1" t="s">
        <v>7455</v>
      </c>
      <c r="J14" s="7">
        <v>45560</v>
      </c>
      <c r="K14" s="1" t="s">
        <v>7455</v>
      </c>
    </row>
    <row r="15" spans="1:11" x14ac:dyDescent="0.3">
      <c r="A15" s="1">
        <v>14</v>
      </c>
      <c r="B15" s="1">
        <v>53</v>
      </c>
      <c r="C15" s="1" t="s">
        <v>68</v>
      </c>
      <c r="E15" s="1" t="s">
        <v>52</v>
      </c>
      <c r="G15" s="1">
        <v>1</v>
      </c>
      <c r="H15" s="7">
        <v>45560</v>
      </c>
      <c r="I15" s="1" t="s">
        <v>7455</v>
      </c>
      <c r="J15" s="7">
        <v>45560</v>
      </c>
      <c r="K15" s="1" t="s">
        <v>7455</v>
      </c>
    </row>
    <row r="16" spans="1:11" x14ac:dyDescent="0.3">
      <c r="A16" s="1">
        <v>15</v>
      </c>
      <c r="B16" s="1">
        <v>54</v>
      </c>
      <c r="C16" s="1" t="s">
        <v>69</v>
      </c>
      <c r="E16" s="1" t="s">
        <v>52</v>
      </c>
      <c r="G16" s="1">
        <v>1</v>
      </c>
      <c r="H16" s="7">
        <v>45560</v>
      </c>
      <c r="I16" s="1" t="s">
        <v>7455</v>
      </c>
      <c r="J16" s="7">
        <v>45560</v>
      </c>
      <c r="K16" s="1" t="s">
        <v>7455</v>
      </c>
    </row>
    <row r="17" spans="1:11" x14ac:dyDescent="0.3">
      <c r="A17" s="1">
        <v>16</v>
      </c>
      <c r="B17" s="1">
        <v>62</v>
      </c>
      <c r="C17" s="1" t="s">
        <v>70</v>
      </c>
      <c r="E17" s="1" t="s">
        <v>52</v>
      </c>
      <c r="G17" s="1">
        <v>1</v>
      </c>
      <c r="H17" s="7">
        <v>45560</v>
      </c>
      <c r="I17" s="1" t="s">
        <v>7455</v>
      </c>
      <c r="J17" s="7">
        <v>45560</v>
      </c>
      <c r="K17" s="1" t="s">
        <v>7455</v>
      </c>
    </row>
    <row r="18" spans="1:11" x14ac:dyDescent="0.3">
      <c r="A18" s="1">
        <v>17</v>
      </c>
      <c r="B18" s="1">
        <v>63</v>
      </c>
      <c r="C18" s="1" t="s">
        <v>71</v>
      </c>
      <c r="E18" s="1" t="s">
        <v>52</v>
      </c>
      <c r="G18" s="1">
        <v>1</v>
      </c>
      <c r="H18" s="7">
        <v>45560</v>
      </c>
      <c r="I18" s="1" t="s">
        <v>7455</v>
      </c>
      <c r="J18" s="7">
        <v>45560</v>
      </c>
      <c r="K18" s="1" t="s">
        <v>7455</v>
      </c>
    </row>
    <row r="19" spans="1:11" x14ac:dyDescent="0.3">
      <c r="A19" s="1">
        <v>18</v>
      </c>
      <c r="B19" s="1">
        <v>64</v>
      </c>
      <c r="C19" s="1" t="s">
        <v>72</v>
      </c>
      <c r="E19" s="1" t="s">
        <v>73</v>
      </c>
      <c r="G19" s="1">
        <v>1</v>
      </c>
      <c r="H19" s="7">
        <v>45560</v>
      </c>
      <c r="I19" s="1" t="s">
        <v>7455</v>
      </c>
      <c r="J19" s="7">
        <v>45560</v>
      </c>
      <c r="K19" s="1" t="s">
        <v>7455</v>
      </c>
    </row>
    <row r="20" spans="1:11" x14ac:dyDescent="0.3">
      <c r="A20" s="1">
        <v>19</v>
      </c>
      <c r="B20" s="1">
        <v>66</v>
      </c>
      <c r="C20" s="1" t="s">
        <v>74</v>
      </c>
      <c r="E20" s="1" t="s">
        <v>73</v>
      </c>
      <c r="F20" s="1" t="s">
        <v>75</v>
      </c>
      <c r="G20" s="1">
        <v>1</v>
      </c>
      <c r="H20" s="7">
        <v>45560</v>
      </c>
      <c r="I20" s="1" t="s">
        <v>7455</v>
      </c>
      <c r="J20" s="7">
        <v>45560</v>
      </c>
      <c r="K20" s="1" t="s">
        <v>7455</v>
      </c>
    </row>
    <row r="21" spans="1:11" x14ac:dyDescent="0.3">
      <c r="A21" s="1">
        <v>20</v>
      </c>
      <c r="B21" s="1">
        <v>69</v>
      </c>
      <c r="C21" s="1" t="s">
        <v>76</v>
      </c>
      <c r="E21" s="1" t="s">
        <v>52</v>
      </c>
      <c r="G21" s="1">
        <v>1</v>
      </c>
      <c r="H21" s="7">
        <v>45560</v>
      </c>
      <c r="I21" s="1" t="s">
        <v>7455</v>
      </c>
      <c r="J21" s="7">
        <v>45560</v>
      </c>
      <c r="K21" s="1" t="s">
        <v>7455</v>
      </c>
    </row>
    <row r="22" spans="1:11" x14ac:dyDescent="0.3">
      <c r="A22" s="1">
        <v>21</v>
      </c>
      <c r="B22" s="1">
        <v>71</v>
      </c>
      <c r="C22" s="1" t="s">
        <v>77</v>
      </c>
      <c r="E22" s="1" t="s">
        <v>52</v>
      </c>
      <c r="G22" s="1">
        <v>1</v>
      </c>
      <c r="H22" s="7">
        <v>45560</v>
      </c>
      <c r="I22" s="1" t="s">
        <v>7455</v>
      </c>
      <c r="J22" s="7">
        <v>45560</v>
      </c>
      <c r="K22" s="1" t="s">
        <v>7455</v>
      </c>
    </row>
    <row r="23" spans="1:11" x14ac:dyDescent="0.3">
      <c r="A23" s="1">
        <v>22</v>
      </c>
      <c r="B23" s="1">
        <v>72</v>
      </c>
      <c r="C23" s="1" t="s">
        <v>78</v>
      </c>
      <c r="E23" s="1" t="s">
        <v>52</v>
      </c>
      <c r="G23" s="1">
        <v>1</v>
      </c>
      <c r="H23" s="7">
        <v>45560</v>
      </c>
      <c r="I23" s="1" t="s">
        <v>7455</v>
      </c>
      <c r="J23" s="7">
        <v>45560</v>
      </c>
      <c r="K23" s="1" t="s">
        <v>7455</v>
      </c>
    </row>
    <row r="24" spans="1:11" x14ac:dyDescent="0.3">
      <c r="A24" s="1">
        <v>23</v>
      </c>
      <c r="B24" s="1">
        <v>73</v>
      </c>
      <c r="C24" s="1" t="s">
        <v>79</v>
      </c>
      <c r="E24" s="1" t="s">
        <v>52</v>
      </c>
      <c r="G24" s="1">
        <v>1</v>
      </c>
      <c r="H24" s="7">
        <v>45560</v>
      </c>
      <c r="I24" s="1" t="s">
        <v>7455</v>
      </c>
      <c r="J24" s="7">
        <v>45560</v>
      </c>
      <c r="K24" s="1" t="s">
        <v>7455</v>
      </c>
    </row>
    <row r="25" spans="1:11" x14ac:dyDescent="0.3">
      <c r="A25" s="1">
        <v>24</v>
      </c>
      <c r="B25" s="1">
        <v>76</v>
      </c>
      <c r="C25" s="1" t="s">
        <v>80</v>
      </c>
      <c r="E25" s="1" t="s">
        <v>73</v>
      </c>
      <c r="F25" s="1" t="s">
        <v>81</v>
      </c>
      <c r="G25" s="1">
        <v>1</v>
      </c>
      <c r="H25" s="7">
        <v>45560</v>
      </c>
      <c r="I25" s="1" t="s">
        <v>7455</v>
      </c>
      <c r="J25" s="7">
        <v>45560</v>
      </c>
      <c r="K25" s="1" t="s">
        <v>7455</v>
      </c>
    </row>
    <row r="26" spans="1:11" ht="15" customHeight="1" x14ac:dyDescent="0.3">
      <c r="A26" s="1">
        <v>25</v>
      </c>
      <c r="B26" s="1">
        <v>78</v>
      </c>
      <c r="C26" s="1" t="s">
        <v>82</v>
      </c>
      <c r="E26" s="1" t="s">
        <v>73</v>
      </c>
      <c r="F26" s="1" t="s">
        <v>83</v>
      </c>
      <c r="G26" s="1">
        <v>1</v>
      </c>
      <c r="H26" s="7">
        <v>45560</v>
      </c>
      <c r="I26" s="1" t="s">
        <v>7455</v>
      </c>
      <c r="J26" s="7">
        <v>45560</v>
      </c>
      <c r="K26" s="1" t="s">
        <v>7455</v>
      </c>
    </row>
    <row r="27" spans="1:11" ht="43.2" x14ac:dyDescent="0.3">
      <c r="A27" s="1">
        <v>26</v>
      </c>
      <c r="B27" s="1">
        <v>84</v>
      </c>
      <c r="C27" s="1" t="s">
        <v>84</v>
      </c>
      <c r="D27" s="8" t="s">
        <v>85</v>
      </c>
      <c r="E27" s="1" t="s">
        <v>73</v>
      </c>
      <c r="F27" s="1" t="s">
        <v>86</v>
      </c>
      <c r="G27" s="1">
        <v>1</v>
      </c>
      <c r="H27" s="7">
        <v>45560</v>
      </c>
      <c r="I27" s="1" t="s">
        <v>7455</v>
      </c>
      <c r="J27" s="7">
        <v>45560</v>
      </c>
      <c r="K27" s="1" t="s">
        <v>7455</v>
      </c>
    </row>
    <row r="28" spans="1:11" x14ac:dyDescent="0.3">
      <c r="A28" s="1">
        <v>27</v>
      </c>
      <c r="B28" s="1">
        <v>90</v>
      </c>
      <c r="C28" s="1" t="s">
        <v>87</v>
      </c>
      <c r="E28" s="1" t="s">
        <v>52</v>
      </c>
      <c r="G28" s="1">
        <v>1</v>
      </c>
      <c r="H28" s="7">
        <v>45560</v>
      </c>
      <c r="I28" s="1" t="s">
        <v>7455</v>
      </c>
      <c r="J28" s="7">
        <v>45560</v>
      </c>
      <c r="K28" s="1" t="s">
        <v>7455</v>
      </c>
    </row>
    <row r="29" spans="1:11" x14ac:dyDescent="0.3">
      <c r="A29" s="1">
        <v>28</v>
      </c>
      <c r="B29" s="1">
        <v>92</v>
      </c>
      <c r="C29" s="1" t="s">
        <v>88</v>
      </c>
      <c r="E29" s="1" t="s">
        <v>52</v>
      </c>
      <c r="G29" s="1">
        <v>1</v>
      </c>
      <c r="H29" s="7">
        <v>45560</v>
      </c>
      <c r="I29" s="1" t="s">
        <v>7455</v>
      </c>
      <c r="J29" s="7">
        <v>45560</v>
      </c>
      <c r="K29" s="1" t="s">
        <v>7455</v>
      </c>
    </row>
    <row r="30" spans="1:11" x14ac:dyDescent="0.3">
      <c r="A30" s="1">
        <v>29</v>
      </c>
      <c r="B30" s="1">
        <v>93</v>
      </c>
      <c r="C30" s="1" t="s">
        <v>89</v>
      </c>
      <c r="D30" s="1" t="s">
        <v>90</v>
      </c>
      <c r="E30" s="1" t="s">
        <v>52</v>
      </c>
      <c r="F30" s="1" t="s">
        <v>91</v>
      </c>
      <c r="G30" s="1">
        <v>1</v>
      </c>
      <c r="H30" s="7">
        <v>45560</v>
      </c>
      <c r="I30" s="1" t="s">
        <v>7455</v>
      </c>
      <c r="J30" s="7">
        <v>45560</v>
      </c>
      <c r="K30" s="1" t="s">
        <v>7455</v>
      </c>
    </row>
    <row r="31" spans="1:11" x14ac:dyDescent="0.3">
      <c r="A31" s="1">
        <v>30</v>
      </c>
      <c r="B31" s="1">
        <v>94</v>
      </c>
      <c r="C31" s="1" t="s">
        <v>92</v>
      </c>
      <c r="E31" s="1" t="s">
        <v>52</v>
      </c>
      <c r="G31" s="1">
        <v>1</v>
      </c>
      <c r="H31" s="7">
        <v>45560</v>
      </c>
      <c r="I31" s="1" t="s">
        <v>7455</v>
      </c>
      <c r="J31" s="7">
        <v>45560</v>
      </c>
      <c r="K31" s="1" t="s">
        <v>7455</v>
      </c>
    </row>
    <row r="32" spans="1:11" x14ac:dyDescent="0.3">
      <c r="A32" s="1">
        <v>31</v>
      </c>
      <c r="B32" s="1">
        <v>95</v>
      </c>
      <c r="C32" s="1" t="s">
        <v>93</v>
      </c>
      <c r="E32" s="1" t="s">
        <v>52</v>
      </c>
      <c r="G32" s="1">
        <v>1</v>
      </c>
      <c r="H32" s="7">
        <v>45560</v>
      </c>
      <c r="I32" s="1" t="s">
        <v>7455</v>
      </c>
      <c r="J32" s="7">
        <v>45560</v>
      </c>
      <c r="K32" s="1" t="s">
        <v>7455</v>
      </c>
    </row>
    <row r="33" spans="1:11" x14ac:dyDescent="0.3">
      <c r="A33" s="1">
        <v>32</v>
      </c>
      <c r="B33" s="1">
        <v>96</v>
      </c>
      <c r="C33" s="1" t="s">
        <v>94</v>
      </c>
      <c r="E33" s="1" t="s">
        <v>52</v>
      </c>
      <c r="G33" s="1">
        <v>1</v>
      </c>
      <c r="H33" s="7">
        <v>45560</v>
      </c>
      <c r="I33" s="1" t="s">
        <v>7455</v>
      </c>
      <c r="J33" s="7">
        <v>45560</v>
      </c>
      <c r="K33" s="1" t="s">
        <v>7455</v>
      </c>
    </row>
    <row r="34" spans="1:11" x14ac:dyDescent="0.3">
      <c r="A34" s="1">
        <v>33</v>
      </c>
      <c r="B34" s="1">
        <v>97</v>
      </c>
      <c r="C34" s="1" t="s">
        <v>95</v>
      </c>
      <c r="E34" s="1" t="s">
        <v>52</v>
      </c>
      <c r="G34" s="1">
        <v>1</v>
      </c>
      <c r="H34" s="7">
        <v>45560</v>
      </c>
      <c r="I34" s="1" t="s">
        <v>7455</v>
      </c>
      <c r="J34" s="7">
        <v>45560</v>
      </c>
      <c r="K34" s="1" t="s">
        <v>7455</v>
      </c>
    </row>
    <row r="35" spans="1:11" x14ac:dyDescent="0.3">
      <c r="A35" s="1">
        <v>34</v>
      </c>
      <c r="B35" s="1">
        <v>98</v>
      </c>
      <c r="C35" s="1" t="s">
        <v>96</v>
      </c>
      <c r="E35" s="1" t="s">
        <v>52</v>
      </c>
      <c r="G35" s="1">
        <v>1</v>
      </c>
      <c r="H35" s="7">
        <v>45560</v>
      </c>
      <c r="I35" s="1" t="s">
        <v>7455</v>
      </c>
      <c r="J35" s="7">
        <v>45560</v>
      </c>
      <c r="K35" s="1" t="s">
        <v>7455</v>
      </c>
    </row>
    <row r="36" spans="1:11" x14ac:dyDescent="0.3">
      <c r="A36" s="1">
        <v>35</v>
      </c>
      <c r="B36" s="1">
        <v>5</v>
      </c>
      <c r="C36" s="1" t="s">
        <v>97</v>
      </c>
      <c r="E36" s="1" t="s">
        <v>52</v>
      </c>
      <c r="G36" s="1">
        <v>1</v>
      </c>
      <c r="H36" s="7">
        <v>45560</v>
      </c>
      <c r="I36" s="1" t="s">
        <v>7455</v>
      </c>
      <c r="J36" s="7">
        <v>45560</v>
      </c>
      <c r="K36" s="1" t="s">
        <v>7455</v>
      </c>
    </row>
    <row r="37" spans="1:11" x14ac:dyDescent="0.3">
      <c r="A37" s="1">
        <v>36</v>
      </c>
      <c r="B37" s="1">
        <v>6</v>
      </c>
      <c r="C37" s="1" t="s">
        <v>98</v>
      </c>
      <c r="E37" s="1" t="s">
        <v>52</v>
      </c>
      <c r="G37" s="1">
        <v>1</v>
      </c>
      <c r="H37" s="7">
        <v>45560</v>
      </c>
      <c r="I37" s="1" t="s">
        <v>7455</v>
      </c>
      <c r="J37" s="7">
        <v>45560</v>
      </c>
      <c r="K37" s="1" t="s">
        <v>7455</v>
      </c>
    </row>
    <row r="38" spans="1:11" x14ac:dyDescent="0.3">
      <c r="A38" s="1">
        <v>37</v>
      </c>
      <c r="B38" s="1">
        <v>8</v>
      </c>
      <c r="C38" s="1" t="s">
        <v>99</v>
      </c>
      <c r="E38" s="1" t="s">
        <v>52</v>
      </c>
      <c r="G38" s="1">
        <v>1</v>
      </c>
      <c r="H38" s="7">
        <v>45560</v>
      </c>
      <c r="I38" s="1" t="s">
        <v>7455</v>
      </c>
      <c r="J38" s="7">
        <v>45560</v>
      </c>
      <c r="K38" s="1" t="s">
        <v>7455</v>
      </c>
    </row>
    <row r="39" spans="1:11" x14ac:dyDescent="0.3">
      <c r="A39" s="1">
        <v>38</v>
      </c>
      <c r="B39" s="1">
        <v>10</v>
      </c>
      <c r="C39" s="1" t="s">
        <v>100</v>
      </c>
      <c r="D39" s="1" t="s">
        <v>101</v>
      </c>
      <c r="G39" s="1">
        <v>1</v>
      </c>
      <c r="H39" s="7">
        <v>45560</v>
      </c>
      <c r="I39" s="1" t="s">
        <v>7455</v>
      </c>
      <c r="J39" s="7">
        <v>45560</v>
      </c>
      <c r="K39" s="1" t="s">
        <v>7455</v>
      </c>
    </row>
    <row r="40" spans="1:11" x14ac:dyDescent="0.3">
      <c r="A40" s="1">
        <v>39</v>
      </c>
      <c r="B40" s="1">
        <v>11</v>
      </c>
      <c r="C40" s="1" t="s">
        <v>102</v>
      </c>
      <c r="D40" s="1" t="s">
        <v>103</v>
      </c>
      <c r="G40" s="1">
        <v>1</v>
      </c>
      <c r="H40" s="7">
        <v>45560</v>
      </c>
      <c r="I40" s="1" t="s">
        <v>7455</v>
      </c>
      <c r="J40" s="7">
        <v>45560</v>
      </c>
      <c r="K40" s="1" t="s">
        <v>7455</v>
      </c>
    </row>
    <row r="41" spans="1:11" x14ac:dyDescent="0.3">
      <c r="A41" s="1">
        <v>40</v>
      </c>
      <c r="B41" s="1">
        <v>13</v>
      </c>
      <c r="C41" s="1" t="s">
        <v>104</v>
      </c>
      <c r="D41" s="1" t="s">
        <v>105</v>
      </c>
      <c r="G41" s="1">
        <v>1</v>
      </c>
      <c r="H41" s="7">
        <v>45560</v>
      </c>
      <c r="I41" s="1" t="s">
        <v>7455</v>
      </c>
      <c r="J41" s="7">
        <v>45560</v>
      </c>
      <c r="K41" s="1" t="s">
        <v>7455</v>
      </c>
    </row>
    <row r="42" spans="1:11" x14ac:dyDescent="0.3">
      <c r="A42" s="1">
        <v>41</v>
      </c>
      <c r="B42" s="1">
        <v>14</v>
      </c>
      <c r="C42" s="1" t="s">
        <v>106</v>
      </c>
      <c r="D42" s="1" t="s">
        <v>107</v>
      </c>
      <c r="G42" s="1">
        <v>1</v>
      </c>
      <c r="H42" s="7">
        <v>45560</v>
      </c>
      <c r="I42" s="1" t="s">
        <v>7455</v>
      </c>
      <c r="J42" s="7">
        <v>45560</v>
      </c>
      <c r="K42" s="1" t="s">
        <v>7455</v>
      </c>
    </row>
    <row r="43" spans="1:11" x14ac:dyDescent="0.3">
      <c r="A43" s="1">
        <v>42</v>
      </c>
      <c r="B43" s="1">
        <v>15</v>
      </c>
      <c r="C43" s="1" t="s">
        <v>108</v>
      </c>
      <c r="D43" s="1" t="s">
        <v>109</v>
      </c>
      <c r="G43" s="1">
        <v>1</v>
      </c>
      <c r="H43" s="7">
        <v>45560</v>
      </c>
      <c r="I43" s="1" t="s">
        <v>7455</v>
      </c>
      <c r="J43" s="7">
        <v>45560</v>
      </c>
      <c r="K43" s="1" t="s">
        <v>7455</v>
      </c>
    </row>
    <row r="44" spans="1:11" x14ac:dyDescent="0.3">
      <c r="A44" s="1">
        <v>43</v>
      </c>
      <c r="B44" s="1">
        <v>16</v>
      </c>
      <c r="C44" s="1" t="s">
        <v>110</v>
      </c>
      <c r="E44" s="1" t="s">
        <v>52</v>
      </c>
      <c r="G44" s="1">
        <v>1</v>
      </c>
      <c r="H44" s="7">
        <v>45560</v>
      </c>
      <c r="I44" s="1" t="s">
        <v>7455</v>
      </c>
      <c r="J44" s="7">
        <v>45560</v>
      </c>
      <c r="K44" s="1" t="s">
        <v>7455</v>
      </c>
    </row>
    <row r="45" spans="1:11" x14ac:dyDescent="0.3">
      <c r="A45" s="1">
        <v>44</v>
      </c>
      <c r="B45" s="1">
        <v>17</v>
      </c>
      <c r="C45" s="1" t="s">
        <v>111</v>
      </c>
      <c r="E45" s="1" t="s">
        <v>52</v>
      </c>
      <c r="G45" s="1">
        <v>1</v>
      </c>
      <c r="H45" s="7">
        <v>45560</v>
      </c>
      <c r="I45" s="1" t="s">
        <v>7455</v>
      </c>
      <c r="J45" s="7">
        <v>45560</v>
      </c>
      <c r="K45" s="1" t="s">
        <v>7455</v>
      </c>
    </row>
    <row r="46" spans="1:11" x14ac:dyDescent="0.3">
      <c r="A46" s="1">
        <v>45</v>
      </c>
      <c r="B46" s="1" t="s">
        <v>112</v>
      </c>
      <c r="C46" s="1" t="s">
        <v>113</v>
      </c>
      <c r="E46" s="1" t="s">
        <v>52</v>
      </c>
      <c r="G46" s="1">
        <v>1</v>
      </c>
      <c r="H46" s="7">
        <v>45560</v>
      </c>
      <c r="I46" s="1" t="s">
        <v>7455</v>
      </c>
      <c r="J46" s="7">
        <v>45560</v>
      </c>
      <c r="K46" s="1" t="s">
        <v>7455</v>
      </c>
    </row>
    <row r="47" spans="1:11" x14ac:dyDescent="0.3">
      <c r="A47" s="1">
        <v>46</v>
      </c>
      <c r="B47" s="1" t="s">
        <v>114</v>
      </c>
      <c r="C47" s="1" t="s">
        <v>115</v>
      </c>
      <c r="E47" s="1" t="s">
        <v>52</v>
      </c>
      <c r="G47" s="1">
        <v>1</v>
      </c>
      <c r="H47" s="7">
        <v>45560</v>
      </c>
      <c r="I47" s="1" t="s">
        <v>7455</v>
      </c>
      <c r="J47" s="7">
        <v>45560</v>
      </c>
      <c r="K47" s="1" t="s">
        <v>7455</v>
      </c>
    </row>
    <row r="48" spans="1:11" x14ac:dyDescent="0.3">
      <c r="A48" s="1">
        <v>47</v>
      </c>
      <c r="B48" s="1" t="s">
        <v>116</v>
      </c>
      <c r="C48" s="1" t="s">
        <v>117</v>
      </c>
      <c r="E48" s="1" t="s">
        <v>52</v>
      </c>
      <c r="G48" s="1">
        <v>1</v>
      </c>
      <c r="H48" s="7">
        <v>45560</v>
      </c>
      <c r="I48" s="1" t="s">
        <v>7455</v>
      </c>
      <c r="J48" s="7">
        <v>45560</v>
      </c>
      <c r="K48" s="1" t="s">
        <v>7455</v>
      </c>
    </row>
    <row r="49" spans="1:11" x14ac:dyDescent="0.3">
      <c r="A49" s="1">
        <v>48</v>
      </c>
      <c r="B49" s="1" t="s">
        <v>118</v>
      </c>
      <c r="C49" s="1" t="s">
        <v>119</v>
      </c>
      <c r="E49" s="1" t="s">
        <v>52</v>
      </c>
      <c r="G49" s="1">
        <v>1</v>
      </c>
      <c r="H49" s="7">
        <v>45560</v>
      </c>
      <c r="I49" s="1" t="s">
        <v>7455</v>
      </c>
      <c r="J49" s="7">
        <v>45560</v>
      </c>
      <c r="K49" s="1" t="s">
        <v>7455</v>
      </c>
    </row>
    <row r="50" spans="1:11" x14ac:dyDescent="0.3">
      <c r="A50" s="1">
        <v>49</v>
      </c>
      <c r="B50" s="1" t="s">
        <v>120</v>
      </c>
      <c r="C50" s="1" t="s">
        <v>121</v>
      </c>
      <c r="E50" s="1" t="s">
        <v>52</v>
      </c>
      <c r="G50" s="1">
        <v>1</v>
      </c>
      <c r="H50" s="7">
        <v>45560</v>
      </c>
      <c r="I50" s="1" t="s">
        <v>7455</v>
      </c>
      <c r="J50" s="7">
        <v>45560</v>
      </c>
      <c r="K50" s="1" t="s">
        <v>7455</v>
      </c>
    </row>
    <row r="51" spans="1:11" x14ac:dyDescent="0.3">
      <c r="A51" s="1">
        <v>50</v>
      </c>
      <c r="B51" s="1" t="s">
        <v>122</v>
      </c>
      <c r="C51" s="1" t="s">
        <v>123</v>
      </c>
      <c r="E51" s="1" t="s">
        <v>52</v>
      </c>
      <c r="G51" s="1">
        <v>1</v>
      </c>
      <c r="H51" s="7">
        <v>45560</v>
      </c>
      <c r="I51" s="1" t="s">
        <v>7455</v>
      </c>
      <c r="J51" s="7">
        <v>45560</v>
      </c>
      <c r="K51" s="1" t="s">
        <v>7455</v>
      </c>
    </row>
    <row r="52" spans="1:11" x14ac:dyDescent="0.3">
      <c r="A52" s="1">
        <v>51</v>
      </c>
      <c r="B52" s="1" t="s">
        <v>124</v>
      </c>
      <c r="C52" s="1" t="s">
        <v>125</v>
      </c>
      <c r="E52" s="1" t="s">
        <v>52</v>
      </c>
      <c r="G52" s="1">
        <v>1</v>
      </c>
      <c r="H52" s="7">
        <v>45560</v>
      </c>
      <c r="I52" s="1" t="s">
        <v>7455</v>
      </c>
      <c r="J52" s="7">
        <v>45560</v>
      </c>
      <c r="K52" s="1" t="s">
        <v>7455</v>
      </c>
    </row>
    <row r="53" spans="1:11" x14ac:dyDescent="0.3">
      <c r="A53" s="1">
        <v>52</v>
      </c>
      <c r="B53" s="1" t="s">
        <v>126</v>
      </c>
      <c r="C53" s="1" t="s">
        <v>127</v>
      </c>
      <c r="E53" s="1" t="s">
        <v>52</v>
      </c>
      <c r="G53" s="1">
        <v>1</v>
      </c>
      <c r="H53" s="7">
        <v>45560</v>
      </c>
      <c r="I53" s="1" t="s">
        <v>7455</v>
      </c>
      <c r="J53" s="7">
        <v>45560</v>
      </c>
      <c r="K53" s="1" t="s">
        <v>7455</v>
      </c>
    </row>
    <row r="54" spans="1:11" x14ac:dyDescent="0.3">
      <c r="A54" s="1">
        <v>53</v>
      </c>
      <c r="B54" s="1" t="s">
        <v>128</v>
      </c>
      <c r="C54" s="1" t="s">
        <v>129</v>
      </c>
      <c r="D54" s="1" t="s">
        <v>130</v>
      </c>
      <c r="G54" s="1">
        <v>1</v>
      </c>
      <c r="H54" s="7">
        <v>45560</v>
      </c>
      <c r="I54" s="1" t="s">
        <v>7455</v>
      </c>
      <c r="J54" s="7">
        <v>45560</v>
      </c>
      <c r="K54" s="1" t="s">
        <v>7455</v>
      </c>
    </row>
    <row r="55" spans="1:11" x14ac:dyDescent="0.3">
      <c r="A55" s="1">
        <v>54</v>
      </c>
      <c r="B55" s="1" t="s">
        <v>131</v>
      </c>
      <c r="C55" s="1" t="s">
        <v>132</v>
      </c>
      <c r="E55" s="1" t="s">
        <v>52</v>
      </c>
      <c r="G55" s="1">
        <v>1</v>
      </c>
      <c r="H55" s="7">
        <v>45560</v>
      </c>
      <c r="I55" s="1" t="s">
        <v>7455</v>
      </c>
      <c r="J55" s="7">
        <v>45560</v>
      </c>
      <c r="K55" s="1" t="s">
        <v>7455</v>
      </c>
    </row>
    <row r="56" spans="1:11" x14ac:dyDescent="0.3">
      <c r="A56" s="1">
        <v>55</v>
      </c>
      <c r="B56" s="1" t="s">
        <v>133</v>
      </c>
      <c r="C56" s="1" t="s">
        <v>134</v>
      </c>
      <c r="E56" s="1" t="s">
        <v>52</v>
      </c>
      <c r="G56" s="1">
        <v>1</v>
      </c>
      <c r="H56" s="7">
        <v>45560</v>
      </c>
      <c r="I56" s="1" t="s">
        <v>7455</v>
      </c>
      <c r="J56" s="7">
        <v>45560</v>
      </c>
      <c r="K56" s="1" t="s">
        <v>7455</v>
      </c>
    </row>
    <row r="57" spans="1:11" x14ac:dyDescent="0.3">
      <c r="A57" s="1">
        <v>56</v>
      </c>
      <c r="B57" s="1" t="s">
        <v>135</v>
      </c>
      <c r="C57" s="1" t="s">
        <v>136</v>
      </c>
      <c r="E57" s="1" t="s">
        <v>52</v>
      </c>
      <c r="G57" s="1">
        <v>1</v>
      </c>
      <c r="H57" s="7">
        <v>45560</v>
      </c>
      <c r="I57" s="1" t="s">
        <v>7455</v>
      </c>
      <c r="J57" s="7">
        <v>45560</v>
      </c>
      <c r="K57" s="1" t="s">
        <v>7455</v>
      </c>
    </row>
    <row r="58" spans="1:11" x14ac:dyDescent="0.3">
      <c r="A58" s="1">
        <v>57</v>
      </c>
      <c r="B58" s="1" t="s">
        <v>137</v>
      </c>
      <c r="C58" s="1" t="s">
        <v>138</v>
      </c>
      <c r="E58" s="1" t="s">
        <v>52</v>
      </c>
      <c r="G58" s="1">
        <v>1</v>
      </c>
      <c r="H58" s="7">
        <v>45560</v>
      </c>
      <c r="I58" s="1" t="s">
        <v>7455</v>
      </c>
      <c r="J58" s="7">
        <v>45560</v>
      </c>
      <c r="K58" s="1" t="s">
        <v>7455</v>
      </c>
    </row>
    <row r="59" spans="1:11" x14ac:dyDescent="0.3">
      <c r="A59" s="1">
        <v>58</v>
      </c>
      <c r="B59" s="1" t="s">
        <v>139</v>
      </c>
      <c r="C59" s="1" t="s">
        <v>140</v>
      </c>
      <c r="E59" s="1" t="s">
        <v>52</v>
      </c>
      <c r="G59" s="1">
        <v>1</v>
      </c>
      <c r="H59" s="7">
        <v>45560</v>
      </c>
      <c r="I59" s="1" t="s">
        <v>7455</v>
      </c>
      <c r="J59" s="7">
        <v>45560</v>
      </c>
      <c r="K59" s="1" t="s">
        <v>7455</v>
      </c>
    </row>
    <row r="60" spans="1:11" x14ac:dyDescent="0.3">
      <c r="A60" s="1">
        <v>59</v>
      </c>
      <c r="B60" s="1">
        <v>20</v>
      </c>
      <c r="C60" s="1" t="s">
        <v>141</v>
      </c>
      <c r="D60" s="1" t="s">
        <v>142</v>
      </c>
      <c r="G60" s="1">
        <v>1</v>
      </c>
      <c r="H60" s="7">
        <v>45560</v>
      </c>
      <c r="I60" s="1" t="s">
        <v>7455</v>
      </c>
      <c r="J60" s="7">
        <v>45560</v>
      </c>
      <c r="K60" s="1" t="s">
        <v>7455</v>
      </c>
    </row>
    <row r="61" spans="1:11" x14ac:dyDescent="0.3">
      <c r="A61" s="1">
        <v>60</v>
      </c>
      <c r="B61" s="1">
        <v>21</v>
      </c>
      <c r="C61" s="1" t="s">
        <v>143</v>
      </c>
      <c r="D61" s="1" t="s">
        <v>144</v>
      </c>
      <c r="G61" s="1">
        <v>1</v>
      </c>
      <c r="H61" s="7">
        <v>45560</v>
      </c>
      <c r="I61" s="1" t="s">
        <v>7455</v>
      </c>
      <c r="J61" s="7">
        <v>45560</v>
      </c>
      <c r="K61" s="1" t="s">
        <v>7455</v>
      </c>
    </row>
    <row r="62" spans="1:11" x14ac:dyDescent="0.3">
      <c r="A62" s="1">
        <v>61</v>
      </c>
      <c r="B62" s="1">
        <v>22</v>
      </c>
      <c r="C62" s="1" t="s">
        <v>145</v>
      </c>
      <c r="F62" s="1" t="s">
        <v>146</v>
      </c>
      <c r="G62" s="1">
        <v>1</v>
      </c>
      <c r="H62" s="7">
        <v>45560</v>
      </c>
      <c r="I62" s="1" t="s">
        <v>7455</v>
      </c>
      <c r="J62" s="7">
        <v>45560</v>
      </c>
      <c r="K62" s="1" t="s">
        <v>7455</v>
      </c>
    </row>
    <row r="63" spans="1:11" x14ac:dyDescent="0.3">
      <c r="A63" s="1">
        <v>62</v>
      </c>
      <c r="B63" s="1">
        <v>23</v>
      </c>
      <c r="C63" s="1" t="s">
        <v>147</v>
      </c>
      <c r="F63" s="1" t="s">
        <v>148</v>
      </c>
      <c r="G63" s="1">
        <v>1</v>
      </c>
      <c r="H63" s="7">
        <v>45560</v>
      </c>
      <c r="I63" s="1" t="s">
        <v>7455</v>
      </c>
      <c r="J63" s="7">
        <v>45560</v>
      </c>
      <c r="K63" s="1" t="s">
        <v>7455</v>
      </c>
    </row>
    <row r="64" spans="1:11" x14ac:dyDescent="0.3">
      <c r="A64" s="1">
        <v>63</v>
      </c>
      <c r="B64" s="1">
        <v>24</v>
      </c>
      <c r="C64" s="1" t="s">
        <v>149</v>
      </c>
      <c r="D64" s="1" t="s">
        <v>150</v>
      </c>
      <c r="G64" s="1">
        <v>1</v>
      </c>
      <c r="H64" s="7">
        <v>45560</v>
      </c>
      <c r="I64" s="1" t="s">
        <v>7455</v>
      </c>
      <c r="J64" s="7">
        <v>45560</v>
      </c>
      <c r="K64" s="1" t="s">
        <v>7455</v>
      </c>
    </row>
    <row r="65" spans="1:11" x14ac:dyDescent="0.3">
      <c r="A65" s="1">
        <v>64</v>
      </c>
      <c r="B65" s="1">
        <v>25</v>
      </c>
      <c r="C65" s="1" t="s">
        <v>151</v>
      </c>
      <c r="F65" s="1" t="s">
        <v>152</v>
      </c>
      <c r="G65" s="1">
        <v>1</v>
      </c>
      <c r="H65" s="7">
        <v>45560</v>
      </c>
      <c r="I65" s="1" t="s">
        <v>7455</v>
      </c>
      <c r="J65" s="7">
        <v>45560</v>
      </c>
      <c r="K65" s="1" t="s">
        <v>7455</v>
      </c>
    </row>
    <row r="66" spans="1:11" x14ac:dyDescent="0.3">
      <c r="A66" s="1">
        <v>65</v>
      </c>
      <c r="B66" s="1">
        <v>27</v>
      </c>
      <c r="C66" s="1" t="s">
        <v>153</v>
      </c>
      <c r="D66" s="1" t="s">
        <v>154</v>
      </c>
      <c r="G66" s="1">
        <v>1</v>
      </c>
      <c r="H66" s="7">
        <v>45560</v>
      </c>
      <c r="I66" s="1" t="s">
        <v>7455</v>
      </c>
      <c r="J66" s="7">
        <v>45560</v>
      </c>
      <c r="K66" s="1" t="s">
        <v>7455</v>
      </c>
    </row>
    <row r="67" spans="1:11" x14ac:dyDescent="0.3">
      <c r="A67" s="1">
        <v>66</v>
      </c>
      <c r="B67" s="1">
        <v>28</v>
      </c>
      <c r="C67" s="1" t="s">
        <v>155</v>
      </c>
      <c r="F67" s="1" t="s">
        <v>156</v>
      </c>
      <c r="G67" s="1">
        <v>1</v>
      </c>
      <c r="H67" s="7">
        <v>45560</v>
      </c>
      <c r="I67" s="1" t="s">
        <v>7455</v>
      </c>
      <c r="J67" s="7">
        <v>45560</v>
      </c>
      <c r="K67" s="1" t="s">
        <v>7455</v>
      </c>
    </row>
    <row r="68" spans="1:11" x14ac:dyDescent="0.3">
      <c r="A68" s="1">
        <v>67</v>
      </c>
      <c r="B68" s="1" t="s">
        <v>157</v>
      </c>
      <c r="C68" s="1" t="s">
        <v>158</v>
      </c>
      <c r="D68" s="1" t="s">
        <v>159</v>
      </c>
      <c r="F68" s="1" t="s">
        <v>160</v>
      </c>
      <c r="G68" s="1">
        <v>1</v>
      </c>
      <c r="H68" s="7">
        <v>45560</v>
      </c>
      <c r="I68" s="1" t="s">
        <v>7455</v>
      </c>
      <c r="J68" s="7">
        <v>45560</v>
      </c>
      <c r="K68" s="1" t="s">
        <v>7455</v>
      </c>
    </row>
    <row r="69" spans="1:11" x14ac:dyDescent="0.3">
      <c r="A69" s="1">
        <v>68</v>
      </c>
      <c r="B69" s="1" t="s">
        <v>161</v>
      </c>
      <c r="C69" s="1" t="s">
        <v>162</v>
      </c>
      <c r="D69" s="1" t="s">
        <v>163</v>
      </c>
      <c r="F69" s="1" t="s">
        <v>164</v>
      </c>
      <c r="G69" s="1">
        <v>1</v>
      </c>
      <c r="H69" s="7">
        <v>45560</v>
      </c>
      <c r="I69" s="1" t="s">
        <v>7455</v>
      </c>
      <c r="J69" s="7">
        <v>45560</v>
      </c>
      <c r="K69" s="1" t="s">
        <v>7455</v>
      </c>
    </row>
    <row r="70" spans="1:11" x14ac:dyDescent="0.3">
      <c r="A70" s="1">
        <v>69</v>
      </c>
      <c r="B70" s="1" t="s">
        <v>165</v>
      </c>
      <c r="C70" s="1" t="s">
        <v>166</v>
      </c>
      <c r="F70" s="1" t="s">
        <v>167</v>
      </c>
      <c r="G70" s="1">
        <v>1</v>
      </c>
      <c r="H70" s="7">
        <v>45560</v>
      </c>
      <c r="I70" s="1" t="s">
        <v>7455</v>
      </c>
      <c r="J70" s="7">
        <v>45560</v>
      </c>
      <c r="K70" s="1" t="s">
        <v>7455</v>
      </c>
    </row>
    <row r="71" spans="1:11" x14ac:dyDescent="0.3">
      <c r="A71" s="1">
        <v>70</v>
      </c>
      <c r="B71" s="1" t="s">
        <v>168</v>
      </c>
      <c r="C71" s="1" t="s">
        <v>169</v>
      </c>
      <c r="D71" s="1" t="s">
        <v>170</v>
      </c>
      <c r="F71" s="1" t="s">
        <v>171</v>
      </c>
      <c r="G71" s="1">
        <v>1</v>
      </c>
      <c r="H71" s="7">
        <v>45560</v>
      </c>
      <c r="I71" s="1" t="s">
        <v>7455</v>
      </c>
      <c r="J71" s="7">
        <v>45560</v>
      </c>
      <c r="K71" s="1" t="s">
        <v>7455</v>
      </c>
    </row>
    <row r="72" spans="1:11" x14ac:dyDescent="0.3">
      <c r="A72" s="1">
        <v>71</v>
      </c>
      <c r="B72" s="1" t="s">
        <v>172</v>
      </c>
      <c r="C72" s="1" t="s">
        <v>173</v>
      </c>
      <c r="D72" s="1" t="s">
        <v>174</v>
      </c>
      <c r="F72" s="1" t="s">
        <v>171</v>
      </c>
      <c r="G72" s="1">
        <v>1</v>
      </c>
      <c r="H72" s="7">
        <v>45560</v>
      </c>
      <c r="I72" s="1" t="s">
        <v>7455</v>
      </c>
      <c r="J72" s="7">
        <v>45560</v>
      </c>
      <c r="K72" s="1" t="s">
        <v>7455</v>
      </c>
    </row>
    <row r="73" spans="1:11" x14ac:dyDescent="0.3">
      <c r="A73" s="1">
        <v>72</v>
      </c>
      <c r="B73" s="1" t="s">
        <v>175</v>
      </c>
      <c r="C73" s="1" t="s">
        <v>176</v>
      </c>
      <c r="F73" s="1" t="s">
        <v>177</v>
      </c>
      <c r="G73" s="1">
        <v>1</v>
      </c>
      <c r="H73" s="7">
        <v>45560</v>
      </c>
      <c r="I73" s="1" t="s">
        <v>7455</v>
      </c>
      <c r="J73" s="7">
        <v>45560</v>
      </c>
      <c r="K73" s="1" t="s">
        <v>7455</v>
      </c>
    </row>
    <row r="74" spans="1:11" x14ac:dyDescent="0.3">
      <c r="A74" s="1">
        <v>73</v>
      </c>
      <c r="B74" s="1" t="s">
        <v>178</v>
      </c>
      <c r="C74" s="1" t="s">
        <v>179</v>
      </c>
      <c r="F74" s="1" t="s">
        <v>180</v>
      </c>
      <c r="G74" s="1">
        <v>1</v>
      </c>
      <c r="H74" s="7">
        <v>45560</v>
      </c>
      <c r="I74" s="1" t="s">
        <v>7455</v>
      </c>
      <c r="J74" s="7">
        <v>45560</v>
      </c>
      <c r="K74" s="1" t="s">
        <v>7455</v>
      </c>
    </row>
    <row r="75" spans="1:11" x14ac:dyDescent="0.3">
      <c r="A75" s="1">
        <v>74</v>
      </c>
      <c r="B75" s="1" t="s">
        <v>181</v>
      </c>
      <c r="C75" s="1" t="s">
        <v>182</v>
      </c>
      <c r="F75" s="1" t="s">
        <v>183</v>
      </c>
      <c r="G75" s="1">
        <v>1</v>
      </c>
      <c r="H75" s="7">
        <v>45560</v>
      </c>
      <c r="I75" s="1" t="s">
        <v>7455</v>
      </c>
      <c r="J75" s="7">
        <v>45560</v>
      </c>
      <c r="K75" s="1" t="s">
        <v>7455</v>
      </c>
    </row>
    <row r="76" spans="1:11" x14ac:dyDescent="0.3">
      <c r="A76" s="1">
        <v>75</v>
      </c>
      <c r="B76" s="1" t="s">
        <v>184</v>
      </c>
      <c r="C76" s="1" t="s">
        <v>185</v>
      </c>
      <c r="F76" s="1" t="s">
        <v>186</v>
      </c>
      <c r="G76" s="1">
        <v>1</v>
      </c>
      <c r="H76" s="7">
        <v>45560</v>
      </c>
      <c r="I76" s="1" t="s">
        <v>7455</v>
      </c>
      <c r="J76" s="7">
        <v>45560</v>
      </c>
      <c r="K76" s="1" t="s">
        <v>7455</v>
      </c>
    </row>
    <row r="77" spans="1:11" x14ac:dyDescent="0.3">
      <c r="A77" s="1">
        <v>76</v>
      </c>
      <c r="B77" s="1" t="s">
        <v>187</v>
      </c>
      <c r="C77" s="1" t="s">
        <v>188</v>
      </c>
      <c r="F77" s="1" t="s">
        <v>189</v>
      </c>
      <c r="G77" s="1">
        <v>1</v>
      </c>
      <c r="H77" s="7">
        <v>45560</v>
      </c>
      <c r="I77" s="1" t="s">
        <v>7455</v>
      </c>
      <c r="J77" s="7">
        <v>45560</v>
      </c>
      <c r="K77" s="1" t="s">
        <v>7455</v>
      </c>
    </row>
    <row r="78" spans="1:11" x14ac:dyDescent="0.3">
      <c r="A78" s="1">
        <v>77</v>
      </c>
      <c r="B78" s="1" t="s">
        <v>190</v>
      </c>
      <c r="C78" s="1" t="s">
        <v>191</v>
      </c>
      <c r="D78" s="1" t="s">
        <v>192</v>
      </c>
      <c r="F78" s="1" t="s">
        <v>193</v>
      </c>
      <c r="G78" s="1">
        <v>1</v>
      </c>
      <c r="H78" s="7">
        <v>45560</v>
      </c>
      <c r="I78" s="1" t="s">
        <v>7455</v>
      </c>
      <c r="J78" s="7">
        <v>45560</v>
      </c>
      <c r="K78" s="1" t="s">
        <v>7455</v>
      </c>
    </row>
    <row r="79" spans="1:11" x14ac:dyDescent="0.3">
      <c r="A79" s="1">
        <v>78</v>
      </c>
      <c r="B79" s="1" t="s">
        <v>194</v>
      </c>
      <c r="C79" s="1" t="s">
        <v>195</v>
      </c>
      <c r="D79" s="1" t="s">
        <v>196</v>
      </c>
      <c r="F79" s="1" t="s">
        <v>197</v>
      </c>
      <c r="G79" s="1">
        <v>1</v>
      </c>
      <c r="H79" s="7">
        <v>45560</v>
      </c>
      <c r="I79" s="1" t="s">
        <v>7455</v>
      </c>
      <c r="J79" s="7">
        <v>45560</v>
      </c>
      <c r="K79" s="1" t="s">
        <v>7455</v>
      </c>
    </row>
    <row r="80" spans="1:11" x14ac:dyDescent="0.3">
      <c r="A80" s="1">
        <v>79</v>
      </c>
      <c r="B80" s="1" t="s">
        <v>198</v>
      </c>
      <c r="C80" s="1" t="s">
        <v>199</v>
      </c>
      <c r="F80" s="1" t="s">
        <v>200</v>
      </c>
      <c r="G80" s="1">
        <v>1</v>
      </c>
      <c r="H80" s="7">
        <v>45560</v>
      </c>
      <c r="I80" s="1" t="s">
        <v>7455</v>
      </c>
      <c r="J80" s="7">
        <v>45560</v>
      </c>
      <c r="K80" s="1" t="s">
        <v>7455</v>
      </c>
    </row>
    <row r="81" spans="1:11" x14ac:dyDescent="0.3">
      <c r="A81" s="1">
        <v>80</v>
      </c>
      <c r="B81" s="1" t="s">
        <v>201</v>
      </c>
      <c r="C81" s="1" t="s">
        <v>202</v>
      </c>
      <c r="F81" s="1" t="s">
        <v>203</v>
      </c>
      <c r="G81" s="1">
        <v>1</v>
      </c>
      <c r="H81" s="7">
        <v>45560</v>
      </c>
      <c r="I81" s="1" t="s">
        <v>7455</v>
      </c>
      <c r="J81" s="7">
        <v>45560</v>
      </c>
      <c r="K81" s="1" t="s">
        <v>7455</v>
      </c>
    </row>
    <row r="82" spans="1:11" x14ac:dyDescent="0.3">
      <c r="A82" s="1">
        <v>81</v>
      </c>
      <c r="B82" s="1" t="s">
        <v>204</v>
      </c>
      <c r="C82" s="1" t="s">
        <v>205</v>
      </c>
      <c r="F82" s="1" t="s">
        <v>206</v>
      </c>
      <c r="G82" s="1">
        <v>1</v>
      </c>
      <c r="H82" s="7">
        <v>45560</v>
      </c>
      <c r="I82" s="1" t="s">
        <v>7455</v>
      </c>
      <c r="J82" s="7">
        <v>45560</v>
      </c>
      <c r="K82" s="1" t="s">
        <v>7455</v>
      </c>
    </row>
    <row r="83" spans="1:11" x14ac:dyDescent="0.3">
      <c r="A83" s="1">
        <v>82</v>
      </c>
      <c r="B83" s="1" t="s">
        <v>207</v>
      </c>
      <c r="C83" s="1" t="s">
        <v>208</v>
      </c>
      <c r="E83" s="1" t="s">
        <v>52</v>
      </c>
      <c r="F83" s="1" t="s">
        <v>209</v>
      </c>
      <c r="G83" s="1">
        <v>1</v>
      </c>
      <c r="H83" s="7">
        <v>45560</v>
      </c>
      <c r="I83" s="1" t="s">
        <v>7455</v>
      </c>
      <c r="J83" s="7">
        <v>45560</v>
      </c>
      <c r="K83" s="1" t="s">
        <v>7455</v>
      </c>
    </row>
    <row r="84" spans="1:11" x14ac:dyDescent="0.3">
      <c r="A84" s="1">
        <v>83</v>
      </c>
      <c r="B84" s="1" t="s">
        <v>210</v>
      </c>
      <c r="C84" s="1" t="s">
        <v>211</v>
      </c>
      <c r="F84" s="1" t="s">
        <v>212</v>
      </c>
      <c r="G84" s="1">
        <v>1</v>
      </c>
      <c r="H84" s="7">
        <v>45560</v>
      </c>
      <c r="I84" s="1" t="s">
        <v>7455</v>
      </c>
      <c r="J84" s="7">
        <v>45560</v>
      </c>
      <c r="K84" s="1" t="s">
        <v>7455</v>
      </c>
    </row>
    <row r="85" spans="1:11" x14ac:dyDescent="0.3">
      <c r="A85" s="1">
        <v>84</v>
      </c>
      <c r="B85" s="1" t="s">
        <v>213</v>
      </c>
      <c r="C85" s="1" t="s">
        <v>214</v>
      </c>
      <c r="F85" s="1" t="s">
        <v>215</v>
      </c>
      <c r="G85" s="1">
        <v>1</v>
      </c>
      <c r="H85" s="7">
        <v>45560</v>
      </c>
      <c r="I85" s="1" t="s">
        <v>7455</v>
      </c>
      <c r="J85" s="7">
        <v>45560</v>
      </c>
      <c r="K85" s="1" t="s">
        <v>7455</v>
      </c>
    </row>
    <row r="86" spans="1:11" x14ac:dyDescent="0.3">
      <c r="A86" s="1">
        <v>85</v>
      </c>
      <c r="B86" s="1" t="s">
        <v>216</v>
      </c>
      <c r="C86" s="1" t="s">
        <v>217</v>
      </c>
      <c r="F86" s="1" t="s">
        <v>218</v>
      </c>
      <c r="G86" s="1">
        <v>1</v>
      </c>
      <c r="H86" s="7">
        <v>45560</v>
      </c>
      <c r="I86" s="1" t="s">
        <v>7455</v>
      </c>
      <c r="J86" s="7">
        <v>45560</v>
      </c>
      <c r="K86" s="1" t="s">
        <v>7455</v>
      </c>
    </row>
    <row r="87" spans="1:11" x14ac:dyDescent="0.3">
      <c r="A87" s="1">
        <v>86</v>
      </c>
      <c r="B87" s="1">
        <v>33</v>
      </c>
      <c r="C87" s="1" t="s">
        <v>219</v>
      </c>
      <c r="F87" s="1" t="s">
        <v>220</v>
      </c>
      <c r="G87" s="1">
        <v>1</v>
      </c>
      <c r="H87" s="7">
        <v>45560</v>
      </c>
      <c r="I87" s="1" t="s">
        <v>7455</v>
      </c>
      <c r="J87" s="7">
        <v>45560</v>
      </c>
      <c r="K87" s="1" t="s">
        <v>7455</v>
      </c>
    </row>
    <row r="88" spans="1:11" x14ac:dyDescent="0.3">
      <c r="A88" s="1">
        <v>87</v>
      </c>
      <c r="B88" s="1">
        <v>34</v>
      </c>
      <c r="C88" s="1" t="s">
        <v>221</v>
      </c>
      <c r="F88" s="1" t="s">
        <v>222</v>
      </c>
      <c r="G88" s="1">
        <v>1</v>
      </c>
      <c r="H88" s="7">
        <v>45560</v>
      </c>
      <c r="I88" s="1" t="s">
        <v>7455</v>
      </c>
      <c r="J88" s="7">
        <v>45560</v>
      </c>
      <c r="K88" s="1" t="s">
        <v>7455</v>
      </c>
    </row>
    <row r="89" spans="1:11" x14ac:dyDescent="0.3">
      <c r="A89" s="1">
        <v>88</v>
      </c>
      <c r="B89" s="1">
        <v>35</v>
      </c>
      <c r="C89" s="1" t="s">
        <v>223</v>
      </c>
      <c r="F89" s="1" t="s">
        <v>224</v>
      </c>
      <c r="G89" s="1">
        <v>1</v>
      </c>
      <c r="H89" s="7">
        <v>45560</v>
      </c>
      <c r="I89" s="1" t="s">
        <v>7455</v>
      </c>
      <c r="J89" s="7">
        <v>45560</v>
      </c>
      <c r="K89" s="1" t="s">
        <v>7455</v>
      </c>
    </row>
    <row r="90" spans="1:11" x14ac:dyDescent="0.3">
      <c r="A90" s="1">
        <v>89</v>
      </c>
      <c r="B90" s="1">
        <v>37</v>
      </c>
      <c r="C90" s="1" t="s">
        <v>225</v>
      </c>
      <c r="F90" s="1" t="s">
        <v>226</v>
      </c>
      <c r="G90" s="1">
        <v>1</v>
      </c>
      <c r="H90" s="7">
        <v>45560</v>
      </c>
      <c r="I90" s="1" t="s">
        <v>7455</v>
      </c>
      <c r="J90" s="7">
        <v>45560</v>
      </c>
      <c r="K90" s="1" t="s">
        <v>7455</v>
      </c>
    </row>
    <row r="91" spans="1:11" x14ac:dyDescent="0.3">
      <c r="A91" s="1">
        <v>90</v>
      </c>
      <c r="B91" s="1">
        <v>38</v>
      </c>
      <c r="C91" s="1" t="s">
        <v>227</v>
      </c>
      <c r="F91" s="1" t="s">
        <v>228</v>
      </c>
      <c r="G91" s="1">
        <v>1</v>
      </c>
      <c r="H91" s="7">
        <v>45560</v>
      </c>
      <c r="I91" s="1" t="s">
        <v>7455</v>
      </c>
      <c r="J91" s="7">
        <v>45560</v>
      </c>
      <c r="K91" s="1" t="s">
        <v>7455</v>
      </c>
    </row>
    <row r="92" spans="1:11" x14ac:dyDescent="0.3">
      <c r="A92" s="1">
        <v>91</v>
      </c>
      <c r="B92" s="1" t="s">
        <v>229</v>
      </c>
      <c r="C92" s="1" t="s">
        <v>230</v>
      </c>
      <c r="F92" s="1" t="s">
        <v>231</v>
      </c>
      <c r="G92" s="1">
        <v>1</v>
      </c>
      <c r="H92" s="7">
        <v>45560</v>
      </c>
      <c r="I92" s="1" t="s">
        <v>7455</v>
      </c>
      <c r="J92" s="7">
        <v>45560</v>
      </c>
      <c r="K92" s="1" t="s">
        <v>7455</v>
      </c>
    </row>
    <row r="93" spans="1:11" x14ac:dyDescent="0.3">
      <c r="A93" s="1">
        <v>92</v>
      </c>
      <c r="B93" s="1" t="s">
        <v>232</v>
      </c>
      <c r="C93" s="1" t="s">
        <v>233</v>
      </c>
      <c r="D93" s="1" t="s">
        <v>234</v>
      </c>
      <c r="G93" s="1">
        <v>1</v>
      </c>
      <c r="H93" s="7">
        <v>45560</v>
      </c>
      <c r="I93" s="1" t="s">
        <v>7455</v>
      </c>
      <c r="J93" s="7">
        <v>45560</v>
      </c>
      <c r="K93" s="1" t="s">
        <v>7455</v>
      </c>
    </row>
    <row r="94" spans="1:11" x14ac:dyDescent="0.3">
      <c r="A94" s="1">
        <v>93</v>
      </c>
      <c r="B94" s="1" t="s">
        <v>235</v>
      </c>
      <c r="C94" s="1" t="s">
        <v>236</v>
      </c>
      <c r="E94" s="1" t="s">
        <v>52</v>
      </c>
      <c r="G94" s="1">
        <v>1</v>
      </c>
      <c r="H94" s="7">
        <v>45560</v>
      </c>
      <c r="I94" s="1" t="s">
        <v>7455</v>
      </c>
      <c r="J94" s="7">
        <v>45560</v>
      </c>
      <c r="K94" s="1" t="s">
        <v>7455</v>
      </c>
    </row>
    <row r="95" spans="1:11" x14ac:dyDescent="0.3">
      <c r="A95" s="1">
        <v>94</v>
      </c>
      <c r="B95" s="1" t="s">
        <v>237</v>
      </c>
      <c r="C95" s="1" t="s">
        <v>238</v>
      </c>
      <c r="E95" s="1" t="s">
        <v>52</v>
      </c>
      <c r="G95" s="1">
        <v>1</v>
      </c>
      <c r="H95" s="7">
        <v>45560</v>
      </c>
      <c r="I95" s="1" t="s">
        <v>7455</v>
      </c>
      <c r="J95" s="7">
        <v>45560</v>
      </c>
      <c r="K95" s="1" t="s">
        <v>7455</v>
      </c>
    </row>
    <row r="96" spans="1:11" x14ac:dyDescent="0.3">
      <c r="A96" s="1">
        <v>95</v>
      </c>
      <c r="B96" s="1" t="s">
        <v>239</v>
      </c>
      <c r="C96" s="1" t="s">
        <v>240</v>
      </c>
      <c r="E96" s="1" t="s">
        <v>52</v>
      </c>
      <c r="G96" s="1">
        <v>1</v>
      </c>
      <c r="H96" s="7">
        <v>45560</v>
      </c>
      <c r="I96" s="1" t="s">
        <v>7455</v>
      </c>
      <c r="J96" s="7">
        <v>45560</v>
      </c>
      <c r="K96" s="1" t="s">
        <v>7455</v>
      </c>
    </row>
    <row r="97" spans="1:11" x14ac:dyDescent="0.3">
      <c r="A97" s="1">
        <v>96</v>
      </c>
      <c r="B97" s="1" t="s">
        <v>241</v>
      </c>
      <c r="C97" s="1" t="s">
        <v>242</v>
      </c>
      <c r="E97" s="1" t="s">
        <v>52</v>
      </c>
      <c r="G97" s="1">
        <v>1</v>
      </c>
      <c r="H97" s="7">
        <v>45560</v>
      </c>
      <c r="I97" s="1" t="s">
        <v>7455</v>
      </c>
      <c r="J97" s="7">
        <v>45560</v>
      </c>
      <c r="K97" s="1" t="s">
        <v>7455</v>
      </c>
    </row>
    <row r="98" spans="1:11" x14ac:dyDescent="0.3">
      <c r="A98" s="1">
        <v>97</v>
      </c>
      <c r="B98" s="1">
        <v>40</v>
      </c>
      <c r="C98" s="1" t="s">
        <v>243</v>
      </c>
      <c r="F98" s="1" t="s">
        <v>244</v>
      </c>
      <c r="G98" s="1">
        <v>1</v>
      </c>
      <c r="H98" s="7">
        <v>45560</v>
      </c>
      <c r="I98" s="1" t="s">
        <v>7455</v>
      </c>
      <c r="J98" s="7">
        <v>45560</v>
      </c>
      <c r="K98" s="1" t="s">
        <v>7455</v>
      </c>
    </row>
    <row r="99" spans="1:11" x14ac:dyDescent="0.3">
      <c r="A99" s="1">
        <v>98</v>
      </c>
      <c r="B99" s="1">
        <v>41</v>
      </c>
      <c r="C99" s="1" t="s">
        <v>245</v>
      </c>
      <c r="F99" s="1" t="s">
        <v>246</v>
      </c>
      <c r="G99" s="1">
        <v>1</v>
      </c>
      <c r="H99" s="7">
        <v>45560</v>
      </c>
      <c r="I99" s="1" t="s">
        <v>7455</v>
      </c>
      <c r="J99" s="7">
        <v>45560</v>
      </c>
      <c r="K99" s="1" t="s">
        <v>7455</v>
      </c>
    </row>
    <row r="100" spans="1:11" x14ac:dyDescent="0.3">
      <c r="A100" s="1">
        <v>99</v>
      </c>
      <c r="B100" s="1" t="s">
        <v>247</v>
      </c>
      <c r="C100" s="1" t="s">
        <v>248</v>
      </c>
      <c r="E100" s="1" t="s">
        <v>52</v>
      </c>
      <c r="G100" s="1">
        <v>1</v>
      </c>
      <c r="H100" s="7">
        <v>45560</v>
      </c>
      <c r="I100" s="1" t="s">
        <v>7455</v>
      </c>
      <c r="J100" s="7">
        <v>45560</v>
      </c>
      <c r="K100" s="1" t="s">
        <v>7455</v>
      </c>
    </row>
    <row r="101" spans="1:11" x14ac:dyDescent="0.3">
      <c r="A101" s="1">
        <v>100</v>
      </c>
      <c r="B101" s="1" t="s">
        <v>249</v>
      </c>
      <c r="C101" s="1" t="s">
        <v>250</v>
      </c>
      <c r="F101" s="1" t="s">
        <v>251</v>
      </c>
      <c r="G101" s="1">
        <v>1</v>
      </c>
      <c r="H101" s="7">
        <v>45560</v>
      </c>
      <c r="I101" s="1" t="s">
        <v>7455</v>
      </c>
      <c r="J101" s="7">
        <v>45560</v>
      </c>
      <c r="K101" s="1" t="s">
        <v>7455</v>
      </c>
    </row>
    <row r="102" spans="1:11" x14ac:dyDescent="0.3">
      <c r="A102" s="1">
        <v>101</v>
      </c>
      <c r="B102" s="1" t="s">
        <v>252</v>
      </c>
      <c r="C102" s="1" t="s">
        <v>253</v>
      </c>
      <c r="E102" s="1" t="s">
        <v>52</v>
      </c>
      <c r="G102" s="1">
        <v>1</v>
      </c>
      <c r="H102" s="7">
        <v>45560</v>
      </c>
      <c r="I102" s="1" t="s">
        <v>7455</v>
      </c>
      <c r="J102" s="7">
        <v>45560</v>
      </c>
      <c r="K102" s="1" t="s">
        <v>7455</v>
      </c>
    </row>
    <row r="103" spans="1:11" x14ac:dyDescent="0.3">
      <c r="A103" s="1">
        <v>102</v>
      </c>
      <c r="B103" s="1" t="s">
        <v>254</v>
      </c>
      <c r="C103" s="1" t="s">
        <v>255</v>
      </c>
      <c r="F103" s="1" t="s">
        <v>256</v>
      </c>
      <c r="G103" s="1">
        <v>1</v>
      </c>
      <c r="H103" s="7">
        <v>45560</v>
      </c>
      <c r="I103" s="1" t="s">
        <v>7455</v>
      </c>
      <c r="J103" s="7">
        <v>45560</v>
      </c>
      <c r="K103" s="1" t="s">
        <v>7455</v>
      </c>
    </row>
    <row r="104" spans="1:11" x14ac:dyDescent="0.3">
      <c r="A104" s="1">
        <v>103</v>
      </c>
      <c r="B104" s="1" t="s">
        <v>257</v>
      </c>
      <c r="C104" s="1" t="s">
        <v>258</v>
      </c>
      <c r="D104" s="1" t="s">
        <v>259</v>
      </c>
      <c r="F104" s="1" t="s">
        <v>260</v>
      </c>
      <c r="G104" s="1">
        <v>1</v>
      </c>
      <c r="H104" s="7">
        <v>45560</v>
      </c>
      <c r="I104" s="1" t="s">
        <v>7455</v>
      </c>
      <c r="J104" s="7">
        <v>45560</v>
      </c>
      <c r="K104" s="1" t="s">
        <v>7455</v>
      </c>
    </row>
    <row r="105" spans="1:11" x14ac:dyDescent="0.3">
      <c r="A105" s="1">
        <v>104</v>
      </c>
      <c r="B105" s="1" t="s">
        <v>261</v>
      </c>
      <c r="C105" s="1" t="s">
        <v>262</v>
      </c>
      <c r="F105" s="1" t="s">
        <v>263</v>
      </c>
      <c r="G105" s="1">
        <v>1</v>
      </c>
      <c r="H105" s="7">
        <v>45560</v>
      </c>
      <c r="I105" s="1" t="s">
        <v>7455</v>
      </c>
      <c r="J105" s="7">
        <v>45560</v>
      </c>
      <c r="K105" s="1" t="s">
        <v>7455</v>
      </c>
    </row>
    <row r="106" spans="1:11" x14ac:dyDescent="0.3">
      <c r="A106" s="1">
        <v>105</v>
      </c>
      <c r="B106" s="1" t="s">
        <v>264</v>
      </c>
      <c r="C106" s="1" t="s">
        <v>265</v>
      </c>
      <c r="D106" s="1" t="s">
        <v>266</v>
      </c>
      <c r="F106" s="1" t="s">
        <v>267</v>
      </c>
      <c r="G106" s="1">
        <v>1</v>
      </c>
      <c r="H106" s="7">
        <v>45560</v>
      </c>
      <c r="I106" s="1" t="s">
        <v>7455</v>
      </c>
      <c r="J106" s="7">
        <v>45560</v>
      </c>
      <c r="K106" s="1" t="s">
        <v>7455</v>
      </c>
    </row>
    <row r="107" spans="1:11" x14ac:dyDescent="0.3">
      <c r="A107" s="1">
        <v>106</v>
      </c>
      <c r="B107" s="1" t="s">
        <v>268</v>
      </c>
      <c r="C107" s="1" t="s">
        <v>269</v>
      </c>
      <c r="F107" s="1" t="s">
        <v>270</v>
      </c>
      <c r="G107" s="1">
        <v>1</v>
      </c>
      <c r="H107" s="7">
        <v>45560</v>
      </c>
      <c r="I107" s="1" t="s">
        <v>7455</v>
      </c>
      <c r="J107" s="7">
        <v>45560</v>
      </c>
      <c r="K107" s="1" t="s">
        <v>7455</v>
      </c>
    </row>
    <row r="108" spans="1:11" x14ac:dyDescent="0.3">
      <c r="A108" s="1">
        <v>107</v>
      </c>
      <c r="B108" s="1" t="s">
        <v>271</v>
      </c>
      <c r="C108" s="1" t="s">
        <v>272</v>
      </c>
      <c r="F108" s="1" t="s">
        <v>273</v>
      </c>
      <c r="G108" s="1">
        <v>1</v>
      </c>
      <c r="H108" s="7">
        <v>45560</v>
      </c>
      <c r="I108" s="1" t="s">
        <v>7455</v>
      </c>
      <c r="J108" s="7">
        <v>45560</v>
      </c>
      <c r="K108" s="1" t="s">
        <v>7455</v>
      </c>
    </row>
    <row r="109" spans="1:11" x14ac:dyDescent="0.3">
      <c r="A109" s="1">
        <v>108</v>
      </c>
      <c r="B109" s="1" t="s">
        <v>274</v>
      </c>
      <c r="C109" s="1" t="s">
        <v>275</v>
      </c>
      <c r="F109" s="1" t="s">
        <v>276</v>
      </c>
      <c r="G109" s="1">
        <v>1</v>
      </c>
      <c r="H109" s="7">
        <v>45560</v>
      </c>
      <c r="I109" s="1" t="s">
        <v>7455</v>
      </c>
      <c r="J109" s="7">
        <v>45560</v>
      </c>
      <c r="K109" s="1" t="s">
        <v>7455</v>
      </c>
    </row>
    <row r="110" spans="1:11" x14ac:dyDescent="0.3">
      <c r="A110" s="1">
        <v>109</v>
      </c>
      <c r="B110" s="1" t="s">
        <v>277</v>
      </c>
      <c r="C110" s="1" t="s">
        <v>278</v>
      </c>
      <c r="F110" s="1" t="s">
        <v>279</v>
      </c>
      <c r="G110" s="1">
        <v>1</v>
      </c>
      <c r="H110" s="7">
        <v>45560</v>
      </c>
      <c r="I110" s="1" t="s">
        <v>7455</v>
      </c>
      <c r="J110" s="7">
        <v>45560</v>
      </c>
      <c r="K110" s="1" t="s">
        <v>7455</v>
      </c>
    </row>
    <row r="111" spans="1:11" x14ac:dyDescent="0.3">
      <c r="A111" s="1">
        <v>110</v>
      </c>
      <c r="B111" s="1" t="s">
        <v>280</v>
      </c>
      <c r="C111" s="1" t="s">
        <v>281</v>
      </c>
      <c r="F111" s="1" t="s">
        <v>282</v>
      </c>
      <c r="G111" s="1">
        <v>1</v>
      </c>
      <c r="H111" s="7">
        <v>45560</v>
      </c>
      <c r="I111" s="1" t="s">
        <v>7455</v>
      </c>
      <c r="J111" s="7">
        <v>45560</v>
      </c>
      <c r="K111" s="1" t="s">
        <v>7455</v>
      </c>
    </row>
    <row r="112" spans="1:11" x14ac:dyDescent="0.3">
      <c r="A112" s="1">
        <v>111</v>
      </c>
      <c r="B112" s="1" t="s">
        <v>283</v>
      </c>
      <c r="C112" s="1" t="s">
        <v>284</v>
      </c>
      <c r="F112" s="1" t="s">
        <v>285</v>
      </c>
      <c r="G112" s="1">
        <v>1</v>
      </c>
      <c r="H112" s="7">
        <v>45560</v>
      </c>
      <c r="I112" s="1" t="s">
        <v>7455</v>
      </c>
      <c r="J112" s="7">
        <v>45560</v>
      </c>
      <c r="K112" s="1" t="s">
        <v>7455</v>
      </c>
    </row>
    <row r="113" spans="1:11" x14ac:dyDescent="0.3">
      <c r="A113" s="1">
        <v>112</v>
      </c>
      <c r="B113" s="1" t="s">
        <v>286</v>
      </c>
      <c r="C113" s="1" t="s">
        <v>287</v>
      </c>
      <c r="F113" s="1" t="s">
        <v>288</v>
      </c>
      <c r="G113" s="1">
        <v>1</v>
      </c>
      <c r="H113" s="7">
        <v>45560</v>
      </c>
      <c r="I113" s="1" t="s">
        <v>7455</v>
      </c>
      <c r="J113" s="7">
        <v>45560</v>
      </c>
      <c r="K113" s="1" t="s">
        <v>7455</v>
      </c>
    </row>
    <row r="114" spans="1:11" x14ac:dyDescent="0.3">
      <c r="A114" s="1">
        <v>113</v>
      </c>
      <c r="B114" s="1" t="s">
        <v>289</v>
      </c>
      <c r="C114" s="1" t="s">
        <v>290</v>
      </c>
      <c r="F114" s="1" t="s">
        <v>291</v>
      </c>
      <c r="G114" s="1">
        <v>1</v>
      </c>
      <c r="H114" s="7">
        <v>45560</v>
      </c>
      <c r="I114" s="1" t="s">
        <v>7455</v>
      </c>
      <c r="J114" s="7">
        <v>45560</v>
      </c>
      <c r="K114" s="1" t="s">
        <v>7455</v>
      </c>
    </row>
    <row r="115" spans="1:11" x14ac:dyDescent="0.3">
      <c r="A115" s="1">
        <v>114</v>
      </c>
      <c r="B115" s="1" t="s">
        <v>292</v>
      </c>
      <c r="C115" s="1" t="s">
        <v>293</v>
      </c>
      <c r="F115" s="1" t="s">
        <v>294</v>
      </c>
      <c r="G115" s="1">
        <v>1</v>
      </c>
      <c r="H115" s="7">
        <v>45560</v>
      </c>
      <c r="I115" s="1" t="s">
        <v>7455</v>
      </c>
      <c r="J115" s="7">
        <v>45560</v>
      </c>
      <c r="K115" s="1" t="s">
        <v>7455</v>
      </c>
    </row>
    <row r="116" spans="1:11" x14ac:dyDescent="0.3">
      <c r="A116" s="1">
        <v>115</v>
      </c>
      <c r="B116" s="1" t="s">
        <v>295</v>
      </c>
      <c r="C116" s="1" t="s">
        <v>296</v>
      </c>
      <c r="F116" s="1" t="s">
        <v>297</v>
      </c>
      <c r="G116" s="1">
        <v>1</v>
      </c>
      <c r="H116" s="7">
        <v>45560</v>
      </c>
      <c r="I116" s="1" t="s">
        <v>7455</v>
      </c>
      <c r="J116" s="7">
        <v>45560</v>
      </c>
      <c r="K116" s="1" t="s">
        <v>7455</v>
      </c>
    </row>
    <row r="117" spans="1:11" x14ac:dyDescent="0.3">
      <c r="A117" s="1">
        <v>116</v>
      </c>
      <c r="B117" s="1">
        <v>56</v>
      </c>
      <c r="C117" s="1" t="s">
        <v>298</v>
      </c>
      <c r="D117" s="1" t="s">
        <v>299</v>
      </c>
      <c r="G117" s="1">
        <v>1</v>
      </c>
      <c r="H117" s="7">
        <v>45560</v>
      </c>
      <c r="I117" s="1" t="s">
        <v>7455</v>
      </c>
      <c r="J117" s="7">
        <v>45560</v>
      </c>
      <c r="K117" s="1" t="s">
        <v>7455</v>
      </c>
    </row>
    <row r="118" spans="1:11" x14ac:dyDescent="0.3">
      <c r="A118" s="1">
        <v>117</v>
      </c>
      <c r="B118" s="1">
        <v>57</v>
      </c>
      <c r="C118" s="1" t="s">
        <v>300</v>
      </c>
      <c r="D118" s="1" t="s">
        <v>301</v>
      </c>
      <c r="G118" s="1">
        <v>1</v>
      </c>
      <c r="H118" s="7">
        <v>45560</v>
      </c>
      <c r="I118" s="1" t="s">
        <v>7455</v>
      </c>
      <c r="J118" s="7">
        <v>45560</v>
      </c>
      <c r="K118" s="1" t="s">
        <v>7455</v>
      </c>
    </row>
    <row r="119" spans="1:11" x14ac:dyDescent="0.3">
      <c r="A119" s="1">
        <v>118</v>
      </c>
      <c r="B119" s="1">
        <v>58</v>
      </c>
      <c r="C119" s="1" t="s">
        <v>302</v>
      </c>
      <c r="D119" s="1" t="s">
        <v>303</v>
      </c>
      <c r="G119" s="1">
        <v>1</v>
      </c>
      <c r="H119" s="7">
        <v>45560</v>
      </c>
      <c r="I119" s="1" t="s">
        <v>7455</v>
      </c>
      <c r="J119" s="7">
        <v>45560</v>
      </c>
      <c r="K119" s="1" t="s">
        <v>7455</v>
      </c>
    </row>
    <row r="120" spans="1:11" x14ac:dyDescent="0.3">
      <c r="A120" s="1">
        <v>119</v>
      </c>
      <c r="B120" s="1">
        <v>59</v>
      </c>
      <c r="C120" s="1" t="s">
        <v>304</v>
      </c>
      <c r="D120" s="1" t="s">
        <v>305</v>
      </c>
      <c r="F120" s="1" t="s">
        <v>306</v>
      </c>
      <c r="G120" s="1">
        <v>1</v>
      </c>
      <c r="H120" s="7">
        <v>45560</v>
      </c>
      <c r="I120" s="1" t="s">
        <v>7455</v>
      </c>
      <c r="J120" s="7">
        <v>45560</v>
      </c>
      <c r="K120" s="1" t="s">
        <v>7455</v>
      </c>
    </row>
    <row r="121" spans="1:11" x14ac:dyDescent="0.3">
      <c r="A121" s="1">
        <v>120</v>
      </c>
      <c r="B121" s="1" t="s">
        <v>307</v>
      </c>
      <c r="C121" s="1" t="s">
        <v>308</v>
      </c>
      <c r="F121" s="1" t="s">
        <v>309</v>
      </c>
      <c r="G121" s="1">
        <v>1</v>
      </c>
      <c r="H121" s="7">
        <v>45560</v>
      </c>
      <c r="I121" s="1" t="s">
        <v>7455</v>
      </c>
      <c r="J121" s="7">
        <v>45560</v>
      </c>
      <c r="K121" s="1" t="s">
        <v>7455</v>
      </c>
    </row>
    <row r="122" spans="1:11" x14ac:dyDescent="0.3">
      <c r="A122" s="1">
        <v>121</v>
      </c>
      <c r="B122" s="1" t="s">
        <v>310</v>
      </c>
      <c r="C122" s="1" t="s">
        <v>311</v>
      </c>
      <c r="D122" s="1" t="s">
        <v>312</v>
      </c>
      <c r="G122" s="1">
        <v>1</v>
      </c>
      <c r="H122" s="7">
        <v>45560</v>
      </c>
      <c r="I122" s="1" t="s">
        <v>7455</v>
      </c>
      <c r="J122" s="7">
        <v>45560</v>
      </c>
      <c r="K122" s="1" t="s">
        <v>7455</v>
      </c>
    </row>
    <row r="123" spans="1:11" x14ac:dyDescent="0.3">
      <c r="A123" s="1">
        <v>122</v>
      </c>
      <c r="B123" s="1" t="s">
        <v>313</v>
      </c>
      <c r="C123" s="1" t="s">
        <v>314</v>
      </c>
      <c r="E123" s="1" t="s">
        <v>52</v>
      </c>
      <c r="G123" s="1">
        <v>1</v>
      </c>
      <c r="H123" s="7">
        <v>45560</v>
      </c>
      <c r="I123" s="1" t="s">
        <v>7455</v>
      </c>
      <c r="J123" s="7">
        <v>45560</v>
      </c>
      <c r="K123" s="1" t="s">
        <v>7455</v>
      </c>
    </row>
    <row r="124" spans="1:11" x14ac:dyDescent="0.3">
      <c r="A124" s="1">
        <v>123</v>
      </c>
      <c r="B124" s="1" t="s">
        <v>315</v>
      </c>
      <c r="C124" s="1" t="s">
        <v>316</v>
      </c>
      <c r="D124" s="1" t="s">
        <v>317</v>
      </c>
      <c r="G124" s="1">
        <v>1</v>
      </c>
      <c r="H124" s="7">
        <v>45560</v>
      </c>
      <c r="I124" s="1" t="s">
        <v>7455</v>
      </c>
      <c r="J124" s="7">
        <v>45560</v>
      </c>
      <c r="K124" s="1" t="s">
        <v>7455</v>
      </c>
    </row>
    <row r="125" spans="1:11" x14ac:dyDescent="0.3">
      <c r="A125" s="1">
        <v>124</v>
      </c>
      <c r="B125" s="1" t="s">
        <v>318</v>
      </c>
      <c r="C125" s="1" t="s">
        <v>319</v>
      </c>
      <c r="E125" s="1" t="s">
        <v>52</v>
      </c>
      <c r="G125" s="1">
        <v>1</v>
      </c>
      <c r="H125" s="7">
        <v>45560</v>
      </c>
      <c r="I125" s="1" t="s">
        <v>7455</v>
      </c>
      <c r="J125" s="7">
        <v>45560</v>
      </c>
      <c r="K125" s="1" t="s">
        <v>7455</v>
      </c>
    </row>
    <row r="126" spans="1:11" x14ac:dyDescent="0.3">
      <c r="A126" s="1">
        <v>125</v>
      </c>
      <c r="B126" s="1" t="s">
        <v>320</v>
      </c>
      <c r="C126" s="1" t="s">
        <v>321</v>
      </c>
      <c r="E126" s="1" t="s">
        <v>52</v>
      </c>
      <c r="G126" s="1">
        <v>1</v>
      </c>
      <c r="H126" s="7">
        <v>45560</v>
      </c>
      <c r="I126" s="1" t="s">
        <v>7455</v>
      </c>
      <c r="J126" s="7">
        <v>45560</v>
      </c>
      <c r="K126" s="1" t="s">
        <v>7455</v>
      </c>
    </row>
    <row r="127" spans="1:11" x14ac:dyDescent="0.3">
      <c r="A127" s="1">
        <v>126</v>
      </c>
      <c r="B127" s="1" t="s">
        <v>322</v>
      </c>
      <c r="C127" s="1" t="s">
        <v>323</v>
      </c>
      <c r="E127" s="1" t="s">
        <v>52</v>
      </c>
      <c r="G127" s="1">
        <v>1</v>
      </c>
      <c r="H127" s="7">
        <v>45560</v>
      </c>
      <c r="I127" s="1" t="s">
        <v>7455</v>
      </c>
      <c r="J127" s="7">
        <v>45560</v>
      </c>
      <c r="K127" s="1" t="s">
        <v>7455</v>
      </c>
    </row>
    <row r="128" spans="1:11" x14ac:dyDescent="0.3">
      <c r="A128" s="1">
        <v>127</v>
      </c>
      <c r="B128" s="1" t="s">
        <v>324</v>
      </c>
      <c r="C128" s="1" t="s">
        <v>325</v>
      </c>
      <c r="D128" s="1" t="s">
        <v>326</v>
      </c>
      <c r="E128" s="1" t="s">
        <v>52</v>
      </c>
      <c r="F128" s="1" t="s">
        <v>327</v>
      </c>
      <c r="G128" s="1">
        <v>1</v>
      </c>
      <c r="H128" s="7">
        <v>45560</v>
      </c>
      <c r="I128" s="1" t="s">
        <v>7455</v>
      </c>
      <c r="J128" s="7">
        <v>45560</v>
      </c>
      <c r="K128" s="1" t="s">
        <v>7455</v>
      </c>
    </row>
    <row r="129" spans="1:11" x14ac:dyDescent="0.3">
      <c r="A129" s="1">
        <v>128</v>
      </c>
      <c r="B129" s="1" t="s">
        <v>328</v>
      </c>
      <c r="C129" s="1" t="s">
        <v>329</v>
      </c>
      <c r="D129" s="1" t="s">
        <v>330</v>
      </c>
      <c r="G129" s="1">
        <v>1</v>
      </c>
      <c r="H129" s="7">
        <v>45560</v>
      </c>
      <c r="I129" s="1" t="s">
        <v>7455</v>
      </c>
      <c r="J129" s="7">
        <v>45560</v>
      </c>
      <c r="K129" s="1" t="s">
        <v>7455</v>
      </c>
    </row>
    <row r="130" spans="1:11" x14ac:dyDescent="0.3">
      <c r="A130" s="1">
        <v>129</v>
      </c>
      <c r="B130" s="1" t="s">
        <v>331</v>
      </c>
      <c r="C130" s="1" t="s">
        <v>332</v>
      </c>
      <c r="E130" s="1" t="s">
        <v>52</v>
      </c>
      <c r="G130" s="1">
        <v>1</v>
      </c>
      <c r="H130" s="7">
        <v>45560</v>
      </c>
      <c r="I130" s="1" t="s">
        <v>7455</v>
      </c>
      <c r="J130" s="7">
        <v>45560</v>
      </c>
      <c r="K130" s="1" t="s">
        <v>7455</v>
      </c>
    </row>
    <row r="131" spans="1:11" x14ac:dyDescent="0.3">
      <c r="A131" s="1">
        <v>130</v>
      </c>
      <c r="B131" s="1" t="s">
        <v>333</v>
      </c>
      <c r="C131" s="1" t="s">
        <v>334</v>
      </c>
      <c r="E131" s="1" t="s">
        <v>52</v>
      </c>
      <c r="G131" s="1">
        <v>1</v>
      </c>
      <c r="H131" s="7">
        <v>45560</v>
      </c>
      <c r="I131" s="1" t="s">
        <v>7455</v>
      </c>
      <c r="J131" s="7">
        <v>45560</v>
      </c>
      <c r="K131" s="1" t="s">
        <v>7455</v>
      </c>
    </row>
    <row r="132" spans="1:11" x14ac:dyDescent="0.3">
      <c r="A132" s="1">
        <v>131</v>
      </c>
      <c r="B132" s="1" t="s">
        <v>335</v>
      </c>
      <c r="C132" s="1" t="s">
        <v>336</v>
      </c>
      <c r="E132" s="1" t="s">
        <v>52</v>
      </c>
      <c r="G132" s="1">
        <v>1</v>
      </c>
      <c r="H132" s="7">
        <v>45560</v>
      </c>
      <c r="I132" s="1" t="s">
        <v>7455</v>
      </c>
      <c r="J132" s="7">
        <v>45560</v>
      </c>
      <c r="K132" s="1" t="s">
        <v>7455</v>
      </c>
    </row>
    <row r="133" spans="1:11" x14ac:dyDescent="0.3">
      <c r="A133" s="1">
        <v>132</v>
      </c>
      <c r="B133" s="1">
        <v>60</v>
      </c>
      <c r="C133" s="1" t="s">
        <v>337</v>
      </c>
      <c r="D133" s="1" t="s">
        <v>338</v>
      </c>
      <c r="G133" s="1">
        <v>1</v>
      </c>
      <c r="H133" s="7">
        <v>45560</v>
      </c>
      <c r="I133" s="1" t="s">
        <v>7455</v>
      </c>
      <c r="J133" s="7">
        <v>45560</v>
      </c>
      <c r="K133" s="1" t="s">
        <v>7455</v>
      </c>
    </row>
    <row r="134" spans="1:11" x14ac:dyDescent="0.3">
      <c r="A134" s="1">
        <v>133</v>
      </c>
      <c r="B134" s="1">
        <v>61</v>
      </c>
      <c r="C134" s="1" t="s">
        <v>339</v>
      </c>
      <c r="D134" s="1" t="s">
        <v>340</v>
      </c>
      <c r="F134" s="1" t="s">
        <v>341</v>
      </c>
      <c r="G134" s="1">
        <v>1</v>
      </c>
      <c r="H134" s="7">
        <v>45560</v>
      </c>
      <c r="I134" s="1" t="s">
        <v>7455</v>
      </c>
      <c r="J134" s="7">
        <v>45560</v>
      </c>
      <c r="K134" s="1" t="s">
        <v>7455</v>
      </c>
    </row>
    <row r="135" spans="1:11" x14ac:dyDescent="0.3">
      <c r="A135" s="1">
        <v>134</v>
      </c>
      <c r="B135" s="1">
        <v>74</v>
      </c>
      <c r="C135" s="1" t="s">
        <v>342</v>
      </c>
      <c r="F135" s="1" t="s">
        <v>343</v>
      </c>
      <c r="G135" s="1">
        <v>1</v>
      </c>
      <c r="H135" s="7">
        <v>45560</v>
      </c>
      <c r="I135" s="1" t="s">
        <v>7455</v>
      </c>
      <c r="J135" s="7">
        <v>45560</v>
      </c>
      <c r="K135" s="1" t="s">
        <v>7455</v>
      </c>
    </row>
    <row r="136" spans="1:11" x14ac:dyDescent="0.3">
      <c r="A136" s="1">
        <v>135</v>
      </c>
      <c r="B136" s="1">
        <v>77</v>
      </c>
      <c r="C136" s="1" t="s">
        <v>344</v>
      </c>
      <c r="F136" s="1" t="s">
        <v>345</v>
      </c>
      <c r="G136" s="1">
        <v>1</v>
      </c>
      <c r="H136" s="7">
        <v>45560</v>
      </c>
      <c r="I136" s="1" t="s">
        <v>7455</v>
      </c>
      <c r="J136" s="7">
        <v>45560</v>
      </c>
      <c r="K136" s="1" t="s">
        <v>7455</v>
      </c>
    </row>
    <row r="137" spans="1:11" x14ac:dyDescent="0.3">
      <c r="A137" s="1">
        <v>136</v>
      </c>
      <c r="B137" s="1">
        <v>80</v>
      </c>
      <c r="C137" s="1" t="s">
        <v>346</v>
      </c>
      <c r="F137" s="1" t="s">
        <v>347</v>
      </c>
      <c r="G137" s="1">
        <v>1</v>
      </c>
      <c r="H137" s="7">
        <v>45560</v>
      </c>
      <c r="I137" s="1" t="s">
        <v>7455</v>
      </c>
      <c r="J137" s="7">
        <v>45560</v>
      </c>
      <c r="K137" s="1" t="s">
        <v>7455</v>
      </c>
    </row>
    <row r="138" spans="1:11" x14ac:dyDescent="0.3">
      <c r="A138" s="1">
        <v>137</v>
      </c>
      <c r="B138" s="1">
        <v>81</v>
      </c>
      <c r="C138" s="1" t="s">
        <v>348</v>
      </c>
      <c r="D138" s="1" t="s">
        <v>349</v>
      </c>
      <c r="F138" s="1" t="s">
        <v>350</v>
      </c>
      <c r="G138" s="1">
        <v>1</v>
      </c>
      <c r="H138" s="7">
        <v>45560</v>
      </c>
      <c r="I138" s="1" t="s">
        <v>7455</v>
      </c>
      <c r="J138" s="7">
        <v>45560</v>
      </c>
      <c r="K138" s="1" t="s">
        <v>7455</v>
      </c>
    </row>
    <row r="139" spans="1:11" x14ac:dyDescent="0.3">
      <c r="A139" s="1">
        <v>138</v>
      </c>
      <c r="B139" s="1">
        <v>85</v>
      </c>
      <c r="C139" s="1" t="s">
        <v>351</v>
      </c>
      <c r="F139" s="1" t="s">
        <v>352</v>
      </c>
      <c r="G139" s="1">
        <v>1</v>
      </c>
      <c r="H139" s="7">
        <v>45560</v>
      </c>
      <c r="I139" s="1" t="s">
        <v>7455</v>
      </c>
      <c r="J139" s="7">
        <v>45560</v>
      </c>
      <c r="K139" s="1" t="s">
        <v>7455</v>
      </c>
    </row>
    <row r="140" spans="1:11" x14ac:dyDescent="0.3">
      <c r="A140" s="1">
        <v>139</v>
      </c>
      <c r="B140" s="1">
        <v>87</v>
      </c>
      <c r="C140" s="1" t="s">
        <v>353</v>
      </c>
      <c r="F140" s="1" t="s">
        <v>354</v>
      </c>
      <c r="G140" s="1">
        <v>1</v>
      </c>
      <c r="H140" s="7">
        <v>45560</v>
      </c>
      <c r="I140" s="1" t="s">
        <v>7455</v>
      </c>
      <c r="J140" s="7">
        <v>45560</v>
      </c>
      <c r="K140" s="1" t="s">
        <v>7455</v>
      </c>
    </row>
    <row r="141" spans="1:11" x14ac:dyDescent="0.3">
      <c r="A141" s="1">
        <v>140</v>
      </c>
      <c r="B141" s="1">
        <v>89</v>
      </c>
      <c r="C141" s="1" t="s">
        <v>355</v>
      </c>
      <c r="D141" s="1" t="s">
        <v>356</v>
      </c>
      <c r="F141" s="1" t="s">
        <v>357</v>
      </c>
      <c r="G141" s="1">
        <v>1</v>
      </c>
      <c r="H141" s="7">
        <v>45560</v>
      </c>
      <c r="I141" s="1" t="s">
        <v>7455</v>
      </c>
      <c r="J141" s="7">
        <v>45560</v>
      </c>
      <c r="K141" s="1" t="s">
        <v>7455</v>
      </c>
    </row>
    <row r="142" spans="1:11" x14ac:dyDescent="0.3">
      <c r="A142" s="1">
        <v>141</v>
      </c>
      <c r="B142" s="1">
        <v>91</v>
      </c>
      <c r="C142" s="1" t="s">
        <v>358</v>
      </c>
      <c r="D142" s="1" t="s">
        <v>359</v>
      </c>
      <c r="F142" s="1" t="s">
        <v>360</v>
      </c>
      <c r="G142" s="1">
        <v>1</v>
      </c>
      <c r="H142" s="7">
        <v>45560</v>
      </c>
      <c r="I142" s="1" t="s">
        <v>7455</v>
      </c>
      <c r="J142" s="7">
        <v>45560</v>
      </c>
      <c r="K142" s="1" t="s">
        <v>7455</v>
      </c>
    </row>
    <row r="143" spans="1:11" x14ac:dyDescent="0.3">
      <c r="A143" s="1">
        <v>142</v>
      </c>
      <c r="B143" s="1" t="s">
        <v>361</v>
      </c>
      <c r="C143" s="1" t="s">
        <v>362</v>
      </c>
      <c r="E143" s="1" t="s">
        <v>73</v>
      </c>
      <c r="F143" s="1" t="s">
        <v>363</v>
      </c>
      <c r="G143" s="1">
        <v>1</v>
      </c>
      <c r="H143" s="7">
        <v>45560</v>
      </c>
      <c r="I143" s="1" t="s">
        <v>7455</v>
      </c>
      <c r="J143" s="7">
        <v>45560</v>
      </c>
      <c r="K143" s="1" t="s">
        <v>7455</v>
      </c>
    </row>
    <row r="144" spans="1:11" x14ac:dyDescent="0.3">
      <c r="A144" s="1">
        <v>143</v>
      </c>
      <c r="B144" s="1" t="s">
        <v>364</v>
      </c>
      <c r="C144" s="1" t="s">
        <v>365</v>
      </c>
      <c r="F144" s="1" t="s">
        <v>366</v>
      </c>
      <c r="G144" s="1">
        <v>1</v>
      </c>
      <c r="H144" s="7">
        <v>45560</v>
      </c>
      <c r="I144" s="1" t="s">
        <v>7455</v>
      </c>
      <c r="J144" s="7">
        <v>45560</v>
      </c>
      <c r="K144" s="1" t="s">
        <v>7455</v>
      </c>
    </row>
    <row r="145" spans="1:11" x14ac:dyDescent="0.3">
      <c r="A145" s="1">
        <v>144</v>
      </c>
      <c r="B145" s="1" t="s">
        <v>367</v>
      </c>
      <c r="C145" s="1" t="s">
        <v>368</v>
      </c>
      <c r="D145" s="1" t="s">
        <v>369</v>
      </c>
      <c r="F145" s="1" t="s">
        <v>370</v>
      </c>
      <c r="G145" s="1">
        <v>1</v>
      </c>
      <c r="H145" s="7">
        <v>45560</v>
      </c>
      <c r="I145" s="1" t="s">
        <v>7455</v>
      </c>
      <c r="J145" s="7">
        <v>45560</v>
      </c>
      <c r="K145" s="1" t="s">
        <v>7455</v>
      </c>
    </row>
    <row r="146" spans="1:11" x14ac:dyDescent="0.3">
      <c r="A146" s="1">
        <v>145</v>
      </c>
      <c r="B146" s="1" t="s">
        <v>371</v>
      </c>
      <c r="C146" s="1" t="s">
        <v>372</v>
      </c>
      <c r="D146" s="1" t="s">
        <v>373</v>
      </c>
      <c r="F146" s="1" t="s">
        <v>374</v>
      </c>
      <c r="G146" s="1">
        <v>1</v>
      </c>
      <c r="H146" s="7">
        <v>45560</v>
      </c>
      <c r="I146" s="1" t="s">
        <v>7455</v>
      </c>
      <c r="J146" s="7">
        <v>45560</v>
      </c>
      <c r="K146" s="1" t="s">
        <v>7455</v>
      </c>
    </row>
    <row r="147" spans="1:11" x14ac:dyDescent="0.3">
      <c r="A147" s="1">
        <v>146</v>
      </c>
      <c r="B147" s="1" t="s">
        <v>375</v>
      </c>
      <c r="C147" s="1" t="s">
        <v>376</v>
      </c>
      <c r="D147" s="1" t="s">
        <v>377</v>
      </c>
      <c r="F147" s="1" t="s">
        <v>378</v>
      </c>
      <c r="G147" s="1">
        <v>1</v>
      </c>
      <c r="H147" s="7">
        <v>45560</v>
      </c>
      <c r="I147" s="1" t="s">
        <v>7455</v>
      </c>
      <c r="J147" s="7">
        <v>45560</v>
      </c>
      <c r="K147" s="1" t="s">
        <v>7455</v>
      </c>
    </row>
    <row r="148" spans="1:11" x14ac:dyDescent="0.3">
      <c r="A148" s="1">
        <v>147</v>
      </c>
      <c r="B148" s="1" t="s">
        <v>379</v>
      </c>
      <c r="C148" s="1" t="s">
        <v>380</v>
      </c>
      <c r="D148" s="1" t="s">
        <v>381</v>
      </c>
      <c r="F148" s="1" t="s">
        <v>382</v>
      </c>
      <c r="G148" s="1">
        <v>1</v>
      </c>
      <c r="H148" s="7">
        <v>45560</v>
      </c>
      <c r="I148" s="1" t="s">
        <v>7455</v>
      </c>
      <c r="J148" s="7">
        <v>45560</v>
      </c>
      <c r="K148" s="1" t="s">
        <v>7455</v>
      </c>
    </row>
    <row r="149" spans="1:11" x14ac:dyDescent="0.3">
      <c r="A149" s="1">
        <v>148</v>
      </c>
      <c r="B149" s="1" t="s">
        <v>383</v>
      </c>
      <c r="C149" s="1" t="s">
        <v>384</v>
      </c>
      <c r="F149" s="1" t="s">
        <v>385</v>
      </c>
      <c r="G149" s="1">
        <v>1</v>
      </c>
      <c r="H149" s="7">
        <v>45560</v>
      </c>
      <c r="I149" s="1" t="s">
        <v>7455</v>
      </c>
      <c r="J149" s="7">
        <v>45560</v>
      </c>
      <c r="K149" s="1" t="s">
        <v>7455</v>
      </c>
    </row>
    <row r="150" spans="1:11" x14ac:dyDescent="0.3">
      <c r="A150" s="1">
        <v>149</v>
      </c>
      <c r="B150" s="1" t="s">
        <v>386</v>
      </c>
      <c r="C150" s="1" t="s">
        <v>387</v>
      </c>
      <c r="F150" s="1" t="s">
        <v>388</v>
      </c>
      <c r="G150" s="1">
        <v>1</v>
      </c>
      <c r="H150" s="7">
        <v>45560</v>
      </c>
      <c r="I150" s="1" t="s">
        <v>7455</v>
      </c>
      <c r="J150" s="7">
        <v>45560</v>
      </c>
      <c r="K150" s="1" t="s">
        <v>7455</v>
      </c>
    </row>
    <row r="151" spans="1:11" x14ac:dyDescent="0.3">
      <c r="A151" s="1">
        <v>150</v>
      </c>
      <c r="B151" s="1" t="s">
        <v>389</v>
      </c>
      <c r="C151" s="1" t="s">
        <v>390</v>
      </c>
      <c r="F151" s="1" t="s">
        <v>391</v>
      </c>
      <c r="G151" s="1">
        <v>1</v>
      </c>
      <c r="H151" s="7">
        <v>45560</v>
      </c>
      <c r="I151" s="1" t="s">
        <v>7455</v>
      </c>
      <c r="J151" s="7">
        <v>45560</v>
      </c>
      <c r="K151" s="1" t="s">
        <v>7455</v>
      </c>
    </row>
    <row r="152" spans="1:11" x14ac:dyDescent="0.3">
      <c r="A152" s="1">
        <v>151</v>
      </c>
      <c r="B152" s="1" t="s">
        <v>392</v>
      </c>
      <c r="C152" s="1" t="s">
        <v>393</v>
      </c>
      <c r="F152" s="1" t="s">
        <v>394</v>
      </c>
      <c r="G152" s="1">
        <v>1</v>
      </c>
      <c r="H152" s="7">
        <v>45560</v>
      </c>
      <c r="I152" s="1" t="s">
        <v>7455</v>
      </c>
      <c r="J152" s="7">
        <v>45560</v>
      </c>
      <c r="K152" s="1" t="s">
        <v>7455</v>
      </c>
    </row>
    <row r="153" spans="1:11" x14ac:dyDescent="0.3">
      <c r="A153" s="1">
        <v>152</v>
      </c>
      <c r="B153" s="1" t="s">
        <v>395</v>
      </c>
      <c r="C153" s="1" t="s">
        <v>396</v>
      </c>
      <c r="F153" s="1" t="s">
        <v>397</v>
      </c>
      <c r="G153" s="1">
        <v>1</v>
      </c>
      <c r="H153" s="7">
        <v>45560</v>
      </c>
      <c r="I153" s="1" t="s">
        <v>7455</v>
      </c>
      <c r="J153" s="7">
        <v>45560</v>
      </c>
      <c r="K153" s="1" t="s">
        <v>7455</v>
      </c>
    </row>
    <row r="154" spans="1:11" x14ac:dyDescent="0.3">
      <c r="A154" s="1">
        <v>153</v>
      </c>
      <c r="B154" s="1" t="s">
        <v>398</v>
      </c>
      <c r="C154" s="1" t="s">
        <v>399</v>
      </c>
      <c r="F154" s="1" t="s">
        <v>400</v>
      </c>
      <c r="G154" s="1">
        <v>1</v>
      </c>
      <c r="H154" s="7">
        <v>45560</v>
      </c>
      <c r="I154" s="1" t="s">
        <v>7455</v>
      </c>
      <c r="J154" s="7">
        <v>45560</v>
      </c>
      <c r="K154" s="1" t="s">
        <v>7455</v>
      </c>
    </row>
    <row r="155" spans="1:11" x14ac:dyDescent="0.3">
      <c r="A155" s="1">
        <v>154</v>
      </c>
      <c r="B155" s="1" t="s">
        <v>401</v>
      </c>
      <c r="C155" s="1" t="s">
        <v>402</v>
      </c>
      <c r="F155" s="1" t="s">
        <v>403</v>
      </c>
      <c r="G155" s="1">
        <v>1</v>
      </c>
      <c r="H155" s="7">
        <v>45560</v>
      </c>
      <c r="I155" s="1" t="s">
        <v>7455</v>
      </c>
      <c r="J155" s="7">
        <v>45560</v>
      </c>
      <c r="K155" s="1" t="s">
        <v>7455</v>
      </c>
    </row>
    <row r="156" spans="1:11" x14ac:dyDescent="0.3">
      <c r="A156" s="1">
        <v>155</v>
      </c>
      <c r="B156" s="1" t="s">
        <v>404</v>
      </c>
      <c r="C156" s="1" t="s">
        <v>405</v>
      </c>
      <c r="F156" s="1" t="s">
        <v>406</v>
      </c>
      <c r="G156" s="1">
        <v>1</v>
      </c>
      <c r="H156" s="7">
        <v>45560</v>
      </c>
      <c r="I156" s="1" t="s">
        <v>7455</v>
      </c>
      <c r="J156" s="7">
        <v>45560</v>
      </c>
      <c r="K156" s="1" t="s">
        <v>7455</v>
      </c>
    </row>
    <row r="157" spans="1:11" x14ac:dyDescent="0.3">
      <c r="A157" s="1">
        <v>156</v>
      </c>
      <c r="B157" s="1" t="s">
        <v>407</v>
      </c>
      <c r="C157" s="1" t="s">
        <v>408</v>
      </c>
      <c r="F157" s="1" t="s">
        <v>409</v>
      </c>
      <c r="G157" s="1">
        <v>1</v>
      </c>
      <c r="H157" s="7">
        <v>45560</v>
      </c>
      <c r="I157" s="1" t="s">
        <v>7455</v>
      </c>
      <c r="J157" s="7">
        <v>45560</v>
      </c>
      <c r="K157" s="1" t="s">
        <v>7455</v>
      </c>
    </row>
    <row r="158" spans="1:11" x14ac:dyDescent="0.3">
      <c r="A158" s="1">
        <v>157</v>
      </c>
      <c r="B158" s="1" t="s">
        <v>410</v>
      </c>
      <c r="C158" s="1" t="s">
        <v>411</v>
      </c>
      <c r="F158" s="1" t="s">
        <v>412</v>
      </c>
      <c r="G158" s="1">
        <v>1</v>
      </c>
      <c r="H158" s="7">
        <v>45560</v>
      </c>
      <c r="I158" s="1" t="s">
        <v>7455</v>
      </c>
      <c r="J158" s="7">
        <v>45560</v>
      </c>
      <c r="K158" s="1" t="s">
        <v>7455</v>
      </c>
    </row>
    <row r="159" spans="1:11" x14ac:dyDescent="0.3">
      <c r="A159" s="1">
        <v>158</v>
      </c>
      <c r="B159" s="1" t="s">
        <v>413</v>
      </c>
      <c r="C159" s="1" t="s">
        <v>414</v>
      </c>
      <c r="F159" s="1" t="s">
        <v>415</v>
      </c>
      <c r="G159" s="1">
        <v>1</v>
      </c>
      <c r="H159" s="7">
        <v>45560</v>
      </c>
      <c r="I159" s="1" t="s">
        <v>7455</v>
      </c>
      <c r="J159" s="7">
        <v>45560</v>
      </c>
      <c r="K159" s="1" t="s">
        <v>7455</v>
      </c>
    </row>
    <row r="160" spans="1:11" x14ac:dyDescent="0.3">
      <c r="A160" s="1">
        <v>159</v>
      </c>
      <c r="B160" s="1" t="s">
        <v>416</v>
      </c>
      <c r="C160" s="1" t="s">
        <v>417</v>
      </c>
      <c r="D160" s="1" t="s">
        <v>418</v>
      </c>
      <c r="E160" s="1" t="s">
        <v>73</v>
      </c>
      <c r="F160" s="1" t="s">
        <v>419</v>
      </c>
      <c r="G160" s="1">
        <v>1</v>
      </c>
      <c r="H160" s="7">
        <v>45560</v>
      </c>
      <c r="I160" s="1" t="s">
        <v>7455</v>
      </c>
      <c r="J160" s="7">
        <v>45560</v>
      </c>
      <c r="K160" s="1" t="s">
        <v>7455</v>
      </c>
    </row>
    <row r="161" spans="1:11" x14ac:dyDescent="0.3">
      <c r="A161" s="1">
        <v>160</v>
      </c>
      <c r="B161" s="1" t="s">
        <v>420</v>
      </c>
      <c r="C161" s="1" t="s">
        <v>421</v>
      </c>
      <c r="F161" s="1" t="s">
        <v>422</v>
      </c>
      <c r="G161" s="1">
        <v>1</v>
      </c>
      <c r="H161" s="7">
        <v>45560</v>
      </c>
      <c r="I161" s="1" t="s">
        <v>7455</v>
      </c>
      <c r="J161" s="7">
        <v>45560</v>
      </c>
      <c r="K161" s="1" t="s">
        <v>7455</v>
      </c>
    </row>
    <row r="162" spans="1:11" x14ac:dyDescent="0.3">
      <c r="A162" s="1">
        <v>161</v>
      </c>
      <c r="B162" s="1" t="s">
        <v>423</v>
      </c>
      <c r="C162" s="1" t="s">
        <v>424</v>
      </c>
      <c r="F162" s="1" t="s">
        <v>425</v>
      </c>
      <c r="G162" s="1">
        <v>1</v>
      </c>
      <c r="H162" s="7">
        <v>45560</v>
      </c>
      <c r="I162" s="1" t="s">
        <v>7455</v>
      </c>
      <c r="J162" s="7">
        <v>45560</v>
      </c>
      <c r="K162" s="1" t="s">
        <v>7455</v>
      </c>
    </row>
    <row r="163" spans="1:11" x14ac:dyDescent="0.3">
      <c r="A163" s="1">
        <v>162</v>
      </c>
      <c r="B163" s="1" t="s">
        <v>426</v>
      </c>
      <c r="C163" s="1" t="s">
        <v>427</v>
      </c>
      <c r="F163" s="1" t="s">
        <v>428</v>
      </c>
      <c r="G163" s="1">
        <v>1</v>
      </c>
      <c r="H163" s="7">
        <v>45560</v>
      </c>
      <c r="I163" s="1" t="s">
        <v>7455</v>
      </c>
      <c r="J163" s="7">
        <v>45560</v>
      </c>
      <c r="K163" s="1" t="s">
        <v>7455</v>
      </c>
    </row>
    <row r="164" spans="1:11" x14ac:dyDescent="0.3">
      <c r="A164" s="1">
        <v>163</v>
      </c>
      <c r="B164" s="1" t="s">
        <v>429</v>
      </c>
      <c r="C164" s="1" t="s">
        <v>430</v>
      </c>
      <c r="F164" s="1" t="s">
        <v>431</v>
      </c>
      <c r="G164" s="1">
        <v>1</v>
      </c>
      <c r="H164" s="7">
        <v>45560</v>
      </c>
      <c r="I164" s="1" t="s">
        <v>7455</v>
      </c>
      <c r="J164" s="7">
        <v>45560</v>
      </c>
      <c r="K164" s="1" t="s">
        <v>7455</v>
      </c>
    </row>
    <row r="165" spans="1:11" x14ac:dyDescent="0.3">
      <c r="A165" s="1">
        <v>164</v>
      </c>
      <c r="B165" s="1" t="s">
        <v>432</v>
      </c>
      <c r="C165" s="1" t="s">
        <v>433</v>
      </c>
      <c r="F165" s="1" t="s">
        <v>434</v>
      </c>
      <c r="G165" s="1">
        <v>1</v>
      </c>
      <c r="H165" s="7">
        <v>45560</v>
      </c>
      <c r="I165" s="1" t="s">
        <v>7455</v>
      </c>
      <c r="J165" s="7">
        <v>45560</v>
      </c>
      <c r="K165" s="1" t="s">
        <v>7455</v>
      </c>
    </row>
    <row r="166" spans="1:11" x14ac:dyDescent="0.3">
      <c r="A166" s="1">
        <v>165</v>
      </c>
      <c r="B166" s="1" t="s">
        <v>435</v>
      </c>
      <c r="C166" s="1" t="s">
        <v>436</v>
      </c>
      <c r="F166" s="1" t="s">
        <v>437</v>
      </c>
      <c r="G166" s="1">
        <v>1</v>
      </c>
      <c r="H166" s="7">
        <v>45560</v>
      </c>
      <c r="I166" s="1" t="s">
        <v>7455</v>
      </c>
      <c r="J166" s="7">
        <v>45560</v>
      </c>
      <c r="K166" s="1" t="s">
        <v>7455</v>
      </c>
    </row>
    <row r="167" spans="1:11" x14ac:dyDescent="0.3">
      <c r="A167" s="1">
        <v>166</v>
      </c>
      <c r="B167" s="1" t="s">
        <v>438</v>
      </c>
      <c r="C167" s="1" t="s">
        <v>439</v>
      </c>
      <c r="F167" s="1" t="s">
        <v>440</v>
      </c>
      <c r="G167" s="1">
        <v>1</v>
      </c>
      <c r="H167" s="7">
        <v>45560</v>
      </c>
      <c r="I167" s="1" t="s">
        <v>7455</v>
      </c>
      <c r="J167" s="7">
        <v>45560</v>
      </c>
      <c r="K167" s="1" t="s">
        <v>7455</v>
      </c>
    </row>
    <row r="168" spans="1:11" x14ac:dyDescent="0.3">
      <c r="A168" s="1">
        <v>167</v>
      </c>
      <c r="B168" s="1" t="s">
        <v>441</v>
      </c>
      <c r="C168" s="1" t="s">
        <v>442</v>
      </c>
      <c r="F168" s="1" t="s">
        <v>443</v>
      </c>
      <c r="G168" s="1">
        <v>1</v>
      </c>
      <c r="H168" s="7">
        <v>45560</v>
      </c>
      <c r="I168" s="1" t="s">
        <v>7455</v>
      </c>
      <c r="J168" s="7">
        <v>45560</v>
      </c>
      <c r="K168" s="1" t="s">
        <v>7455</v>
      </c>
    </row>
    <row r="169" spans="1:11" x14ac:dyDescent="0.3">
      <c r="A169" s="1">
        <v>168</v>
      </c>
      <c r="B169" s="1" t="s">
        <v>444</v>
      </c>
      <c r="C169" s="1" t="s">
        <v>445</v>
      </c>
      <c r="F169" s="1" t="s">
        <v>446</v>
      </c>
      <c r="G169" s="1">
        <v>1</v>
      </c>
      <c r="H169" s="7">
        <v>45560</v>
      </c>
      <c r="I169" s="1" t="s">
        <v>7455</v>
      </c>
      <c r="J169" s="7">
        <v>45560</v>
      </c>
      <c r="K169" s="1" t="s">
        <v>7455</v>
      </c>
    </row>
    <row r="170" spans="1:11" x14ac:dyDescent="0.3">
      <c r="A170" s="1">
        <v>169</v>
      </c>
      <c r="B170" s="1" t="s">
        <v>447</v>
      </c>
      <c r="C170" s="1" t="s">
        <v>448</v>
      </c>
      <c r="F170" s="1" t="s">
        <v>449</v>
      </c>
      <c r="G170" s="1">
        <v>1</v>
      </c>
      <c r="H170" s="7">
        <v>45560</v>
      </c>
      <c r="I170" s="1" t="s">
        <v>7455</v>
      </c>
      <c r="J170" s="7">
        <v>45560</v>
      </c>
      <c r="K170" s="1" t="s">
        <v>7455</v>
      </c>
    </row>
    <row r="171" spans="1:11" x14ac:dyDescent="0.3">
      <c r="A171" s="1">
        <v>170</v>
      </c>
      <c r="B171" s="1" t="s">
        <v>450</v>
      </c>
      <c r="C171" s="1" t="s">
        <v>451</v>
      </c>
      <c r="F171" s="1" t="s">
        <v>452</v>
      </c>
      <c r="G171" s="1">
        <v>1</v>
      </c>
      <c r="H171" s="7">
        <v>45560</v>
      </c>
      <c r="I171" s="1" t="s">
        <v>7455</v>
      </c>
      <c r="J171" s="7">
        <v>45560</v>
      </c>
      <c r="K171" s="1" t="s">
        <v>7455</v>
      </c>
    </row>
    <row r="172" spans="1:11" x14ac:dyDescent="0.3">
      <c r="A172" s="1">
        <v>171</v>
      </c>
      <c r="B172" s="1" t="s">
        <v>453</v>
      </c>
      <c r="C172" s="1" t="s">
        <v>454</v>
      </c>
      <c r="F172" s="1" t="s">
        <v>455</v>
      </c>
      <c r="G172" s="1">
        <v>1</v>
      </c>
      <c r="H172" s="7">
        <v>45560</v>
      </c>
      <c r="I172" s="1" t="s">
        <v>7455</v>
      </c>
      <c r="J172" s="7">
        <v>45560</v>
      </c>
      <c r="K172" s="1" t="s">
        <v>7455</v>
      </c>
    </row>
    <row r="173" spans="1:11" x14ac:dyDescent="0.3">
      <c r="A173" s="1">
        <v>172</v>
      </c>
      <c r="B173" s="1" t="s">
        <v>456</v>
      </c>
      <c r="C173" s="1" t="s">
        <v>457</v>
      </c>
      <c r="F173" s="1" t="s">
        <v>458</v>
      </c>
      <c r="G173" s="1">
        <v>1</v>
      </c>
      <c r="H173" s="7">
        <v>45560</v>
      </c>
      <c r="I173" s="1" t="s">
        <v>7455</v>
      </c>
      <c r="J173" s="7">
        <v>45560</v>
      </c>
      <c r="K173" s="1" t="s">
        <v>7455</v>
      </c>
    </row>
    <row r="174" spans="1:11" x14ac:dyDescent="0.3">
      <c r="A174" s="1">
        <v>173</v>
      </c>
      <c r="B174" s="1" t="s">
        <v>459</v>
      </c>
      <c r="C174" s="1" t="s">
        <v>460</v>
      </c>
      <c r="F174" s="1" t="s">
        <v>461</v>
      </c>
      <c r="G174" s="1">
        <v>1</v>
      </c>
      <c r="H174" s="7">
        <v>45560</v>
      </c>
      <c r="I174" s="1" t="s">
        <v>7455</v>
      </c>
      <c r="J174" s="7">
        <v>45560</v>
      </c>
      <c r="K174" s="1" t="s">
        <v>7455</v>
      </c>
    </row>
    <row r="175" spans="1:11" x14ac:dyDescent="0.3">
      <c r="A175" s="1">
        <v>174</v>
      </c>
      <c r="B175" s="1" t="s">
        <v>462</v>
      </c>
      <c r="C175" s="1" t="s">
        <v>463</v>
      </c>
      <c r="F175" s="1" t="s">
        <v>464</v>
      </c>
      <c r="G175" s="1">
        <v>1</v>
      </c>
      <c r="H175" s="7">
        <v>45560</v>
      </c>
      <c r="I175" s="1" t="s">
        <v>7455</v>
      </c>
      <c r="J175" s="7">
        <v>45560</v>
      </c>
      <c r="K175" s="1" t="s">
        <v>7455</v>
      </c>
    </row>
    <row r="176" spans="1:11" x14ac:dyDescent="0.3">
      <c r="A176" s="1">
        <v>175</v>
      </c>
      <c r="B176" s="1" t="s">
        <v>465</v>
      </c>
      <c r="C176" s="1" t="s">
        <v>466</v>
      </c>
      <c r="F176" s="1" t="s">
        <v>467</v>
      </c>
      <c r="G176" s="1">
        <v>1</v>
      </c>
      <c r="H176" s="7">
        <v>45560</v>
      </c>
      <c r="I176" s="1" t="s">
        <v>7455</v>
      </c>
      <c r="J176" s="7">
        <v>45560</v>
      </c>
      <c r="K176" s="1" t="s">
        <v>7455</v>
      </c>
    </row>
    <row r="177" spans="1:11" x14ac:dyDescent="0.3">
      <c r="A177" s="1">
        <v>176</v>
      </c>
      <c r="B177" s="1" t="s">
        <v>468</v>
      </c>
      <c r="C177" s="1" t="s">
        <v>469</v>
      </c>
      <c r="F177" s="1" t="s">
        <v>470</v>
      </c>
      <c r="G177" s="1">
        <v>1</v>
      </c>
      <c r="H177" s="7">
        <v>45560</v>
      </c>
      <c r="I177" s="1" t="s">
        <v>7455</v>
      </c>
      <c r="J177" s="7">
        <v>45560</v>
      </c>
      <c r="K177" s="1" t="s">
        <v>7455</v>
      </c>
    </row>
    <row r="178" spans="1:11" x14ac:dyDescent="0.3">
      <c r="A178" s="1">
        <v>177</v>
      </c>
      <c r="B178" s="1" t="s">
        <v>471</v>
      </c>
      <c r="C178" s="1" t="s">
        <v>472</v>
      </c>
      <c r="F178" s="1" t="s">
        <v>473</v>
      </c>
      <c r="G178" s="1">
        <v>1</v>
      </c>
      <c r="H178" s="7">
        <v>45560</v>
      </c>
      <c r="I178" s="1" t="s">
        <v>7455</v>
      </c>
      <c r="J178" s="7">
        <v>45560</v>
      </c>
      <c r="K178" s="1" t="s">
        <v>7455</v>
      </c>
    </row>
    <row r="179" spans="1:11" x14ac:dyDescent="0.3">
      <c r="A179" s="1">
        <v>178</v>
      </c>
      <c r="B179" s="1" t="s">
        <v>474</v>
      </c>
      <c r="C179" s="1" t="s">
        <v>475</v>
      </c>
      <c r="F179" s="1" t="s">
        <v>476</v>
      </c>
      <c r="G179" s="1">
        <v>1</v>
      </c>
      <c r="H179" s="7">
        <v>45560</v>
      </c>
      <c r="I179" s="1" t="s">
        <v>7455</v>
      </c>
      <c r="J179" s="7">
        <v>45560</v>
      </c>
      <c r="K179" s="1" t="s">
        <v>7455</v>
      </c>
    </row>
    <row r="180" spans="1:11" x14ac:dyDescent="0.3">
      <c r="A180" s="1">
        <v>179</v>
      </c>
      <c r="B180" s="1" t="s">
        <v>477</v>
      </c>
      <c r="C180" s="1" t="s">
        <v>478</v>
      </c>
      <c r="D180" s="1" t="s">
        <v>479</v>
      </c>
      <c r="F180" s="1" t="s">
        <v>480</v>
      </c>
      <c r="G180" s="1">
        <v>1</v>
      </c>
      <c r="H180" s="7">
        <v>45560</v>
      </c>
      <c r="I180" s="1" t="s">
        <v>7455</v>
      </c>
      <c r="J180" s="7">
        <v>45560</v>
      </c>
      <c r="K180" s="1" t="s">
        <v>7455</v>
      </c>
    </row>
    <row r="181" spans="1:11" x14ac:dyDescent="0.3">
      <c r="A181" s="1">
        <v>180</v>
      </c>
      <c r="B181" s="1" t="s">
        <v>481</v>
      </c>
      <c r="C181" s="1" t="s">
        <v>482</v>
      </c>
      <c r="F181" s="1" t="s">
        <v>483</v>
      </c>
      <c r="G181" s="1">
        <v>1</v>
      </c>
      <c r="H181" s="7">
        <v>45560</v>
      </c>
      <c r="I181" s="1" t="s">
        <v>7455</v>
      </c>
      <c r="J181" s="7">
        <v>45560</v>
      </c>
      <c r="K181" s="1" t="s">
        <v>7455</v>
      </c>
    </row>
    <row r="182" spans="1:11" x14ac:dyDescent="0.3">
      <c r="A182" s="1">
        <v>181</v>
      </c>
      <c r="B182" s="1" t="s">
        <v>484</v>
      </c>
      <c r="C182" s="1" t="s">
        <v>485</v>
      </c>
      <c r="D182" s="1" t="s">
        <v>486</v>
      </c>
      <c r="F182" s="1" t="s">
        <v>487</v>
      </c>
      <c r="G182" s="1">
        <v>1</v>
      </c>
      <c r="H182" s="7">
        <v>45560</v>
      </c>
      <c r="I182" s="1" t="s">
        <v>7455</v>
      </c>
      <c r="J182" s="7">
        <v>45560</v>
      </c>
      <c r="K182" s="1" t="s">
        <v>7455</v>
      </c>
    </row>
    <row r="183" spans="1:11" x14ac:dyDescent="0.3">
      <c r="A183" s="1">
        <v>182</v>
      </c>
      <c r="B183" s="1" t="s">
        <v>488</v>
      </c>
      <c r="C183" s="1" t="s">
        <v>489</v>
      </c>
      <c r="D183" s="1" t="s">
        <v>490</v>
      </c>
      <c r="F183" s="1" t="s">
        <v>491</v>
      </c>
      <c r="G183" s="1">
        <v>1</v>
      </c>
      <c r="H183" s="7">
        <v>45560</v>
      </c>
      <c r="I183" s="1" t="s">
        <v>7455</v>
      </c>
      <c r="J183" s="7">
        <v>45560</v>
      </c>
      <c r="K183" s="1" t="s">
        <v>7455</v>
      </c>
    </row>
    <row r="184" spans="1:11" x14ac:dyDescent="0.3">
      <c r="A184" s="1">
        <v>183</v>
      </c>
      <c r="B184" s="1" t="s">
        <v>492</v>
      </c>
      <c r="C184" s="1" t="s">
        <v>493</v>
      </c>
      <c r="D184" s="1" t="s">
        <v>494</v>
      </c>
      <c r="F184" s="1" t="s">
        <v>495</v>
      </c>
      <c r="G184" s="1">
        <v>1</v>
      </c>
      <c r="H184" s="7">
        <v>45560</v>
      </c>
      <c r="I184" s="1" t="s">
        <v>7455</v>
      </c>
      <c r="J184" s="7">
        <v>45560</v>
      </c>
      <c r="K184" s="1" t="s">
        <v>7455</v>
      </c>
    </row>
    <row r="185" spans="1:11" x14ac:dyDescent="0.3">
      <c r="A185" s="1">
        <v>184</v>
      </c>
      <c r="B185" s="1" t="s">
        <v>496</v>
      </c>
      <c r="C185" s="1" t="s">
        <v>497</v>
      </c>
      <c r="D185" s="1" t="s">
        <v>498</v>
      </c>
      <c r="F185" s="1" t="s">
        <v>499</v>
      </c>
      <c r="G185" s="1">
        <v>1</v>
      </c>
      <c r="H185" s="7">
        <v>45560</v>
      </c>
      <c r="I185" s="1" t="s">
        <v>7455</v>
      </c>
      <c r="J185" s="7">
        <v>45560</v>
      </c>
      <c r="K185" s="1" t="s">
        <v>7455</v>
      </c>
    </row>
    <row r="186" spans="1:11" x14ac:dyDescent="0.3">
      <c r="A186" s="1">
        <v>185</v>
      </c>
      <c r="B186" s="1" t="s">
        <v>500</v>
      </c>
      <c r="C186" s="1" t="s">
        <v>501</v>
      </c>
      <c r="F186" s="1" t="s">
        <v>502</v>
      </c>
      <c r="G186" s="1">
        <v>1</v>
      </c>
      <c r="H186" s="7">
        <v>45560</v>
      </c>
      <c r="I186" s="1" t="s">
        <v>7455</v>
      </c>
      <c r="J186" s="7">
        <v>45560</v>
      </c>
      <c r="K186" s="1" t="s">
        <v>7455</v>
      </c>
    </row>
    <row r="187" spans="1:11" x14ac:dyDescent="0.3">
      <c r="A187" s="1">
        <v>186</v>
      </c>
      <c r="B187" s="1" t="s">
        <v>503</v>
      </c>
      <c r="C187" s="1" t="s">
        <v>504</v>
      </c>
      <c r="E187" s="1" t="s">
        <v>73</v>
      </c>
      <c r="F187" s="1" t="s">
        <v>505</v>
      </c>
      <c r="G187" s="1">
        <v>1</v>
      </c>
      <c r="H187" s="7">
        <v>45560</v>
      </c>
      <c r="I187" s="1" t="s">
        <v>7455</v>
      </c>
      <c r="J187" s="7">
        <v>45560</v>
      </c>
      <c r="K187" s="1" t="s">
        <v>7455</v>
      </c>
    </row>
    <row r="188" spans="1:11" x14ac:dyDescent="0.3">
      <c r="A188" s="1">
        <v>187</v>
      </c>
      <c r="B188" s="1" t="s">
        <v>506</v>
      </c>
      <c r="C188" s="1" t="s">
        <v>507</v>
      </c>
      <c r="E188" s="1" t="s">
        <v>73</v>
      </c>
      <c r="F188" s="1" t="s">
        <v>508</v>
      </c>
      <c r="G188" s="1">
        <v>1</v>
      </c>
      <c r="H188" s="7">
        <v>45560</v>
      </c>
      <c r="I188" s="1" t="s">
        <v>7455</v>
      </c>
      <c r="J188" s="7">
        <v>45560</v>
      </c>
      <c r="K188" s="1" t="s">
        <v>7455</v>
      </c>
    </row>
    <row r="189" spans="1:11" x14ac:dyDescent="0.3">
      <c r="A189" s="1">
        <v>188</v>
      </c>
      <c r="B189" s="1" t="s">
        <v>509</v>
      </c>
      <c r="C189" s="1" t="s">
        <v>510</v>
      </c>
      <c r="E189" s="1" t="s">
        <v>73</v>
      </c>
      <c r="F189" s="1" t="s">
        <v>511</v>
      </c>
      <c r="G189" s="1">
        <v>1</v>
      </c>
      <c r="H189" s="7">
        <v>45560</v>
      </c>
      <c r="I189" s="1" t="s">
        <v>7455</v>
      </c>
      <c r="J189" s="7">
        <v>45560</v>
      </c>
      <c r="K189" s="1" t="s">
        <v>7455</v>
      </c>
    </row>
    <row r="190" spans="1:11" x14ac:dyDescent="0.3">
      <c r="A190" s="1">
        <v>189</v>
      </c>
      <c r="B190" s="1" t="s">
        <v>512</v>
      </c>
      <c r="C190" s="1" t="s">
        <v>513</v>
      </c>
      <c r="F190" s="1" t="s">
        <v>514</v>
      </c>
      <c r="G190" s="1">
        <v>1</v>
      </c>
      <c r="H190" s="7">
        <v>45560</v>
      </c>
      <c r="I190" s="1" t="s">
        <v>7455</v>
      </c>
      <c r="J190" s="7">
        <v>45560</v>
      </c>
      <c r="K190" s="1" t="s">
        <v>7455</v>
      </c>
    </row>
    <row r="191" spans="1:11" x14ac:dyDescent="0.3">
      <c r="A191" s="1">
        <v>190</v>
      </c>
      <c r="B191" s="1" t="s">
        <v>515</v>
      </c>
      <c r="C191" s="1" t="s">
        <v>516</v>
      </c>
      <c r="F191" s="1" t="s">
        <v>517</v>
      </c>
      <c r="G191" s="1">
        <v>1</v>
      </c>
      <c r="H191" s="7">
        <v>45560</v>
      </c>
      <c r="I191" s="1" t="s">
        <v>7455</v>
      </c>
      <c r="J191" s="7">
        <v>45560</v>
      </c>
      <c r="K191" s="1" t="s">
        <v>7455</v>
      </c>
    </row>
    <row r="192" spans="1:11" x14ac:dyDescent="0.3">
      <c r="A192" s="1">
        <v>191</v>
      </c>
      <c r="B192" s="1" t="s">
        <v>518</v>
      </c>
      <c r="C192" s="1" t="s">
        <v>519</v>
      </c>
      <c r="F192" s="1" t="s">
        <v>520</v>
      </c>
      <c r="G192" s="1">
        <v>1</v>
      </c>
      <c r="H192" s="7">
        <v>45560</v>
      </c>
      <c r="I192" s="1" t="s">
        <v>7455</v>
      </c>
      <c r="J192" s="7">
        <v>45560</v>
      </c>
      <c r="K192" s="1" t="s">
        <v>7455</v>
      </c>
    </row>
    <row r="193" spans="1:11" x14ac:dyDescent="0.3">
      <c r="A193" s="1">
        <v>192</v>
      </c>
      <c r="B193" s="1" t="s">
        <v>521</v>
      </c>
      <c r="C193" s="1" t="s">
        <v>522</v>
      </c>
      <c r="F193" s="1" t="s">
        <v>523</v>
      </c>
      <c r="G193" s="1">
        <v>1</v>
      </c>
      <c r="H193" s="7">
        <v>45560</v>
      </c>
      <c r="I193" s="1" t="s">
        <v>7455</v>
      </c>
      <c r="J193" s="7">
        <v>45560</v>
      </c>
      <c r="K193" s="1" t="s">
        <v>7455</v>
      </c>
    </row>
    <row r="194" spans="1:11" x14ac:dyDescent="0.3">
      <c r="A194" s="1">
        <v>193</v>
      </c>
      <c r="B194" s="1" t="s">
        <v>524</v>
      </c>
      <c r="C194" s="1" t="s">
        <v>525</v>
      </c>
      <c r="E194" s="1" t="s">
        <v>73</v>
      </c>
      <c r="F194" s="1" t="s">
        <v>526</v>
      </c>
      <c r="G194" s="1">
        <v>1</v>
      </c>
      <c r="H194" s="7">
        <v>45560</v>
      </c>
      <c r="I194" s="1" t="s">
        <v>7455</v>
      </c>
      <c r="J194" s="7">
        <v>45560</v>
      </c>
      <c r="K194" s="1" t="s">
        <v>7455</v>
      </c>
    </row>
    <row r="195" spans="1:11" x14ac:dyDescent="0.3">
      <c r="A195" s="1">
        <v>194</v>
      </c>
      <c r="B195" s="1" t="s">
        <v>527</v>
      </c>
      <c r="C195" s="1" t="s">
        <v>528</v>
      </c>
      <c r="E195" s="1" t="s">
        <v>73</v>
      </c>
      <c r="F195" s="1" t="s">
        <v>529</v>
      </c>
      <c r="G195" s="1">
        <v>1</v>
      </c>
      <c r="H195" s="7">
        <v>45560</v>
      </c>
      <c r="I195" s="1" t="s">
        <v>7455</v>
      </c>
      <c r="J195" s="7">
        <v>45560</v>
      </c>
      <c r="K195" s="1" t="s">
        <v>7455</v>
      </c>
    </row>
    <row r="196" spans="1:11" ht="43.2" x14ac:dyDescent="0.3">
      <c r="A196" s="1">
        <v>195</v>
      </c>
      <c r="B196" s="1" t="s">
        <v>530</v>
      </c>
      <c r="C196" s="1" t="s">
        <v>531</v>
      </c>
      <c r="D196" s="8" t="s">
        <v>532</v>
      </c>
      <c r="G196" s="1">
        <v>1</v>
      </c>
      <c r="H196" s="7">
        <v>45560</v>
      </c>
      <c r="I196" s="1" t="s">
        <v>7455</v>
      </c>
      <c r="J196" s="7">
        <v>45560</v>
      </c>
      <c r="K196" s="1" t="s">
        <v>7455</v>
      </c>
    </row>
    <row r="197" spans="1:11" x14ac:dyDescent="0.3">
      <c r="A197" s="1">
        <v>196</v>
      </c>
      <c r="B197" s="1" t="s">
        <v>533</v>
      </c>
      <c r="C197" s="1" t="s">
        <v>534</v>
      </c>
      <c r="F197" s="1" t="s">
        <v>535</v>
      </c>
      <c r="G197" s="1">
        <v>1</v>
      </c>
      <c r="H197" s="7">
        <v>45560</v>
      </c>
      <c r="I197" s="1" t="s">
        <v>7455</v>
      </c>
      <c r="J197" s="7">
        <v>45560</v>
      </c>
      <c r="K197" s="1" t="s">
        <v>7455</v>
      </c>
    </row>
    <row r="198" spans="1:11" x14ac:dyDescent="0.3">
      <c r="A198" s="1">
        <v>197</v>
      </c>
      <c r="B198" s="1" t="s">
        <v>536</v>
      </c>
      <c r="C198" s="1" t="s">
        <v>537</v>
      </c>
      <c r="E198" s="1" t="s">
        <v>73</v>
      </c>
      <c r="F198" s="1" t="s">
        <v>538</v>
      </c>
      <c r="G198" s="1">
        <v>1</v>
      </c>
      <c r="H198" s="7">
        <v>45560</v>
      </c>
      <c r="I198" s="1" t="s">
        <v>7455</v>
      </c>
      <c r="J198" s="7">
        <v>45560</v>
      </c>
      <c r="K198" s="1" t="s">
        <v>7455</v>
      </c>
    </row>
    <row r="199" spans="1:11" x14ac:dyDescent="0.3">
      <c r="A199" s="1">
        <v>198</v>
      </c>
      <c r="B199" s="1" t="s">
        <v>539</v>
      </c>
      <c r="C199" s="1" t="s">
        <v>540</v>
      </c>
      <c r="E199" s="1" t="s">
        <v>73</v>
      </c>
      <c r="F199" s="1" t="s">
        <v>541</v>
      </c>
      <c r="G199" s="1">
        <v>1</v>
      </c>
      <c r="H199" s="7">
        <v>45560</v>
      </c>
      <c r="I199" s="1" t="s">
        <v>7455</v>
      </c>
      <c r="J199" s="7">
        <v>45560</v>
      </c>
      <c r="K199" s="1" t="s">
        <v>7455</v>
      </c>
    </row>
    <row r="200" spans="1:11" x14ac:dyDescent="0.3">
      <c r="A200" s="1">
        <v>199</v>
      </c>
      <c r="B200" s="1" t="s">
        <v>542</v>
      </c>
      <c r="C200" s="1" t="s">
        <v>543</v>
      </c>
      <c r="E200" s="1" t="s">
        <v>73</v>
      </c>
      <c r="F200" s="1" t="s">
        <v>544</v>
      </c>
      <c r="G200" s="1">
        <v>1</v>
      </c>
      <c r="H200" s="7">
        <v>45560</v>
      </c>
      <c r="I200" s="1" t="s">
        <v>7455</v>
      </c>
      <c r="J200" s="7">
        <v>45560</v>
      </c>
      <c r="K200" s="1" t="s">
        <v>7455</v>
      </c>
    </row>
    <row r="201" spans="1:11" x14ac:dyDescent="0.3">
      <c r="A201" s="1">
        <v>200</v>
      </c>
      <c r="B201" s="1" t="s">
        <v>545</v>
      </c>
      <c r="C201" s="1" t="s">
        <v>546</v>
      </c>
      <c r="E201" s="1" t="s">
        <v>73</v>
      </c>
      <c r="F201" s="1" t="s">
        <v>547</v>
      </c>
      <c r="G201" s="1">
        <v>1</v>
      </c>
      <c r="H201" s="7">
        <v>45560</v>
      </c>
      <c r="I201" s="1" t="s">
        <v>7455</v>
      </c>
      <c r="J201" s="7">
        <v>45560</v>
      </c>
      <c r="K201" s="1" t="s">
        <v>7455</v>
      </c>
    </row>
    <row r="202" spans="1:11" x14ac:dyDescent="0.3">
      <c r="A202" s="1">
        <v>201</v>
      </c>
      <c r="B202" s="1" t="s">
        <v>548</v>
      </c>
      <c r="C202" s="1" t="s">
        <v>549</v>
      </c>
      <c r="E202" s="1" t="s">
        <v>73</v>
      </c>
      <c r="F202" s="1" t="s">
        <v>550</v>
      </c>
      <c r="G202" s="1">
        <v>1</v>
      </c>
      <c r="H202" s="7">
        <v>45560</v>
      </c>
      <c r="I202" s="1" t="s">
        <v>7455</v>
      </c>
      <c r="J202" s="7">
        <v>45560</v>
      </c>
      <c r="K202" s="1" t="s">
        <v>7455</v>
      </c>
    </row>
    <row r="203" spans="1:11" x14ac:dyDescent="0.3">
      <c r="A203" s="1">
        <v>202</v>
      </c>
      <c r="B203" s="1" t="s">
        <v>551</v>
      </c>
      <c r="C203" s="1" t="s">
        <v>552</v>
      </c>
      <c r="E203" s="1" t="s">
        <v>73</v>
      </c>
      <c r="F203" s="1" t="s">
        <v>553</v>
      </c>
      <c r="G203" s="1">
        <v>1</v>
      </c>
      <c r="H203" s="7">
        <v>45560</v>
      </c>
      <c r="I203" s="1" t="s">
        <v>7455</v>
      </c>
      <c r="J203" s="7">
        <v>45560</v>
      </c>
      <c r="K203" s="1" t="s">
        <v>7455</v>
      </c>
    </row>
    <row r="204" spans="1:11" x14ac:dyDescent="0.3">
      <c r="A204" s="1">
        <v>203</v>
      </c>
      <c r="B204" s="1" t="s">
        <v>554</v>
      </c>
      <c r="C204" s="1" t="s">
        <v>555</v>
      </c>
      <c r="E204" s="1" t="s">
        <v>73</v>
      </c>
      <c r="F204" s="1" t="s">
        <v>556</v>
      </c>
      <c r="G204" s="1">
        <v>1</v>
      </c>
      <c r="H204" s="7">
        <v>45560</v>
      </c>
      <c r="I204" s="1" t="s">
        <v>7455</v>
      </c>
      <c r="J204" s="7">
        <v>45560</v>
      </c>
      <c r="K204" s="1" t="s">
        <v>7455</v>
      </c>
    </row>
    <row r="205" spans="1:11" x14ac:dyDescent="0.3">
      <c r="A205" s="1">
        <v>204</v>
      </c>
      <c r="B205" s="1" t="s">
        <v>557</v>
      </c>
      <c r="C205" s="1" t="s">
        <v>558</v>
      </c>
      <c r="E205" s="1" t="s">
        <v>73</v>
      </c>
      <c r="F205" s="1" t="s">
        <v>559</v>
      </c>
      <c r="G205" s="1">
        <v>1</v>
      </c>
      <c r="H205" s="7">
        <v>45560</v>
      </c>
      <c r="I205" s="1" t="s">
        <v>7455</v>
      </c>
      <c r="J205" s="7">
        <v>45560</v>
      </c>
      <c r="K205" s="1" t="s">
        <v>7455</v>
      </c>
    </row>
    <row r="206" spans="1:11" x14ac:dyDescent="0.3">
      <c r="A206" s="1">
        <v>205</v>
      </c>
      <c r="B206" s="1" t="s">
        <v>560</v>
      </c>
      <c r="C206" s="1" t="s">
        <v>561</v>
      </c>
      <c r="F206" s="1" t="s">
        <v>562</v>
      </c>
      <c r="G206" s="1">
        <v>1</v>
      </c>
      <c r="H206" s="7">
        <v>45560</v>
      </c>
      <c r="I206" s="1" t="s">
        <v>7455</v>
      </c>
      <c r="J206" s="7">
        <v>45560</v>
      </c>
      <c r="K206" s="1" t="s">
        <v>7455</v>
      </c>
    </row>
    <row r="207" spans="1:11" x14ac:dyDescent="0.3">
      <c r="A207" s="1">
        <v>206</v>
      </c>
      <c r="B207" s="1" t="s">
        <v>563</v>
      </c>
      <c r="C207" s="1" t="s">
        <v>564</v>
      </c>
      <c r="F207" s="1" t="s">
        <v>565</v>
      </c>
      <c r="G207" s="1">
        <v>1</v>
      </c>
      <c r="H207" s="7">
        <v>45560</v>
      </c>
      <c r="I207" s="1" t="s">
        <v>7455</v>
      </c>
      <c r="J207" s="7">
        <v>45560</v>
      </c>
      <c r="K207" s="1" t="s">
        <v>7455</v>
      </c>
    </row>
    <row r="208" spans="1:11" x14ac:dyDescent="0.3">
      <c r="A208" s="1">
        <v>207</v>
      </c>
      <c r="B208" s="1" t="s">
        <v>566</v>
      </c>
      <c r="C208" s="1" t="s">
        <v>567</v>
      </c>
      <c r="F208" s="1" t="s">
        <v>568</v>
      </c>
      <c r="G208" s="1">
        <v>1</v>
      </c>
      <c r="H208" s="7">
        <v>45560</v>
      </c>
      <c r="I208" s="1" t="s">
        <v>7455</v>
      </c>
      <c r="J208" s="7">
        <v>45560</v>
      </c>
      <c r="K208" s="1" t="s">
        <v>7455</v>
      </c>
    </row>
    <row r="209" spans="1:11" x14ac:dyDescent="0.3">
      <c r="A209" s="1">
        <v>208</v>
      </c>
      <c r="B209" s="1" t="s">
        <v>569</v>
      </c>
      <c r="C209" s="1" t="s">
        <v>570</v>
      </c>
      <c r="F209" s="1" t="s">
        <v>571</v>
      </c>
      <c r="G209" s="1">
        <v>1</v>
      </c>
      <c r="H209" s="7">
        <v>45560</v>
      </c>
      <c r="I209" s="1" t="s">
        <v>7455</v>
      </c>
      <c r="J209" s="7">
        <v>45560</v>
      </c>
      <c r="K209" s="1" t="s">
        <v>7455</v>
      </c>
    </row>
    <row r="210" spans="1:11" x14ac:dyDescent="0.3">
      <c r="A210" s="1">
        <v>209</v>
      </c>
      <c r="B210" s="1" t="s">
        <v>572</v>
      </c>
      <c r="C210" s="1" t="s">
        <v>573</v>
      </c>
      <c r="D210" s="1" t="s">
        <v>574</v>
      </c>
      <c r="F210" s="1" t="s">
        <v>575</v>
      </c>
      <c r="G210" s="1">
        <v>1</v>
      </c>
      <c r="H210" s="7">
        <v>45560</v>
      </c>
      <c r="I210" s="1" t="s">
        <v>7455</v>
      </c>
      <c r="J210" s="7">
        <v>45560</v>
      </c>
      <c r="K210" s="1" t="s">
        <v>7455</v>
      </c>
    </row>
    <row r="211" spans="1:11" x14ac:dyDescent="0.3">
      <c r="A211" s="1">
        <v>210</v>
      </c>
      <c r="B211" s="1" t="s">
        <v>576</v>
      </c>
      <c r="C211" s="1" t="s">
        <v>577</v>
      </c>
      <c r="F211" s="1" t="s">
        <v>578</v>
      </c>
      <c r="G211" s="1">
        <v>1</v>
      </c>
      <c r="H211" s="7">
        <v>45560</v>
      </c>
      <c r="I211" s="1" t="s">
        <v>7455</v>
      </c>
      <c r="J211" s="7">
        <v>45560</v>
      </c>
      <c r="K211" s="1" t="s">
        <v>7455</v>
      </c>
    </row>
    <row r="212" spans="1:11" x14ac:dyDescent="0.3">
      <c r="A212" s="1">
        <v>211</v>
      </c>
      <c r="B212" s="1" t="s">
        <v>579</v>
      </c>
      <c r="C212" s="1" t="s">
        <v>580</v>
      </c>
      <c r="F212" s="1" t="s">
        <v>581</v>
      </c>
      <c r="G212" s="1">
        <v>1</v>
      </c>
      <c r="H212" s="7">
        <v>45560</v>
      </c>
      <c r="I212" s="1" t="s">
        <v>7455</v>
      </c>
      <c r="J212" s="7">
        <v>45560</v>
      </c>
      <c r="K212" s="1" t="s">
        <v>7455</v>
      </c>
    </row>
    <row r="213" spans="1:11" x14ac:dyDescent="0.3">
      <c r="A213" s="1">
        <v>212</v>
      </c>
      <c r="B213" s="1" t="s">
        <v>582</v>
      </c>
      <c r="C213" s="1" t="s">
        <v>583</v>
      </c>
      <c r="D213" s="1" t="s">
        <v>584</v>
      </c>
      <c r="G213" s="1">
        <v>1</v>
      </c>
      <c r="H213" s="7">
        <v>45560</v>
      </c>
      <c r="I213" s="1" t="s">
        <v>7455</v>
      </c>
      <c r="J213" s="7">
        <v>45560</v>
      </c>
      <c r="K213" s="1" t="s">
        <v>7455</v>
      </c>
    </row>
    <row r="214" spans="1:11" x14ac:dyDescent="0.3">
      <c r="A214" s="1">
        <v>213</v>
      </c>
      <c r="B214" s="1" t="s">
        <v>585</v>
      </c>
      <c r="C214" s="1" t="s">
        <v>586</v>
      </c>
      <c r="D214" s="1" t="s">
        <v>587</v>
      </c>
      <c r="F214" s="1" t="s">
        <v>588</v>
      </c>
      <c r="G214" s="1">
        <v>1</v>
      </c>
      <c r="H214" s="7">
        <v>45560</v>
      </c>
      <c r="I214" s="1" t="s">
        <v>7455</v>
      </c>
      <c r="J214" s="7">
        <v>45560</v>
      </c>
      <c r="K214" s="1" t="s">
        <v>7455</v>
      </c>
    </row>
    <row r="215" spans="1:11" x14ac:dyDescent="0.3">
      <c r="A215" s="1">
        <v>214</v>
      </c>
      <c r="B215" s="1" t="s">
        <v>589</v>
      </c>
      <c r="C215" s="1" t="s">
        <v>590</v>
      </c>
      <c r="E215" s="1" t="s">
        <v>73</v>
      </c>
      <c r="G215" s="1">
        <v>1</v>
      </c>
      <c r="H215" s="7">
        <v>45560</v>
      </c>
      <c r="I215" s="1" t="s">
        <v>7455</v>
      </c>
      <c r="J215" s="7">
        <v>45560</v>
      </c>
      <c r="K215" s="1" t="s">
        <v>7455</v>
      </c>
    </row>
    <row r="216" spans="1:11" x14ac:dyDescent="0.3">
      <c r="A216" s="1">
        <v>215</v>
      </c>
      <c r="B216" s="1" t="s">
        <v>591</v>
      </c>
      <c r="C216" s="1" t="s">
        <v>592</v>
      </c>
      <c r="E216" s="1" t="s">
        <v>73</v>
      </c>
      <c r="G216" s="1">
        <v>1</v>
      </c>
      <c r="H216" s="7">
        <v>45560</v>
      </c>
      <c r="I216" s="1" t="s">
        <v>7455</v>
      </c>
      <c r="J216" s="7">
        <v>45560</v>
      </c>
      <c r="K216" s="1" t="s">
        <v>7455</v>
      </c>
    </row>
    <row r="217" spans="1:11" x14ac:dyDescent="0.3">
      <c r="A217" s="1">
        <v>216</v>
      </c>
      <c r="B217" s="1" t="s">
        <v>593</v>
      </c>
      <c r="C217" s="1" t="s">
        <v>594</v>
      </c>
      <c r="E217" s="1" t="s">
        <v>73</v>
      </c>
      <c r="G217" s="1">
        <v>1</v>
      </c>
      <c r="H217" s="7">
        <v>45560</v>
      </c>
      <c r="I217" s="1" t="s">
        <v>7455</v>
      </c>
      <c r="J217" s="7">
        <v>45560</v>
      </c>
      <c r="K217" s="1" t="s">
        <v>7455</v>
      </c>
    </row>
    <row r="218" spans="1:11" x14ac:dyDescent="0.3">
      <c r="A218" s="1">
        <v>217</v>
      </c>
      <c r="B218" s="1" t="s">
        <v>595</v>
      </c>
      <c r="C218" s="1" t="s">
        <v>596</v>
      </c>
      <c r="F218" s="1" t="s">
        <v>597</v>
      </c>
      <c r="G218" s="1">
        <v>1</v>
      </c>
      <c r="H218" s="7">
        <v>45560</v>
      </c>
      <c r="I218" s="1" t="s">
        <v>7455</v>
      </c>
      <c r="J218" s="7">
        <v>45560</v>
      </c>
      <c r="K218" s="1" t="s">
        <v>7455</v>
      </c>
    </row>
    <row r="219" spans="1:11" x14ac:dyDescent="0.3">
      <c r="A219" s="1">
        <v>218</v>
      </c>
      <c r="B219" s="1" t="s">
        <v>598</v>
      </c>
      <c r="C219" s="1" t="s">
        <v>599</v>
      </c>
      <c r="E219" s="1" t="s">
        <v>73</v>
      </c>
      <c r="G219" s="1">
        <v>1</v>
      </c>
      <c r="H219" s="7">
        <v>45560</v>
      </c>
      <c r="I219" s="1" t="s">
        <v>7455</v>
      </c>
      <c r="J219" s="7">
        <v>45560</v>
      </c>
      <c r="K219" s="1" t="s">
        <v>7455</v>
      </c>
    </row>
    <row r="220" spans="1:11" x14ac:dyDescent="0.3">
      <c r="A220" s="1">
        <v>219</v>
      </c>
      <c r="B220" s="1" t="s">
        <v>600</v>
      </c>
      <c r="C220" s="1" t="s">
        <v>601</v>
      </c>
      <c r="E220" s="1" t="s">
        <v>73</v>
      </c>
      <c r="G220" s="1">
        <v>1</v>
      </c>
      <c r="H220" s="7">
        <v>45560</v>
      </c>
      <c r="I220" s="1" t="s">
        <v>7455</v>
      </c>
      <c r="J220" s="7">
        <v>45560</v>
      </c>
      <c r="K220" s="1" t="s">
        <v>7455</v>
      </c>
    </row>
    <row r="221" spans="1:11" x14ac:dyDescent="0.3">
      <c r="A221" s="1">
        <v>220</v>
      </c>
      <c r="B221" s="1" t="s">
        <v>602</v>
      </c>
      <c r="C221" s="1" t="s">
        <v>603</v>
      </c>
      <c r="E221" s="1" t="s">
        <v>73</v>
      </c>
      <c r="G221" s="1">
        <v>1</v>
      </c>
      <c r="H221" s="7">
        <v>45560</v>
      </c>
      <c r="I221" s="1" t="s">
        <v>7455</v>
      </c>
      <c r="J221" s="7">
        <v>45560</v>
      </c>
      <c r="K221" s="1" t="s">
        <v>7455</v>
      </c>
    </row>
    <row r="222" spans="1:11" x14ac:dyDescent="0.3">
      <c r="A222" s="1">
        <v>221</v>
      </c>
      <c r="B222" s="1" t="s">
        <v>604</v>
      </c>
      <c r="C222" s="1" t="s">
        <v>605</v>
      </c>
      <c r="E222" s="1" t="s">
        <v>73</v>
      </c>
      <c r="G222" s="1">
        <v>1</v>
      </c>
      <c r="H222" s="7">
        <v>45560</v>
      </c>
      <c r="I222" s="1" t="s">
        <v>7455</v>
      </c>
      <c r="J222" s="7">
        <v>45560</v>
      </c>
      <c r="K222" s="1" t="s">
        <v>7455</v>
      </c>
    </row>
    <row r="223" spans="1:11" x14ac:dyDescent="0.3">
      <c r="A223" s="1">
        <v>222</v>
      </c>
      <c r="B223" s="1" t="s">
        <v>606</v>
      </c>
      <c r="C223" s="1" t="s">
        <v>607</v>
      </c>
      <c r="F223" s="1" t="s">
        <v>608</v>
      </c>
      <c r="G223" s="1">
        <v>1</v>
      </c>
      <c r="H223" s="7">
        <v>45560</v>
      </c>
      <c r="I223" s="1" t="s">
        <v>7455</v>
      </c>
      <c r="J223" s="7">
        <v>45560</v>
      </c>
      <c r="K223" s="1" t="s">
        <v>7455</v>
      </c>
    </row>
    <row r="224" spans="1:11" x14ac:dyDescent="0.3">
      <c r="A224" s="1">
        <v>223</v>
      </c>
      <c r="B224" s="1" t="s">
        <v>609</v>
      </c>
      <c r="C224" s="1" t="s">
        <v>610</v>
      </c>
      <c r="F224" s="1" t="s">
        <v>611</v>
      </c>
      <c r="G224" s="1">
        <v>1</v>
      </c>
      <c r="H224" s="7">
        <v>45560</v>
      </c>
      <c r="I224" s="1" t="s">
        <v>7455</v>
      </c>
      <c r="J224" s="7">
        <v>45560</v>
      </c>
      <c r="K224" s="1" t="s">
        <v>7455</v>
      </c>
    </row>
    <row r="225" spans="1:11" x14ac:dyDescent="0.3">
      <c r="A225" s="1">
        <v>224</v>
      </c>
      <c r="B225" s="1" t="s">
        <v>612</v>
      </c>
      <c r="C225" s="1" t="s">
        <v>613</v>
      </c>
      <c r="D225" s="1" t="s">
        <v>614</v>
      </c>
      <c r="F225" s="1" t="s">
        <v>615</v>
      </c>
      <c r="G225" s="1">
        <v>1</v>
      </c>
      <c r="H225" s="7">
        <v>45560</v>
      </c>
      <c r="I225" s="1" t="s">
        <v>7455</v>
      </c>
      <c r="J225" s="7">
        <v>45560</v>
      </c>
      <c r="K225" s="1" t="s">
        <v>7455</v>
      </c>
    </row>
    <row r="226" spans="1:11" x14ac:dyDescent="0.3">
      <c r="A226" s="1">
        <v>225</v>
      </c>
      <c r="B226" s="1" t="s">
        <v>616</v>
      </c>
      <c r="C226" s="1" t="s">
        <v>617</v>
      </c>
      <c r="F226" s="1" t="s">
        <v>618</v>
      </c>
      <c r="G226" s="1">
        <v>1</v>
      </c>
      <c r="H226" s="7">
        <v>45560</v>
      </c>
      <c r="I226" s="1" t="s">
        <v>7455</v>
      </c>
      <c r="J226" s="7">
        <v>45560</v>
      </c>
      <c r="K226" s="1" t="s">
        <v>7455</v>
      </c>
    </row>
    <row r="227" spans="1:11" x14ac:dyDescent="0.3">
      <c r="A227" s="1">
        <v>226</v>
      </c>
      <c r="B227" s="1" t="s">
        <v>619</v>
      </c>
      <c r="C227" s="1" t="s">
        <v>620</v>
      </c>
      <c r="F227" s="1" t="s">
        <v>621</v>
      </c>
      <c r="G227" s="1">
        <v>1</v>
      </c>
      <c r="H227" s="7">
        <v>45560</v>
      </c>
      <c r="I227" s="1" t="s">
        <v>7455</v>
      </c>
      <c r="J227" s="7">
        <v>45560</v>
      </c>
      <c r="K227" s="1" t="s">
        <v>7455</v>
      </c>
    </row>
    <row r="228" spans="1:11" x14ac:dyDescent="0.3">
      <c r="A228" s="1">
        <v>227</v>
      </c>
      <c r="B228" s="1" t="s">
        <v>622</v>
      </c>
      <c r="C228" s="1" t="s">
        <v>623</v>
      </c>
      <c r="F228" s="1" t="s">
        <v>624</v>
      </c>
      <c r="G228" s="1">
        <v>1</v>
      </c>
      <c r="H228" s="7">
        <v>45560</v>
      </c>
      <c r="I228" s="1" t="s">
        <v>7455</v>
      </c>
      <c r="J228" s="7">
        <v>45560</v>
      </c>
      <c r="K228" s="1" t="s">
        <v>7455</v>
      </c>
    </row>
    <row r="229" spans="1:11" x14ac:dyDescent="0.3">
      <c r="A229" s="1">
        <v>228</v>
      </c>
      <c r="B229" s="1" t="s">
        <v>625</v>
      </c>
      <c r="C229" s="1" t="s">
        <v>626</v>
      </c>
      <c r="D229" s="1" t="s">
        <v>627</v>
      </c>
      <c r="G229" s="1">
        <v>1</v>
      </c>
      <c r="H229" s="7">
        <v>45560</v>
      </c>
      <c r="I229" s="1" t="s">
        <v>7455</v>
      </c>
      <c r="J229" s="7">
        <v>45560</v>
      </c>
      <c r="K229" s="1" t="s">
        <v>7455</v>
      </c>
    </row>
    <row r="230" spans="1:11" x14ac:dyDescent="0.3">
      <c r="A230" s="1">
        <v>229</v>
      </c>
      <c r="B230" s="1" t="s">
        <v>628</v>
      </c>
      <c r="C230" s="1" t="s">
        <v>629</v>
      </c>
      <c r="F230" s="1" t="s">
        <v>630</v>
      </c>
      <c r="G230" s="1">
        <v>1</v>
      </c>
      <c r="H230" s="7">
        <v>45560</v>
      </c>
      <c r="I230" s="1" t="s">
        <v>7455</v>
      </c>
      <c r="J230" s="7">
        <v>45560</v>
      </c>
      <c r="K230" s="1" t="s">
        <v>7455</v>
      </c>
    </row>
    <row r="231" spans="1:11" ht="28.8" x14ac:dyDescent="0.3">
      <c r="A231" s="1">
        <v>230</v>
      </c>
      <c r="B231" s="1" t="s">
        <v>631</v>
      </c>
      <c r="C231" s="1" t="s">
        <v>632</v>
      </c>
      <c r="D231" s="8" t="s">
        <v>633</v>
      </c>
      <c r="E231" s="1" t="s">
        <v>73</v>
      </c>
      <c r="F231" s="1" t="s">
        <v>634</v>
      </c>
      <c r="G231" s="1">
        <v>1</v>
      </c>
      <c r="H231" s="7">
        <v>45560</v>
      </c>
      <c r="I231" s="1" t="s">
        <v>7455</v>
      </c>
      <c r="J231" s="7">
        <v>45560</v>
      </c>
      <c r="K231" s="1" t="s">
        <v>7455</v>
      </c>
    </row>
    <row r="232" spans="1:11" x14ac:dyDescent="0.3">
      <c r="A232" s="1">
        <v>231</v>
      </c>
      <c r="B232" s="1" t="s">
        <v>635</v>
      </c>
      <c r="C232" s="1" t="s">
        <v>636</v>
      </c>
      <c r="F232" s="1" t="s">
        <v>637</v>
      </c>
      <c r="G232" s="1">
        <v>1</v>
      </c>
      <c r="H232" s="7">
        <v>45560</v>
      </c>
      <c r="I232" s="1" t="s">
        <v>7455</v>
      </c>
      <c r="J232" s="7">
        <v>45560</v>
      </c>
      <c r="K232" s="1" t="s">
        <v>7455</v>
      </c>
    </row>
    <row r="233" spans="1:11" x14ac:dyDescent="0.3">
      <c r="A233" s="1">
        <v>232</v>
      </c>
      <c r="B233" s="1" t="s">
        <v>638</v>
      </c>
      <c r="C233" s="1" t="s">
        <v>639</v>
      </c>
      <c r="F233" s="1" t="s">
        <v>640</v>
      </c>
      <c r="G233" s="1">
        <v>1</v>
      </c>
      <c r="H233" s="7">
        <v>45560</v>
      </c>
      <c r="I233" s="1" t="s">
        <v>7455</v>
      </c>
      <c r="J233" s="7">
        <v>45560</v>
      </c>
      <c r="K233" s="1" t="s">
        <v>7455</v>
      </c>
    </row>
    <row r="234" spans="1:11" x14ac:dyDescent="0.3">
      <c r="A234" s="1">
        <v>233</v>
      </c>
      <c r="B234" s="1" t="s">
        <v>641</v>
      </c>
      <c r="C234" s="1" t="s">
        <v>642</v>
      </c>
      <c r="D234" s="1" t="s">
        <v>643</v>
      </c>
      <c r="F234" s="1" t="s">
        <v>644</v>
      </c>
      <c r="G234" s="1">
        <v>1</v>
      </c>
      <c r="H234" s="7">
        <v>45560</v>
      </c>
      <c r="I234" s="1" t="s">
        <v>7455</v>
      </c>
      <c r="J234" s="7">
        <v>45560</v>
      </c>
      <c r="K234" s="1" t="s">
        <v>7455</v>
      </c>
    </row>
    <row r="235" spans="1:11" x14ac:dyDescent="0.3">
      <c r="A235" s="1">
        <v>234</v>
      </c>
      <c r="B235" s="1" t="s">
        <v>645</v>
      </c>
      <c r="C235" s="1" t="s">
        <v>646</v>
      </c>
      <c r="F235" s="1" t="s">
        <v>647</v>
      </c>
      <c r="G235" s="1">
        <v>1</v>
      </c>
      <c r="H235" s="7">
        <v>45560</v>
      </c>
      <c r="I235" s="1" t="s">
        <v>7455</v>
      </c>
      <c r="J235" s="7">
        <v>45560</v>
      </c>
      <c r="K235" s="1" t="s">
        <v>7455</v>
      </c>
    </row>
    <row r="236" spans="1:11" x14ac:dyDescent="0.3">
      <c r="A236" s="1">
        <v>235</v>
      </c>
      <c r="B236" s="1" t="s">
        <v>648</v>
      </c>
      <c r="C236" s="1" t="s">
        <v>649</v>
      </c>
      <c r="F236" s="1" t="s">
        <v>650</v>
      </c>
      <c r="G236" s="1">
        <v>1</v>
      </c>
      <c r="H236" s="7">
        <v>45560</v>
      </c>
      <c r="I236" s="1" t="s">
        <v>7455</v>
      </c>
      <c r="J236" s="7">
        <v>45560</v>
      </c>
      <c r="K236" s="1" t="s">
        <v>7455</v>
      </c>
    </row>
    <row r="237" spans="1:11" x14ac:dyDescent="0.3">
      <c r="A237" s="1">
        <v>236</v>
      </c>
      <c r="B237" s="1" t="s">
        <v>651</v>
      </c>
      <c r="C237" s="1" t="s">
        <v>652</v>
      </c>
      <c r="F237" s="1" t="s">
        <v>653</v>
      </c>
      <c r="G237" s="1">
        <v>1</v>
      </c>
      <c r="H237" s="7">
        <v>45560</v>
      </c>
      <c r="I237" s="1" t="s">
        <v>7455</v>
      </c>
      <c r="J237" s="7">
        <v>45560</v>
      </c>
      <c r="K237" s="1" t="s">
        <v>7455</v>
      </c>
    </row>
    <row r="238" spans="1:11" x14ac:dyDescent="0.3">
      <c r="A238" s="1">
        <v>237</v>
      </c>
      <c r="B238" s="1" t="s">
        <v>654</v>
      </c>
      <c r="C238" s="1" t="s">
        <v>655</v>
      </c>
      <c r="D238" s="1" t="s">
        <v>656</v>
      </c>
      <c r="F238" s="1" t="s">
        <v>657</v>
      </c>
      <c r="G238" s="1">
        <v>1</v>
      </c>
      <c r="H238" s="7">
        <v>45560</v>
      </c>
      <c r="I238" s="1" t="s">
        <v>7455</v>
      </c>
      <c r="J238" s="7">
        <v>45560</v>
      </c>
      <c r="K238" s="1" t="s">
        <v>7455</v>
      </c>
    </row>
    <row r="239" spans="1:11" x14ac:dyDescent="0.3">
      <c r="A239" s="1">
        <v>238</v>
      </c>
      <c r="B239" s="1" t="s">
        <v>658</v>
      </c>
      <c r="C239" s="1" t="s">
        <v>659</v>
      </c>
      <c r="D239" s="1" t="s">
        <v>660</v>
      </c>
      <c r="G239" s="1">
        <v>1</v>
      </c>
      <c r="H239" s="7">
        <v>45560</v>
      </c>
      <c r="I239" s="1" t="s">
        <v>7455</v>
      </c>
      <c r="J239" s="7">
        <v>45560</v>
      </c>
      <c r="K239" s="1" t="s">
        <v>7455</v>
      </c>
    </row>
    <row r="240" spans="1:11" x14ac:dyDescent="0.3">
      <c r="A240" s="1">
        <v>239</v>
      </c>
      <c r="B240" s="1" t="s">
        <v>661</v>
      </c>
      <c r="C240" s="1" t="s">
        <v>662</v>
      </c>
      <c r="D240" s="1" t="s">
        <v>663</v>
      </c>
      <c r="F240" s="1" t="s">
        <v>664</v>
      </c>
      <c r="G240" s="1">
        <v>1</v>
      </c>
      <c r="H240" s="7">
        <v>45560</v>
      </c>
      <c r="I240" s="1" t="s">
        <v>7455</v>
      </c>
      <c r="J240" s="7">
        <v>45560</v>
      </c>
      <c r="K240" s="1" t="s">
        <v>7455</v>
      </c>
    </row>
    <row r="241" spans="1:11" x14ac:dyDescent="0.3">
      <c r="A241" s="1">
        <v>240</v>
      </c>
      <c r="B241" s="1" t="s">
        <v>665</v>
      </c>
      <c r="C241" s="1" t="s">
        <v>666</v>
      </c>
      <c r="D241" s="1" t="s">
        <v>667</v>
      </c>
      <c r="F241" s="1" t="s">
        <v>668</v>
      </c>
      <c r="G241" s="1">
        <v>1</v>
      </c>
      <c r="H241" s="7">
        <v>45560</v>
      </c>
      <c r="I241" s="1" t="s">
        <v>7455</v>
      </c>
      <c r="J241" s="7">
        <v>45560</v>
      </c>
      <c r="K241" s="1" t="s">
        <v>7455</v>
      </c>
    </row>
    <row r="242" spans="1:11" x14ac:dyDescent="0.3">
      <c r="A242" s="1">
        <v>241</v>
      </c>
      <c r="B242" s="1" t="s">
        <v>669</v>
      </c>
      <c r="C242" s="1" t="s">
        <v>670</v>
      </c>
      <c r="D242" s="1" t="s">
        <v>671</v>
      </c>
      <c r="G242" s="1">
        <v>1</v>
      </c>
      <c r="H242" s="7">
        <v>45560</v>
      </c>
      <c r="I242" s="1" t="s">
        <v>7455</v>
      </c>
      <c r="J242" s="7">
        <v>45560</v>
      </c>
      <c r="K242" s="1" t="s">
        <v>7455</v>
      </c>
    </row>
    <row r="243" spans="1:11" x14ac:dyDescent="0.3">
      <c r="A243" s="1">
        <v>242</v>
      </c>
      <c r="B243" s="1" t="s">
        <v>672</v>
      </c>
      <c r="C243" s="1" t="s">
        <v>673</v>
      </c>
      <c r="D243" s="1" t="s">
        <v>674</v>
      </c>
      <c r="F243" s="1" t="s">
        <v>675</v>
      </c>
      <c r="G243" s="1">
        <v>1</v>
      </c>
      <c r="H243" s="7">
        <v>45560</v>
      </c>
      <c r="I243" s="1" t="s">
        <v>7455</v>
      </c>
      <c r="J243" s="7">
        <v>45560</v>
      </c>
      <c r="K243" s="1" t="s">
        <v>7455</v>
      </c>
    </row>
    <row r="244" spans="1:11" x14ac:dyDescent="0.3">
      <c r="A244" s="1">
        <v>243</v>
      </c>
      <c r="B244" s="1" t="s">
        <v>676</v>
      </c>
      <c r="C244" s="1" t="s">
        <v>677</v>
      </c>
      <c r="D244" s="1" t="s">
        <v>678</v>
      </c>
      <c r="F244" s="1" t="s">
        <v>679</v>
      </c>
      <c r="G244" s="1">
        <v>1</v>
      </c>
      <c r="H244" s="7">
        <v>45560</v>
      </c>
      <c r="I244" s="1" t="s">
        <v>7455</v>
      </c>
      <c r="J244" s="7">
        <v>45560</v>
      </c>
      <c r="K244" s="1" t="s">
        <v>7455</v>
      </c>
    </row>
    <row r="245" spans="1:11" x14ac:dyDescent="0.3">
      <c r="A245" s="1">
        <v>244</v>
      </c>
      <c r="B245" s="1" t="s">
        <v>680</v>
      </c>
      <c r="C245" s="1" t="s">
        <v>681</v>
      </c>
      <c r="D245" s="1" t="s">
        <v>682</v>
      </c>
      <c r="G245" s="1">
        <v>1</v>
      </c>
      <c r="H245" s="7">
        <v>45560</v>
      </c>
      <c r="I245" s="1" t="s">
        <v>7455</v>
      </c>
      <c r="J245" s="7">
        <v>45560</v>
      </c>
      <c r="K245" s="1" t="s">
        <v>7455</v>
      </c>
    </row>
    <row r="246" spans="1:11" x14ac:dyDescent="0.3">
      <c r="A246" s="1">
        <v>245</v>
      </c>
      <c r="B246" s="1" t="s">
        <v>683</v>
      </c>
      <c r="C246" s="1" t="s">
        <v>684</v>
      </c>
      <c r="D246" s="1" t="s">
        <v>685</v>
      </c>
      <c r="G246" s="1">
        <v>1</v>
      </c>
      <c r="H246" s="7">
        <v>45560</v>
      </c>
      <c r="I246" s="1" t="s">
        <v>7455</v>
      </c>
      <c r="J246" s="7">
        <v>45560</v>
      </c>
      <c r="K246" s="1" t="s">
        <v>7455</v>
      </c>
    </row>
    <row r="247" spans="1:11" x14ac:dyDescent="0.3">
      <c r="A247" s="1">
        <v>246</v>
      </c>
      <c r="B247" s="1" t="s">
        <v>686</v>
      </c>
      <c r="C247" s="1" t="s">
        <v>687</v>
      </c>
      <c r="E247" s="1" t="s">
        <v>52</v>
      </c>
      <c r="G247" s="1">
        <v>1</v>
      </c>
      <c r="H247" s="7">
        <v>45560</v>
      </c>
      <c r="I247" s="1" t="s">
        <v>7455</v>
      </c>
      <c r="J247" s="7">
        <v>45560</v>
      </c>
      <c r="K247" s="1" t="s">
        <v>7455</v>
      </c>
    </row>
    <row r="248" spans="1:11" x14ac:dyDescent="0.3">
      <c r="A248" s="1">
        <v>247</v>
      </c>
      <c r="B248" s="1" t="s">
        <v>688</v>
      </c>
      <c r="C248" s="1" t="s">
        <v>689</v>
      </c>
      <c r="D248" s="1" t="s">
        <v>690</v>
      </c>
      <c r="F248" s="1" t="s">
        <v>691</v>
      </c>
      <c r="G248" s="1">
        <v>1</v>
      </c>
      <c r="H248" s="7">
        <v>45560</v>
      </c>
      <c r="I248" s="1" t="s">
        <v>7455</v>
      </c>
      <c r="J248" s="7">
        <v>45560</v>
      </c>
      <c r="K248" s="1" t="s">
        <v>7455</v>
      </c>
    </row>
    <row r="249" spans="1:11" x14ac:dyDescent="0.3">
      <c r="A249" s="1">
        <v>248</v>
      </c>
      <c r="B249" s="1" t="s">
        <v>692</v>
      </c>
      <c r="C249" s="1" t="s">
        <v>693</v>
      </c>
      <c r="D249" s="1" t="s">
        <v>694</v>
      </c>
      <c r="G249" s="1">
        <v>1</v>
      </c>
      <c r="H249" s="7">
        <v>45560</v>
      </c>
      <c r="I249" s="1" t="s">
        <v>7455</v>
      </c>
      <c r="J249" s="7">
        <v>45560</v>
      </c>
      <c r="K249" s="1" t="s">
        <v>7455</v>
      </c>
    </row>
    <row r="250" spans="1:11" x14ac:dyDescent="0.3">
      <c r="A250" s="1">
        <v>249</v>
      </c>
      <c r="B250" s="1" t="s">
        <v>695</v>
      </c>
      <c r="C250" s="1" t="s">
        <v>696</v>
      </c>
      <c r="D250" s="1" t="s">
        <v>697</v>
      </c>
      <c r="F250" s="1" t="s">
        <v>698</v>
      </c>
      <c r="G250" s="1">
        <v>1</v>
      </c>
      <c r="H250" s="7">
        <v>45560</v>
      </c>
      <c r="I250" s="1" t="s">
        <v>7455</v>
      </c>
      <c r="J250" s="7">
        <v>45560</v>
      </c>
      <c r="K250" s="1" t="s">
        <v>7455</v>
      </c>
    </row>
    <row r="251" spans="1:11" x14ac:dyDescent="0.3">
      <c r="A251" s="1">
        <v>250</v>
      </c>
      <c r="B251" s="1" t="s">
        <v>699</v>
      </c>
      <c r="C251" s="1" t="s">
        <v>700</v>
      </c>
      <c r="D251" s="1" t="s">
        <v>701</v>
      </c>
      <c r="F251" s="1" t="s">
        <v>702</v>
      </c>
      <c r="G251" s="1">
        <v>1</v>
      </c>
      <c r="H251" s="7">
        <v>45560</v>
      </c>
      <c r="I251" s="1" t="s">
        <v>7455</v>
      </c>
      <c r="J251" s="7">
        <v>45560</v>
      </c>
      <c r="K251" s="1" t="s">
        <v>7455</v>
      </c>
    </row>
    <row r="252" spans="1:11" x14ac:dyDescent="0.3">
      <c r="A252" s="1">
        <v>251</v>
      </c>
      <c r="B252" s="1" t="s">
        <v>703</v>
      </c>
      <c r="C252" s="1" t="s">
        <v>704</v>
      </c>
      <c r="D252" s="1" t="s">
        <v>705</v>
      </c>
      <c r="F252" s="1" t="s">
        <v>706</v>
      </c>
      <c r="G252" s="1">
        <v>1</v>
      </c>
      <c r="H252" s="7">
        <v>45560</v>
      </c>
      <c r="I252" s="1" t="s">
        <v>7455</v>
      </c>
      <c r="J252" s="7">
        <v>45560</v>
      </c>
      <c r="K252" s="1" t="s">
        <v>7455</v>
      </c>
    </row>
    <row r="253" spans="1:11" x14ac:dyDescent="0.3">
      <c r="A253" s="1">
        <v>252</v>
      </c>
      <c r="B253" s="1" t="s">
        <v>707</v>
      </c>
      <c r="C253" s="1" t="s">
        <v>708</v>
      </c>
      <c r="E253" s="1" t="s">
        <v>52</v>
      </c>
      <c r="G253" s="1">
        <v>1</v>
      </c>
      <c r="H253" s="7">
        <v>45560</v>
      </c>
      <c r="I253" s="1" t="s">
        <v>7455</v>
      </c>
      <c r="J253" s="7">
        <v>45560</v>
      </c>
      <c r="K253" s="1" t="s">
        <v>7455</v>
      </c>
    </row>
    <row r="254" spans="1:11" x14ac:dyDescent="0.3">
      <c r="A254" s="1">
        <v>253</v>
      </c>
      <c r="B254" s="1" t="s">
        <v>709</v>
      </c>
      <c r="C254" s="1" t="s">
        <v>710</v>
      </c>
      <c r="F254" s="1" t="s">
        <v>711</v>
      </c>
      <c r="G254" s="1">
        <v>1</v>
      </c>
      <c r="H254" s="7">
        <v>45560</v>
      </c>
      <c r="I254" s="1" t="s">
        <v>7455</v>
      </c>
      <c r="J254" s="7">
        <v>45560</v>
      </c>
      <c r="K254" s="1" t="s">
        <v>7455</v>
      </c>
    </row>
    <row r="255" spans="1:11" x14ac:dyDescent="0.3">
      <c r="A255" s="1">
        <v>254</v>
      </c>
      <c r="B255" s="1" t="s">
        <v>712</v>
      </c>
      <c r="C255" s="1" t="s">
        <v>713</v>
      </c>
      <c r="D255" s="1" t="s">
        <v>714</v>
      </c>
      <c r="G255" s="1">
        <v>1</v>
      </c>
      <c r="H255" s="7">
        <v>45560</v>
      </c>
      <c r="I255" s="1" t="s">
        <v>7455</v>
      </c>
      <c r="J255" s="7">
        <v>45560</v>
      </c>
      <c r="K255" s="1" t="s">
        <v>7455</v>
      </c>
    </row>
    <row r="256" spans="1:11" x14ac:dyDescent="0.3">
      <c r="A256" s="1">
        <v>255</v>
      </c>
      <c r="B256" s="1" t="s">
        <v>715</v>
      </c>
      <c r="C256" s="1" t="s">
        <v>716</v>
      </c>
      <c r="E256" s="1" t="s">
        <v>52</v>
      </c>
      <c r="G256" s="1">
        <v>1</v>
      </c>
      <c r="H256" s="7">
        <v>45560</v>
      </c>
      <c r="I256" s="1" t="s">
        <v>7455</v>
      </c>
      <c r="J256" s="7">
        <v>45560</v>
      </c>
      <c r="K256" s="1" t="s">
        <v>7455</v>
      </c>
    </row>
    <row r="257" spans="1:11" x14ac:dyDescent="0.3">
      <c r="A257" s="1">
        <v>256</v>
      </c>
      <c r="B257" s="1" t="s">
        <v>717</v>
      </c>
      <c r="C257" s="1" t="s">
        <v>718</v>
      </c>
      <c r="D257" s="1" t="s">
        <v>719</v>
      </c>
      <c r="E257" s="1" t="s">
        <v>73</v>
      </c>
      <c r="F257" s="1" t="s">
        <v>720</v>
      </c>
      <c r="G257" s="1">
        <v>1</v>
      </c>
      <c r="H257" s="7">
        <v>45560</v>
      </c>
      <c r="I257" s="1" t="s">
        <v>7455</v>
      </c>
      <c r="J257" s="7">
        <v>45560</v>
      </c>
      <c r="K257" s="1" t="s">
        <v>7455</v>
      </c>
    </row>
    <row r="258" spans="1:11" x14ac:dyDescent="0.3">
      <c r="A258" s="1">
        <v>257</v>
      </c>
      <c r="B258" s="1" t="s">
        <v>721</v>
      </c>
      <c r="C258" s="1" t="s">
        <v>722</v>
      </c>
      <c r="D258" s="1" t="s">
        <v>723</v>
      </c>
      <c r="G258" s="1">
        <v>1</v>
      </c>
      <c r="H258" s="7">
        <v>45560</v>
      </c>
      <c r="I258" s="1" t="s">
        <v>7455</v>
      </c>
      <c r="J258" s="7">
        <v>45560</v>
      </c>
      <c r="K258" s="1" t="s">
        <v>7455</v>
      </c>
    </row>
    <row r="259" spans="1:11" x14ac:dyDescent="0.3">
      <c r="A259" s="1">
        <v>258</v>
      </c>
      <c r="B259" s="1" t="s">
        <v>724</v>
      </c>
      <c r="C259" s="1" t="s">
        <v>725</v>
      </c>
      <c r="D259" s="1" t="s">
        <v>726</v>
      </c>
      <c r="G259" s="1">
        <v>1</v>
      </c>
      <c r="H259" s="7">
        <v>45560</v>
      </c>
      <c r="I259" s="1" t="s">
        <v>7455</v>
      </c>
      <c r="J259" s="7">
        <v>45560</v>
      </c>
      <c r="K259" s="1" t="s">
        <v>7455</v>
      </c>
    </row>
    <row r="260" spans="1:11" x14ac:dyDescent="0.3">
      <c r="A260" s="1">
        <v>259</v>
      </c>
      <c r="B260" s="1" t="s">
        <v>727</v>
      </c>
      <c r="C260" s="1" t="s">
        <v>728</v>
      </c>
      <c r="D260" s="1" t="s">
        <v>729</v>
      </c>
      <c r="G260" s="1">
        <v>1</v>
      </c>
      <c r="H260" s="7">
        <v>45560</v>
      </c>
      <c r="I260" s="1" t="s">
        <v>7455</v>
      </c>
      <c r="J260" s="7">
        <v>45560</v>
      </c>
      <c r="K260" s="1" t="s">
        <v>7455</v>
      </c>
    </row>
    <row r="261" spans="1:11" x14ac:dyDescent="0.3">
      <c r="A261" s="1">
        <v>260</v>
      </c>
      <c r="B261" s="1" t="s">
        <v>730</v>
      </c>
      <c r="C261" s="1" t="s">
        <v>731</v>
      </c>
      <c r="D261" s="1" t="s">
        <v>732</v>
      </c>
      <c r="F261" s="1" t="s">
        <v>733</v>
      </c>
      <c r="G261" s="1">
        <v>1</v>
      </c>
      <c r="H261" s="7">
        <v>45560</v>
      </c>
      <c r="I261" s="1" t="s">
        <v>7455</v>
      </c>
      <c r="J261" s="7">
        <v>45560</v>
      </c>
      <c r="K261" s="1" t="s">
        <v>7455</v>
      </c>
    </row>
    <row r="262" spans="1:11" x14ac:dyDescent="0.3">
      <c r="A262" s="1">
        <v>261</v>
      </c>
      <c r="B262" s="1" t="s">
        <v>734</v>
      </c>
      <c r="C262" s="1" t="s">
        <v>735</v>
      </c>
      <c r="E262" s="1" t="s">
        <v>73</v>
      </c>
      <c r="F262" s="1" t="s">
        <v>736</v>
      </c>
      <c r="G262" s="1">
        <v>1</v>
      </c>
      <c r="H262" s="7">
        <v>45560</v>
      </c>
      <c r="I262" s="1" t="s">
        <v>7455</v>
      </c>
      <c r="J262" s="7">
        <v>45560</v>
      </c>
      <c r="K262" s="1" t="s">
        <v>7455</v>
      </c>
    </row>
    <row r="263" spans="1:11" x14ac:dyDescent="0.3">
      <c r="A263" s="1">
        <v>262</v>
      </c>
      <c r="B263" s="1" t="s">
        <v>737</v>
      </c>
      <c r="C263" s="1" t="s">
        <v>738</v>
      </c>
      <c r="E263" s="1" t="s">
        <v>52</v>
      </c>
      <c r="G263" s="1">
        <v>1</v>
      </c>
      <c r="H263" s="7">
        <v>45560</v>
      </c>
      <c r="I263" s="1" t="s">
        <v>7455</v>
      </c>
      <c r="J263" s="7">
        <v>45560</v>
      </c>
      <c r="K263" s="1" t="s">
        <v>7455</v>
      </c>
    </row>
    <row r="264" spans="1:11" x14ac:dyDescent="0.3">
      <c r="A264" s="1">
        <v>263</v>
      </c>
      <c r="B264" s="1" t="s">
        <v>739</v>
      </c>
      <c r="C264" s="1" t="s">
        <v>740</v>
      </c>
      <c r="D264" s="1" t="s">
        <v>741</v>
      </c>
      <c r="F264" s="1" t="s">
        <v>739</v>
      </c>
      <c r="G264" s="1">
        <v>1</v>
      </c>
      <c r="H264" s="7">
        <v>45560</v>
      </c>
      <c r="I264" s="1" t="s">
        <v>7455</v>
      </c>
      <c r="J264" s="7">
        <v>45560</v>
      </c>
      <c r="K264" s="1" t="s">
        <v>7455</v>
      </c>
    </row>
    <row r="265" spans="1:11" x14ac:dyDescent="0.3">
      <c r="A265" s="1">
        <v>264</v>
      </c>
      <c r="B265" s="1" t="s">
        <v>742</v>
      </c>
      <c r="C265" s="1" t="s">
        <v>743</v>
      </c>
      <c r="D265" s="1" t="s">
        <v>744</v>
      </c>
      <c r="G265" s="1">
        <v>1</v>
      </c>
      <c r="H265" s="7">
        <v>45560</v>
      </c>
      <c r="I265" s="1" t="s">
        <v>7455</v>
      </c>
      <c r="J265" s="7">
        <v>45560</v>
      </c>
      <c r="K265" s="1" t="s">
        <v>7455</v>
      </c>
    </row>
    <row r="266" spans="1:11" x14ac:dyDescent="0.3">
      <c r="A266" s="1">
        <v>265</v>
      </c>
      <c r="B266" s="1" t="s">
        <v>745</v>
      </c>
      <c r="C266" s="1" t="s">
        <v>746</v>
      </c>
      <c r="F266" s="1" t="s">
        <v>747</v>
      </c>
      <c r="G266" s="1">
        <v>1</v>
      </c>
      <c r="H266" s="7">
        <v>45560</v>
      </c>
      <c r="I266" s="1" t="s">
        <v>7455</v>
      </c>
      <c r="J266" s="7">
        <v>45560</v>
      </c>
      <c r="K266" s="1" t="s">
        <v>7455</v>
      </c>
    </row>
    <row r="267" spans="1:11" x14ac:dyDescent="0.3">
      <c r="A267" s="1">
        <v>266</v>
      </c>
      <c r="B267" s="1" t="s">
        <v>748</v>
      </c>
      <c r="C267" s="1" t="s">
        <v>749</v>
      </c>
      <c r="E267" s="1" t="s">
        <v>52</v>
      </c>
      <c r="F267" s="1" t="s">
        <v>750</v>
      </c>
      <c r="G267" s="1">
        <v>1</v>
      </c>
      <c r="H267" s="7">
        <v>45560</v>
      </c>
      <c r="I267" s="1" t="s">
        <v>7455</v>
      </c>
      <c r="J267" s="7">
        <v>45560</v>
      </c>
      <c r="K267" s="1" t="s">
        <v>7455</v>
      </c>
    </row>
    <row r="268" spans="1:11" x14ac:dyDescent="0.3">
      <c r="A268" s="1">
        <v>267</v>
      </c>
      <c r="B268" s="1" t="s">
        <v>751</v>
      </c>
      <c r="C268" s="1" t="s">
        <v>752</v>
      </c>
      <c r="F268" s="1" t="s">
        <v>753</v>
      </c>
      <c r="G268" s="1">
        <v>1</v>
      </c>
      <c r="H268" s="7">
        <v>45560</v>
      </c>
      <c r="I268" s="1" t="s">
        <v>7455</v>
      </c>
      <c r="J268" s="7">
        <v>45560</v>
      </c>
      <c r="K268" s="1" t="s">
        <v>7455</v>
      </c>
    </row>
    <row r="269" spans="1:11" x14ac:dyDescent="0.3">
      <c r="A269" s="1">
        <v>268</v>
      </c>
      <c r="B269" s="1" t="s">
        <v>754</v>
      </c>
      <c r="C269" s="1" t="s">
        <v>755</v>
      </c>
      <c r="D269" s="1" t="s">
        <v>756</v>
      </c>
      <c r="F269" s="1" t="s">
        <v>757</v>
      </c>
      <c r="G269" s="1">
        <v>1</v>
      </c>
      <c r="H269" s="7">
        <v>45560</v>
      </c>
      <c r="I269" s="1" t="s">
        <v>7455</v>
      </c>
      <c r="J269" s="7">
        <v>45560</v>
      </c>
      <c r="K269" s="1" t="s">
        <v>7455</v>
      </c>
    </row>
    <row r="270" spans="1:11" x14ac:dyDescent="0.3">
      <c r="A270" s="1">
        <v>269</v>
      </c>
      <c r="B270" s="1" t="s">
        <v>758</v>
      </c>
      <c r="C270" s="1" t="s">
        <v>759</v>
      </c>
      <c r="D270" s="1" t="s">
        <v>760</v>
      </c>
      <c r="F270" s="1" t="s">
        <v>761</v>
      </c>
      <c r="G270" s="1">
        <v>1</v>
      </c>
      <c r="H270" s="7">
        <v>45560</v>
      </c>
      <c r="I270" s="1" t="s">
        <v>7455</v>
      </c>
      <c r="J270" s="7">
        <v>45560</v>
      </c>
      <c r="K270" s="1" t="s">
        <v>7455</v>
      </c>
    </row>
    <row r="271" spans="1:11" x14ac:dyDescent="0.3">
      <c r="A271" s="1">
        <v>270</v>
      </c>
      <c r="B271" s="1" t="s">
        <v>762</v>
      </c>
      <c r="C271" s="1" t="s">
        <v>763</v>
      </c>
      <c r="F271" s="1" t="s">
        <v>764</v>
      </c>
      <c r="G271" s="1">
        <v>1</v>
      </c>
      <c r="H271" s="7">
        <v>45560</v>
      </c>
      <c r="I271" s="1" t="s">
        <v>7455</v>
      </c>
      <c r="J271" s="7">
        <v>45560</v>
      </c>
      <c r="K271" s="1" t="s">
        <v>7455</v>
      </c>
    </row>
    <row r="272" spans="1:11" x14ac:dyDescent="0.3">
      <c r="A272" s="1">
        <v>271</v>
      </c>
      <c r="B272" s="1" t="s">
        <v>765</v>
      </c>
      <c r="C272" s="1" t="s">
        <v>766</v>
      </c>
      <c r="D272" s="1" t="s">
        <v>767</v>
      </c>
      <c r="F272" s="1" t="s">
        <v>768</v>
      </c>
      <c r="G272" s="1">
        <v>1</v>
      </c>
      <c r="H272" s="7">
        <v>45560</v>
      </c>
      <c r="I272" s="1" t="s">
        <v>7455</v>
      </c>
      <c r="J272" s="7">
        <v>45560</v>
      </c>
      <c r="K272" s="1" t="s">
        <v>7455</v>
      </c>
    </row>
    <row r="273" spans="1:11" x14ac:dyDescent="0.3">
      <c r="A273" s="1">
        <v>272</v>
      </c>
      <c r="B273" s="1" t="s">
        <v>769</v>
      </c>
      <c r="C273" s="1" t="s">
        <v>770</v>
      </c>
      <c r="F273" s="1" t="s">
        <v>771</v>
      </c>
      <c r="G273" s="1">
        <v>1</v>
      </c>
      <c r="H273" s="7">
        <v>45560</v>
      </c>
      <c r="I273" s="1" t="s">
        <v>7455</v>
      </c>
      <c r="J273" s="7">
        <v>45560</v>
      </c>
      <c r="K273" s="1" t="s">
        <v>7455</v>
      </c>
    </row>
    <row r="274" spans="1:11" x14ac:dyDescent="0.3">
      <c r="A274" s="1">
        <v>273</v>
      </c>
      <c r="B274" s="1" t="s">
        <v>772</v>
      </c>
      <c r="C274" s="1" t="s">
        <v>773</v>
      </c>
      <c r="F274" s="1" t="s">
        <v>774</v>
      </c>
      <c r="G274" s="1">
        <v>1</v>
      </c>
      <c r="H274" s="7">
        <v>45560</v>
      </c>
      <c r="I274" s="1" t="s">
        <v>7455</v>
      </c>
      <c r="J274" s="7">
        <v>45560</v>
      </c>
      <c r="K274" s="1" t="s">
        <v>7455</v>
      </c>
    </row>
    <row r="275" spans="1:11" x14ac:dyDescent="0.3">
      <c r="A275" s="1">
        <v>274</v>
      </c>
      <c r="B275" s="1" t="s">
        <v>775</v>
      </c>
      <c r="C275" s="1" t="s">
        <v>776</v>
      </c>
      <c r="F275" s="1" t="s">
        <v>777</v>
      </c>
      <c r="G275" s="1">
        <v>1</v>
      </c>
      <c r="H275" s="7">
        <v>45560</v>
      </c>
      <c r="I275" s="1" t="s">
        <v>7455</v>
      </c>
      <c r="J275" s="7">
        <v>45560</v>
      </c>
      <c r="K275" s="1" t="s">
        <v>7455</v>
      </c>
    </row>
    <row r="276" spans="1:11" x14ac:dyDescent="0.3">
      <c r="A276" s="1">
        <v>275</v>
      </c>
      <c r="B276" s="1" t="s">
        <v>778</v>
      </c>
      <c r="C276" s="1" t="s">
        <v>779</v>
      </c>
      <c r="D276" s="1" t="s">
        <v>780</v>
      </c>
      <c r="G276" s="1">
        <v>1</v>
      </c>
      <c r="H276" s="7">
        <v>45560</v>
      </c>
      <c r="I276" s="1" t="s">
        <v>7455</v>
      </c>
      <c r="J276" s="7">
        <v>45560</v>
      </c>
      <c r="K276" s="1" t="s">
        <v>7455</v>
      </c>
    </row>
    <row r="277" spans="1:11" x14ac:dyDescent="0.3">
      <c r="A277" s="1">
        <v>276</v>
      </c>
      <c r="B277" s="1" t="s">
        <v>781</v>
      </c>
      <c r="C277" s="1" t="s">
        <v>782</v>
      </c>
      <c r="F277" s="1" t="s">
        <v>783</v>
      </c>
      <c r="G277" s="1">
        <v>1</v>
      </c>
      <c r="H277" s="7">
        <v>45560</v>
      </c>
      <c r="I277" s="1" t="s">
        <v>7455</v>
      </c>
      <c r="J277" s="7">
        <v>45560</v>
      </c>
      <c r="K277" s="1" t="s">
        <v>7455</v>
      </c>
    </row>
    <row r="278" spans="1:11" x14ac:dyDescent="0.3">
      <c r="A278" s="1">
        <v>277</v>
      </c>
      <c r="B278" s="1" t="s">
        <v>784</v>
      </c>
      <c r="C278" s="1" t="s">
        <v>785</v>
      </c>
      <c r="D278" s="1" t="s">
        <v>786</v>
      </c>
      <c r="G278" s="1">
        <v>1</v>
      </c>
      <c r="H278" s="7">
        <v>45560</v>
      </c>
      <c r="I278" s="1" t="s">
        <v>7455</v>
      </c>
      <c r="J278" s="7">
        <v>45560</v>
      </c>
      <c r="K278" s="1" t="s">
        <v>7455</v>
      </c>
    </row>
    <row r="279" spans="1:11" x14ac:dyDescent="0.3">
      <c r="A279" s="1">
        <v>278</v>
      </c>
      <c r="B279" s="1" t="s">
        <v>787</v>
      </c>
      <c r="C279" s="1" t="s">
        <v>788</v>
      </c>
      <c r="E279" s="1" t="s">
        <v>52</v>
      </c>
      <c r="G279" s="1">
        <v>1</v>
      </c>
      <c r="H279" s="7">
        <v>45560</v>
      </c>
      <c r="I279" s="1" t="s">
        <v>7455</v>
      </c>
      <c r="J279" s="7">
        <v>45560</v>
      </c>
      <c r="K279" s="1" t="s">
        <v>7455</v>
      </c>
    </row>
    <row r="280" spans="1:11" x14ac:dyDescent="0.3">
      <c r="A280" s="1">
        <v>279</v>
      </c>
      <c r="B280" s="1" t="s">
        <v>789</v>
      </c>
      <c r="C280" s="1" t="s">
        <v>790</v>
      </c>
      <c r="F280" s="1" t="s">
        <v>791</v>
      </c>
      <c r="G280" s="1">
        <v>1</v>
      </c>
      <c r="H280" s="7">
        <v>45560</v>
      </c>
      <c r="I280" s="1" t="s">
        <v>7455</v>
      </c>
      <c r="J280" s="7">
        <v>45560</v>
      </c>
      <c r="K280" s="1" t="s">
        <v>7455</v>
      </c>
    </row>
    <row r="281" spans="1:11" x14ac:dyDescent="0.3">
      <c r="A281" s="1">
        <v>280</v>
      </c>
      <c r="B281" s="1" t="s">
        <v>792</v>
      </c>
      <c r="C281" s="1" t="s">
        <v>793</v>
      </c>
      <c r="F281" s="1" t="s">
        <v>794</v>
      </c>
      <c r="G281" s="1">
        <v>1</v>
      </c>
      <c r="H281" s="7">
        <v>45560</v>
      </c>
      <c r="I281" s="1" t="s">
        <v>7455</v>
      </c>
      <c r="J281" s="7">
        <v>45560</v>
      </c>
      <c r="K281" s="1" t="s">
        <v>7455</v>
      </c>
    </row>
    <row r="282" spans="1:11" x14ac:dyDescent="0.3">
      <c r="A282" s="1">
        <v>281</v>
      </c>
      <c r="B282" s="1" t="s">
        <v>795</v>
      </c>
      <c r="C282" s="1" t="s">
        <v>796</v>
      </c>
      <c r="F282" s="1" t="s">
        <v>797</v>
      </c>
      <c r="G282" s="1">
        <v>1</v>
      </c>
      <c r="H282" s="7">
        <v>45560</v>
      </c>
      <c r="I282" s="1" t="s">
        <v>7455</v>
      </c>
      <c r="J282" s="7">
        <v>45560</v>
      </c>
      <c r="K282" s="1" t="s">
        <v>7455</v>
      </c>
    </row>
    <row r="283" spans="1:11" x14ac:dyDescent="0.3">
      <c r="A283" s="1">
        <v>282</v>
      </c>
      <c r="B283" s="1" t="s">
        <v>798</v>
      </c>
      <c r="C283" s="1" t="s">
        <v>799</v>
      </c>
      <c r="F283" s="1" t="s">
        <v>800</v>
      </c>
      <c r="G283" s="1">
        <v>1</v>
      </c>
      <c r="H283" s="7">
        <v>45560</v>
      </c>
      <c r="I283" s="1" t="s">
        <v>7455</v>
      </c>
      <c r="J283" s="7">
        <v>45560</v>
      </c>
      <c r="K283" s="1" t="s">
        <v>7455</v>
      </c>
    </row>
    <row r="284" spans="1:11" x14ac:dyDescent="0.3">
      <c r="A284" s="1">
        <v>283</v>
      </c>
      <c r="B284" s="1" t="s">
        <v>801</v>
      </c>
      <c r="C284" s="1" t="s">
        <v>802</v>
      </c>
      <c r="F284" s="1" t="s">
        <v>803</v>
      </c>
      <c r="G284" s="1">
        <v>1</v>
      </c>
      <c r="H284" s="7">
        <v>45560</v>
      </c>
      <c r="I284" s="1" t="s">
        <v>7455</v>
      </c>
      <c r="J284" s="7">
        <v>45560</v>
      </c>
      <c r="K284" s="1" t="s">
        <v>7455</v>
      </c>
    </row>
    <row r="285" spans="1:11" x14ac:dyDescent="0.3">
      <c r="A285" s="1">
        <v>284</v>
      </c>
      <c r="B285" s="1" t="s">
        <v>804</v>
      </c>
      <c r="C285" s="1" t="s">
        <v>805</v>
      </c>
      <c r="F285" s="1" t="s">
        <v>806</v>
      </c>
      <c r="G285" s="1">
        <v>1</v>
      </c>
      <c r="H285" s="7">
        <v>45560</v>
      </c>
      <c r="I285" s="1" t="s">
        <v>7455</v>
      </c>
      <c r="J285" s="7">
        <v>45560</v>
      </c>
      <c r="K285" s="1" t="s">
        <v>7455</v>
      </c>
    </row>
    <row r="286" spans="1:11" x14ac:dyDescent="0.3">
      <c r="A286" s="1">
        <v>285</v>
      </c>
      <c r="B286" s="1" t="s">
        <v>807</v>
      </c>
      <c r="C286" s="1" t="s">
        <v>808</v>
      </c>
      <c r="F286" s="1" t="s">
        <v>809</v>
      </c>
      <c r="G286" s="1">
        <v>1</v>
      </c>
      <c r="H286" s="7">
        <v>45560</v>
      </c>
      <c r="I286" s="1" t="s">
        <v>7455</v>
      </c>
      <c r="J286" s="7">
        <v>45560</v>
      </c>
      <c r="K286" s="1" t="s">
        <v>7455</v>
      </c>
    </row>
    <row r="287" spans="1:11" x14ac:dyDescent="0.3">
      <c r="A287" s="1">
        <v>286</v>
      </c>
      <c r="B287" s="1" t="s">
        <v>810</v>
      </c>
      <c r="C287" s="1" t="s">
        <v>811</v>
      </c>
      <c r="F287" s="1" t="s">
        <v>812</v>
      </c>
      <c r="G287" s="1">
        <v>1</v>
      </c>
      <c r="H287" s="7">
        <v>45560</v>
      </c>
      <c r="I287" s="1" t="s">
        <v>7455</v>
      </c>
      <c r="J287" s="7">
        <v>45560</v>
      </c>
      <c r="K287" s="1" t="s">
        <v>7455</v>
      </c>
    </row>
    <row r="288" spans="1:11" x14ac:dyDescent="0.3">
      <c r="A288" s="1">
        <v>287</v>
      </c>
      <c r="B288" s="1" t="s">
        <v>813</v>
      </c>
      <c r="C288" s="1" t="s">
        <v>814</v>
      </c>
      <c r="F288" s="1" t="s">
        <v>815</v>
      </c>
      <c r="G288" s="1">
        <v>1</v>
      </c>
      <c r="H288" s="7">
        <v>45560</v>
      </c>
      <c r="I288" s="1" t="s">
        <v>7455</v>
      </c>
      <c r="J288" s="7">
        <v>45560</v>
      </c>
      <c r="K288" s="1" t="s">
        <v>7455</v>
      </c>
    </row>
    <row r="289" spans="1:11" x14ac:dyDescent="0.3">
      <c r="A289" s="1">
        <v>288</v>
      </c>
      <c r="B289" s="1" t="s">
        <v>816</v>
      </c>
      <c r="C289" s="1" t="s">
        <v>817</v>
      </c>
      <c r="F289" s="1" t="s">
        <v>818</v>
      </c>
      <c r="G289" s="1">
        <v>1</v>
      </c>
      <c r="H289" s="7">
        <v>45560</v>
      </c>
      <c r="I289" s="1" t="s">
        <v>7455</v>
      </c>
      <c r="J289" s="7">
        <v>45560</v>
      </c>
      <c r="K289" s="1" t="s">
        <v>7455</v>
      </c>
    </row>
    <row r="290" spans="1:11" x14ac:dyDescent="0.3">
      <c r="A290" s="1">
        <v>289</v>
      </c>
      <c r="B290" s="1" t="s">
        <v>819</v>
      </c>
      <c r="C290" s="1" t="s">
        <v>820</v>
      </c>
      <c r="D290" s="1" t="s">
        <v>821</v>
      </c>
      <c r="G290" s="1">
        <v>1</v>
      </c>
      <c r="H290" s="7">
        <v>45560</v>
      </c>
      <c r="I290" s="1" t="s">
        <v>7455</v>
      </c>
      <c r="J290" s="7">
        <v>45560</v>
      </c>
      <c r="K290" s="1" t="s">
        <v>7455</v>
      </c>
    </row>
    <row r="291" spans="1:11" x14ac:dyDescent="0.3">
      <c r="A291" s="1">
        <v>290</v>
      </c>
      <c r="B291" s="1" t="s">
        <v>822</v>
      </c>
      <c r="C291" s="1" t="s">
        <v>823</v>
      </c>
      <c r="D291" s="1" t="s">
        <v>824</v>
      </c>
      <c r="F291" s="1" t="s">
        <v>825</v>
      </c>
      <c r="G291" s="1">
        <v>1</v>
      </c>
      <c r="H291" s="7">
        <v>45560</v>
      </c>
      <c r="I291" s="1" t="s">
        <v>7455</v>
      </c>
      <c r="J291" s="7">
        <v>45560</v>
      </c>
      <c r="K291" s="1" t="s">
        <v>7455</v>
      </c>
    </row>
    <row r="292" spans="1:11" x14ac:dyDescent="0.3">
      <c r="A292" s="1">
        <v>291</v>
      </c>
      <c r="B292" s="1" t="s">
        <v>826</v>
      </c>
      <c r="C292" s="1" t="s">
        <v>827</v>
      </c>
      <c r="F292" s="1" t="s">
        <v>828</v>
      </c>
      <c r="G292" s="1">
        <v>1</v>
      </c>
      <c r="H292" s="7">
        <v>45560</v>
      </c>
      <c r="I292" s="1" t="s">
        <v>7455</v>
      </c>
      <c r="J292" s="7">
        <v>45560</v>
      </c>
      <c r="K292" s="1" t="s">
        <v>7455</v>
      </c>
    </row>
    <row r="293" spans="1:11" x14ac:dyDescent="0.3">
      <c r="A293" s="1">
        <v>292</v>
      </c>
      <c r="B293" s="1" t="s">
        <v>829</v>
      </c>
      <c r="C293" s="1" t="s">
        <v>830</v>
      </c>
      <c r="F293" s="1" t="s">
        <v>831</v>
      </c>
      <c r="G293" s="1">
        <v>1</v>
      </c>
      <c r="H293" s="7">
        <v>45560</v>
      </c>
      <c r="I293" s="1" t="s">
        <v>7455</v>
      </c>
      <c r="J293" s="7">
        <v>45560</v>
      </c>
      <c r="K293" s="1" t="s">
        <v>7455</v>
      </c>
    </row>
    <row r="294" spans="1:11" x14ac:dyDescent="0.3">
      <c r="A294" s="1">
        <v>293</v>
      </c>
      <c r="B294" s="1" t="s">
        <v>832</v>
      </c>
      <c r="C294" s="1" t="s">
        <v>833</v>
      </c>
      <c r="F294" s="1" t="s">
        <v>834</v>
      </c>
      <c r="G294" s="1">
        <v>1</v>
      </c>
      <c r="H294" s="7">
        <v>45560</v>
      </c>
      <c r="I294" s="1" t="s">
        <v>7455</v>
      </c>
      <c r="J294" s="7">
        <v>45560</v>
      </c>
      <c r="K294" s="1" t="s">
        <v>7455</v>
      </c>
    </row>
    <row r="295" spans="1:11" x14ac:dyDescent="0.3">
      <c r="A295" s="1">
        <v>294</v>
      </c>
      <c r="B295" s="1" t="s">
        <v>835</v>
      </c>
      <c r="C295" s="1" t="s">
        <v>836</v>
      </c>
      <c r="F295" s="1" t="s">
        <v>837</v>
      </c>
      <c r="G295" s="1">
        <v>1</v>
      </c>
      <c r="H295" s="7">
        <v>45560</v>
      </c>
      <c r="I295" s="1" t="s">
        <v>7455</v>
      </c>
      <c r="J295" s="7">
        <v>45560</v>
      </c>
      <c r="K295" s="1" t="s">
        <v>7455</v>
      </c>
    </row>
    <row r="296" spans="1:11" x14ac:dyDescent="0.3">
      <c r="A296" s="1">
        <v>295</v>
      </c>
      <c r="B296" s="1" t="s">
        <v>838</v>
      </c>
      <c r="C296" s="1" t="s">
        <v>839</v>
      </c>
      <c r="F296" s="1" t="s">
        <v>840</v>
      </c>
      <c r="G296" s="1">
        <v>1</v>
      </c>
      <c r="H296" s="7">
        <v>45560</v>
      </c>
      <c r="I296" s="1" t="s">
        <v>7455</v>
      </c>
      <c r="J296" s="7">
        <v>45560</v>
      </c>
      <c r="K296" s="1" t="s">
        <v>7455</v>
      </c>
    </row>
    <row r="297" spans="1:11" x14ac:dyDescent="0.3">
      <c r="A297" s="1">
        <v>296</v>
      </c>
      <c r="B297" s="1" t="s">
        <v>841</v>
      </c>
      <c r="C297" s="1" t="s">
        <v>842</v>
      </c>
      <c r="E297" s="1" t="s">
        <v>73</v>
      </c>
      <c r="F297" s="1" t="s">
        <v>843</v>
      </c>
      <c r="G297" s="1">
        <v>1</v>
      </c>
      <c r="H297" s="7">
        <v>45560</v>
      </c>
      <c r="I297" s="1" t="s">
        <v>7455</v>
      </c>
      <c r="J297" s="7">
        <v>45560</v>
      </c>
      <c r="K297" s="1" t="s">
        <v>7455</v>
      </c>
    </row>
    <row r="298" spans="1:11" x14ac:dyDescent="0.3">
      <c r="A298" s="1">
        <v>297</v>
      </c>
      <c r="B298" s="1" t="s">
        <v>844</v>
      </c>
      <c r="C298" s="1" t="s">
        <v>845</v>
      </c>
      <c r="E298" s="1" t="s">
        <v>73</v>
      </c>
      <c r="F298" s="1" t="s">
        <v>846</v>
      </c>
      <c r="G298" s="1">
        <v>1</v>
      </c>
      <c r="H298" s="7">
        <v>45560</v>
      </c>
      <c r="I298" s="1" t="s">
        <v>7455</v>
      </c>
      <c r="J298" s="7">
        <v>45560</v>
      </c>
      <c r="K298" s="1" t="s">
        <v>7455</v>
      </c>
    </row>
    <row r="299" spans="1:11" x14ac:dyDescent="0.3">
      <c r="A299" s="1">
        <v>298</v>
      </c>
      <c r="B299" s="1" t="s">
        <v>847</v>
      </c>
      <c r="C299" s="1" t="s">
        <v>848</v>
      </c>
      <c r="E299" s="1" t="s">
        <v>73</v>
      </c>
      <c r="F299" s="1" t="s">
        <v>849</v>
      </c>
      <c r="G299" s="1">
        <v>1</v>
      </c>
      <c r="H299" s="7">
        <v>45560</v>
      </c>
      <c r="I299" s="1" t="s">
        <v>7455</v>
      </c>
      <c r="J299" s="7">
        <v>45560</v>
      </c>
      <c r="K299" s="1" t="s">
        <v>7455</v>
      </c>
    </row>
    <row r="300" spans="1:11" x14ac:dyDescent="0.3">
      <c r="A300" s="1">
        <v>299</v>
      </c>
      <c r="B300" s="1" t="s">
        <v>850</v>
      </c>
      <c r="C300" s="1" t="s">
        <v>851</v>
      </c>
      <c r="E300" s="1" t="s">
        <v>73</v>
      </c>
      <c r="F300" s="1" t="s">
        <v>852</v>
      </c>
      <c r="G300" s="1">
        <v>1</v>
      </c>
      <c r="H300" s="7">
        <v>45560</v>
      </c>
      <c r="I300" s="1" t="s">
        <v>7455</v>
      </c>
      <c r="J300" s="7">
        <v>45560</v>
      </c>
      <c r="K300" s="1" t="s">
        <v>7455</v>
      </c>
    </row>
    <row r="301" spans="1:11" x14ac:dyDescent="0.3">
      <c r="A301" s="1">
        <v>300</v>
      </c>
      <c r="B301" s="1" t="s">
        <v>853</v>
      </c>
      <c r="C301" s="1" t="s">
        <v>854</v>
      </c>
      <c r="D301" s="1" t="s">
        <v>855</v>
      </c>
      <c r="G301" s="1">
        <v>1</v>
      </c>
      <c r="H301" s="7">
        <v>45560</v>
      </c>
      <c r="I301" s="1" t="s">
        <v>7455</v>
      </c>
      <c r="J301" s="7">
        <v>45560</v>
      </c>
      <c r="K301" s="1" t="s">
        <v>7455</v>
      </c>
    </row>
    <row r="302" spans="1:11" x14ac:dyDescent="0.3">
      <c r="A302" s="1">
        <v>301</v>
      </c>
      <c r="B302" s="1" t="s">
        <v>856</v>
      </c>
      <c r="C302" s="1" t="s">
        <v>857</v>
      </c>
      <c r="E302" s="1" t="s">
        <v>73</v>
      </c>
      <c r="F302" s="1" t="s">
        <v>858</v>
      </c>
      <c r="G302" s="1">
        <v>1</v>
      </c>
      <c r="H302" s="7">
        <v>45560</v>
      </c>
      <c r="I302" s="1" t="s">
        <v>7455</v>
      </c>
      <c r="J302" s="7">
        <v>45560</v>
      </c>
      <c r="K302" s="1" t="s">
        <v>7455</v>
      </c>
    </row>
    <row r="303" spans="1:11" x14ac:dyDescent="0.3">
      <c r="A303" s="1">
        <v>302</v>
      </c>
      <c r="B303" s="1" t="s">
        <v>859</v>
      </c>
      <c r="C303" s="1" t="s">
        <v>860</v>
      </c>
      <c r="F303" s="1" t="s">
        <v>861</v>
      </c>
      <c r="G303" s="1">
        <v>1</v>
      </c>
      <c r="H303" s="7">
        <v>45560</v>
      </c>
      <c r="I303" s="1" t="s">
        <v>7455</v>
      </c>
      <c r="J303" s="7">
        <v>45560</v>
      </c>
      <c r="K303" s="1" t="s">
        <v>7455</v>
      </c>
    </row>
    <row r="304" spans="1:11" x14ac:dyDescent="0.3">
      <c r="A304" s="1">
        <v>303</v>
      </c>
      <c r="B304" s="1" t="s">
        <v>862</v>
      </c>
      <c r="C304" s="1" t="s">
        <v>863</v>
      </c>
      <c r="F304" s="1" t="s">
        <v>864</v>
      </c>
      <c r="G304" s="1">
        <v>1</v>
      </c>
      <c r="H304" s="7">
        <v>45560</v>
      </c>
      <c r="I304" s="1" t="s">
        <v>7455</v>
      </c>
      <c r="J304" s="7">
        <v>45560</v>
      </c>
      <c r="K304" s="1" t="s">
        <v>7455</v>
      </c>
    </row>
    <row r="305" spans="1:11" x14ac:dyDescent="0.3">
      <c r="A305" s="1">
        <v>304</v>
      </c>
      <c r="B305" s="1" t="s">
        <v>865</v>
      </c>
      <c r="C305" s="1" t="s">
        <v>866</v>
      </c>
      <c r="F305" s="1" t="s">
        <v>867</v>
      </c>
      <c r="G305" s="1">
        <v>1</v>
      </c>
      <c r="H305" s="7">
        <v>45560</v>
      </c>
      <c r="I305" s="1" t="s">
        <v>7455</v>
      </c>
      <c r="J305" s="7">
        <v>45560</v>
      </c>
      <c r="K305" s="1" t="s">
        <v>7455</v>
      </c>
    </row>
    <row r="306" spans="1:11" x14ac:dyDescent="0.3">
      <c r="A306" s="1">
        <v>305</v>
      </c>
      <c r="B306" s="1" t="s">
        <v>868</v>
      </c>
      <c r="C306" s="1" t="s">
        <v>869</v>
      </c>
      <c r="F306" s="1" t="s">
        <v>870</v>
      </c>
      <c r="G306" s="1">
        <v>1</v>
      </c>
      <c r="H306" s="7">
        <v>45560</v>
      </c>
      <c r="I306" s="1" t="s">
        <v>7455</v>
      </c>
      <c r="J306" s="7">
        <v>45560</v>
      </c>
      <c r="K306" s="1" t="s">
        <v>7455</v>
      </c>
    </row>
    <row r="307" spans="1:11" x14ac:dyDescent="0.3">
      <c r="A307" s="1">
        <v>306</v>
      </c>
      <c r="B307" s="1" t="s">
        <v>871</v>
      </c>
      <c r="C307" s="1" t="s">
        <v>872</v>
      </c>
      <c r="F307" s="1" t="s">
        <v>873</v>
      </c>
      <c r="G307" s="1">
        <v>1</v>
      </c>
      <c r="H307" s="7">
        <v>45560</v>
      </c>
      <c r="I307" s="1" t="s">
        <v>7455</v>
      </c>
      <c r="J307" s="7">
        <v>45560</v>
      </c>
      <c r="K307" s="1" t="s">
        <v>7455</v>
      </c>
    </row>
    <row r="308" spans="1:11" x14ac:dyDescent="0.3">
      <c r="A308" s="1">
        <v>307</v>
      </c>
      <c r="B308" s="1" t="s">
        <v>874</v>
      </c>
      <c r="C308" s="1" t="s">
        <v>875</v>
      </c>
      <c r="F308" s="1" t="s">
        <v>876</v>
      </c>
      <c r="G308" s="1">
        <v>1</v>
      </c>
      <c r="H308" s="7">
        <v>45560</v>
      </c>
      <c r="I308" s="1" t="s">
        <v>7455</v>
      </c>
      <c r="J308" s="7">
        <v>45560</v>
      </c>
      <c r="K308" s="1" t="s">
        <v>7455</v>
      </c>
    </row>
    <row r="309" spans="1:11" x14ac:dyDescent="0.3">
      <c r="A309" s="1">
        <v>308</v>
      </c>
      <c r="B309" s="1" t="s">
        <v>877</v>
      </c>
      <c r="C309" s="1" t="s">
        <v>878</v>
      </c>
      <c r="F309" s="1" t="s">
        <v>879</v>
      </c>
      <c r="G309" s="1">
        <v>1</v>
      </c>
      <c r="H309" s="7">
        <v>45560</v>
      </c>
      <c r="I309" s="1" t="s">
        <v>7455</v>
      </c>
      <c r="J309" s="7">
        <v>45560</v>
      </c>
      <c r="K309" s="1" t="s">
        <v>7455</v>
      </c>
    </row>
    <row r="310" spans="1:11" x14ac:dyDescent="0.3">
      <c r="A310" s="1">
        <v>309</v>
      </c>
      <c r="B310" s="1" t="s">
        <v>880</v>
      </c>
      <c r="C310" s="1" t="s">
        <v>881</v>
      </c>
      <c r="F310" s="1" t="s">
        <v>882</v>
      </c>
      <c r="G310" s="1">
        <v>1</v>
      </c>
      <c r="H310" s="7">
        <v>45560</v>
      </c>
      <c r="I310" s="1" t="s">
        <v>7455</v>
      </c>
      <c r="J310" s="7">
        <v>45560</v>
      </c>
      <c r="K310" s="1" t="s">
        <v>7455</v>
      </c>
    </row>
    <row r="311" spans="1:11" x14ac:dyDescent="0.3">
      <c r="A311" s="1">
        <v>310</v>
      </c>
      <c r="B311" s="1" t="s">
        <v>883</v>
      </c>
      <c r="C311" s="1" t="s">
        <v>884</v>
      </c>
      <c r="F311" s="1" t="s">
        <v>885</v>
      </c>
      <c r="G311" s="1">
        <v>1</v>
      </c>
      <c r="H311" s="7">
        <v>45560</v>
      </c>
      <c r="I311" s="1" t="s">
        <v>7455</v>
      </c>
      <c r="J311" s="7">
        <v>45560</v>
      </c>
      <c r="K311" s="1" t="s">
        <v>7455</v>
      </c>
    </row>
    <row r="312" spans="1:11" x14ac:dyDescent="0.3">
      <c r="A312" s="1">
        <v>311</v>
      </c>
      <c r="B312" s="1" t="s">
        <v>886</v>
      </c>
      <c r="C312" s="1" t="s">
        <v>887</v>
      </c>
      <c r="E312" s="1" t="s">
        <v>52</v>
      </c>
      <c r="G312" s="1">
        <v>1</v>
      </c>
      <c r="H312" s="7">
        <v>45560</v>
      </c>
      <c r="I312" s="1" t="s">
        <v>7455</v>
      </c>
      <c r="J312" s="7">
        <v>45560</v>
      </c>
      <c r="K312" s="1" t="s">
        <v>7455</v>
      </c>
    </row>
    <row r="313" spans="1:11" x14ac:dyDescent="0.3">
      <c r="A313" s="1">
        <v>312</v>
      </c>
      <c r="B313" s="1" t="s">
        <v>888</v>
      </c>
      <c r="C313" s="1" t="s">
        <v>889</v>
      </c>
      <c r="F313" s="1" t="s">
        <v>890</v>
      </c>
      <c r="G313" s="1">
        <v>1</v>
      </c>
      <c r="H313" s="7">
        <v>45560</v>
      </c>
      <c r="I313" s="1" t="s">
        <v>7455</v>
      </c>
      <c r="J313" s="7">
        <v>45560</v>
      </c>
      <c r="K313" s="1" t="s">
        <v>7455</v>
      </c>
    </row>
    <row r="314" spans="1:11" x14ac:dyDescent="0.3">
      <c r="A314" s="1">
        <v>313</v>
      </c>
      <c r="B314" s="1" t="s">
        <v>891</v>
      </c>
      <c r="C314" s="1" t="s">
        <v>892</v>
      </c>
      <c r="D314" s="1" t="s">
        <v>893</v>
      </c>
      <c r="E314" s="1" t="s">
        <v>73</v>
      </c>
      <c r="F314" s="1" t="s">
        <v>894</v>
      </c>
      <c r="G314" s="1">
        <v>1</v>
      </c>
      <c r="H314" s="7">
        <v>45560</v>
      </c>
      <c r="I314" s="1" t="s">
        <v>7455</v>
      </c>
      <c r="J314" s="7">
        <v>45560</v>
      </c>
      <c r="K314" s="1" t="s">
        <v>7455</v>
      </c>
    </row>
    <row r="315" spans="1:11" x14ac:dyDescent="0.3">
      <c r="A315" s="1">
        <v>314</v>
      </c>
      <c r="B315" s="1" t="s">
        <v>895</v>
      </c>
      <c r="C315" s="1" t="s">
        <v>896</v>
      </c>
      <c r="F315" s="1" t="s">
        <v>897</v>
      </c>
      <c r="G315" s="1">
        <v>1</v>
      </c>
      <c r="H315" s="7">
        <v>45560</v>
      </c>
      <c r="I315" s="1" t="s">
        <v>7455</v>
      </c>
      <c r="J315" s="7">
        <v>45560</v>
      </c>
      <c r="K315" s="1" t="s">
        <v>7455</v>
      </c>
    </row>
    <row r="316" spans="1:11" x14ac:dyDescent="0.3">
      <c r="A316" s="1">
        <v>315</v>
      </c>
      <c r="B316" s="1" t="s">
        <v>898</v>
      </c>
      <c r="C316" s="1" t="s">
        <v>899</v>
      </c>
      <c r="F316" s="1" t="s">
        <v>900</v>
      </c>
      <c r="G316" s="1">
        <v>1</v>
      </c>
      <c r="H316" s="7">
        <v>45560</v>
      </c>
      <c r="I316" s="1" t="s">
        <v>7455</v>
      </c>
      <c r="J316" s="7">
        <v>45560</v>
      </c>
      <c r="K316" s="1" t="s">
        <v>7455</v>
      </c>
    </row>
    <row r="317" spans="1:11" x14ac:dyDescent="0.3">
      <c r="A317" s="1">
        <v>316</v>
      </c>
      <c r="B317" s="1" t="s">
        <v>901</v>
      </c>
      <c r="C317" s="1" t="s">
        <v>902</v>
      </c>
      <c r="F317" s="1" t="s">
        <v>903</v>
      </c>
      <c r="G317" s="1">
        <v>1</v>
      </c>
      <c r="H317" s="7">
        <v>45560</v>
      </c>
      <c r="I317" s="1" t="s">
        <v>7455</v>
      </c>
      <c r="J317" s="7">
        <v>45560</v>
      </c>
      <c r="K317" s="1" t="s">
        <v>7455</v>
      </c>
    </row>
    <row r="318" spans="1:11" x14ac:dyDescent="0.3">
      <c r="A318" s="1">
        <v>317</v>
      </c>
      <c r="B318" s="1" t="s">
        <v>904</v>
      </c>
      <c r="C318" s="1" t="s">
        <v>905</v>
      </c>
      <c r="F318" s="1" t="s">
        <v>906</v>
      </c>
      <c r="G318" s="1">
        <v>1</v>
      </c>
      <c r="H318" s="7">
        <v>45560</v>
      </c>
      <c r="I318" s="1" t="s">
        <v>7455</v>
      </c>
      <c r="J318" s="7">
        <v>45560</v>
      </c>
      <c r="K318" s="1" t="s">
        <v>7455</v>
      </c>
    </row>
    <row r="319" spans="1:11" x14ac:dyDescent="0.3">
      <c r="A319" s="1">
        <v>318</v>
      </c>
      <c r="B319" s="1" t="s">
        <v>907</v>
      </c>
      <c r="C319" s="1" t="s">
        <v>908</v>
      </c>
      <c r="F319" s="1" t="s">
        <v>909</v>
      </c>
      <c r="G319" s="1">
        <v>1</v>
      </c>
      <c r="H319" s="7">
        <v>45560</v>
      </c>
      <c r="I319" s="1" t="s">
        <v>7455</v>
      </c>
      <c r="J319" s="7">
        <v>45560</v>
      </c>
      <c r="K319" s="1" t="s">
        <v>7455</v>
      </c>
    </row>
    <row r="320" spans="1:11" x14ac:dyDescent="0.3">
      <c r="A320" s="1">
        <v>319</v>
      </c>
      <c r="B320" s="1" t="s">
        <v>910</v>
      </c>
      <c r="C320" s="1" t="s">
        <v>911</v>
      </c>
      <c r="D320" s="1" t="s">
        <v>912</v>
      </c>
      <c r="F320" s="1" t="s">
        <v>913</v>
      </c>
      <c r="G320" s="1">
        <v>1</v>
      </c>
      <c r="H320" s="7">
        <v>45560</v>
      </c>
      <c r="I320" s="1" t="s">
        <v>7455</v>
      </c>
      <c r="J320" s="7">
        <v>45560</v>
      </c>
      <c r="K320" s="1" t="s">
        <v>7455</v>
      </c>
    </row>
    <row r="321" spans="1:11" x14ac:dyDescent="0.3">
      <c r="A321" s="1">
        <v>320</v>
      </c>
      <c r="B321" s="1" t="s">
        <v>914</v>
      </c>
      <c r="C321" s="1" t="s">
        <v>915</v>
      </c>
      <c r="F321" s="1" t="s">
        <v>916</v>
      </c>
      <c r="G321" s="1">
        <v>1</v>
      </c>
      <c r="H321" s="7">
        <v>45560</v>
      </c>
      <c r="I321" s="1" t="s">
        <v>7455</v>
      </c>
      <c r="J321" s="7">
        <v>45560</v>
      </c>
      <c r="K321" s="1" t="s">
        <v>7455</v>
      </c>
    </row>
    <row r="322" spans="1:11" x14ac:dyDescent="0.3">
      <c r="A322" s="1">
        <v>321</v>
      </c>
      <c r="B322" s="1" t="s">
        <v>917</v>
      </c>
      <c r="C322" s="1" t="s">
        <v>918</v>
      </c>
      <c r="F322" s="1" t="s">
        <v>919</v>
      </c>
      <c r="G322" s="1">
        <v>1</v>
      </c>
      <c r="H322" s="7">
        <v>45560</v>
      </c>
      <c r="I322" s="1" t="s">
        <v>7455</v>
      </c>
      <c r="J322" s="7">
        <v>45560</v>
      </c>
      <c r="K322" s="1" t="s">
        <v>7455</v>
      </c>
    </row>
    <row r="323" spans="1:11" x14ac:dyDescent="0.3">
      <c r="A323" s="1">
        <v>322</v>
      </c>
      <c r="B323" s="1" t="s">
        <v>920</v>
      </c>
      <c r="C323" s="1" t="s">
        <v>921</v>
      </c>
      <c r="E323" s="1" t="s">
        <v>52</v>
      </c>
      <c r="G323" s="1">
        <v>1</v>
      </c>
      <c r="H323" s="7">
        <v>45560</v>
      </c>
      <c r="I323" s="1" t="s">
        <v>7455</v>
      </c>
      <c r="J323" s="7">
        <v>45560</v>
      </c>
      <c r="K323" s="1" t="s">
        <v>7455</v>
      </c>
    </row>
    <row r="324" spans="1:11" x14ac:dyDescent="0.3">
      <c r="A324" s="1">
        <v>323</v>
      </c>
      <c r="B324" s="1" t="s">
        <v>922</v>
      </c>
      <c r="C324" s="1" t="s">
        <v>923</v>
      </c>
      <c r="F324" s="1" t="s">
        <v>924</v>
      </c>
      <c r="G324" s="1">
        <v>1</v>
      </c>
      <c r="H324" s="7">
        <v>45560</v>
      </c>
      <c r="I324" s="1" t="s">
        <v>7455</v>
      </c>
      <c r="J324" s="7">
        <v>45560</v>
      </c>
      <c r="K324" s="1" t="s">
        <v>7455</v>
      </c>
    </row>
    <row r="325" spans="1:11" x14ac:dyDescent="0.3">
      <c r="A325" s="1">
        <v>324</v>
      </c>
      <c r="B325" s="1" t="s">
        <v>925</v>
      </c>
      <c r="C325" s="1" t="s">
        <v>926</v>
      </c>
      <c r="F325" s="1" t="s">
        <v>927</v>
      </c>
      <c r="G325" s="1">
        <v>1</v>
      </c>
      <c r="H325" s="7">
        <v>45560</v>
      </c>
      <c r="I325" s="1" t="s">
        <v>7455</v>
      </c>
      <c r="J325" s="7">
        <v>45560</v>
      </c>
      <c r="K325" s="1" t="s">
        <v>7455</v>
      </c>
    </row>
    <row r="326" spans="1:11" x14ac:dyDescent="0.3">
      <c r="A326" s="1">
        <v>325</v>
      </c>
      <c r="B326" s="1" t="s">
        <v>928</v>
      </c>
      <c r="C326" s="1" t="s">
        <v>929</v>
      </c>
      <c r="F326" s="1" t="s">
        <v>930</v>
      </c>
      <c r="G326" s="1">
        <v>1</v>
      </c>
      <c r="H326" s="7">
        <v>45560</v>
      </c>
      <c r="I326" s="1" t="s">
        <v>7455</v>
      </c>
      <c r="J326" s="7">
        <v>45560</v>
      </c>
      <c r="K326" s="1" t="s">
        <v>7455</v>
      </c>
    </row>
    <row r="327" spans="1:11" x14ac:dyDescent="0.3">
      <c r="A327" s="1">
        <v>326</v>
      </c>
      <c r="B327" s="1" t="s">
        <v>931</v>
      </c>
      <c r="C327" s="1" t="s">
        <v>932</v>
      </c>
      <c r="F327" s="1" t="s">
        <v>933</v>
      </c>
      <c r="G327" s="1">
        <v>1</v>
      </c>
      <c r="H327" s="7">
        <v>45560</v>
      </c>
      <c r="I327" s="1" t="s">
        <v>7455</v>
      </c>
      <c r="J327" s="7">
        <v>45560</v>
      </c>
      <c r="K327" s="1" t="s">
        <v>7455</v>
      </c>
    </row>
    <row r="328" spans="1:11" x14ac:dyDescent="0.3">
      <c r="A328" s="1">
        <v>327</v>
      </c>
      <c r="B328" s="1" t="s">
        <v>934</v>
      </c>
      <c r="C328" s="1" t="s">
        <v>935</v>
      </c>
      <c r="F328" s="1" t="s">
        <v>936</v>
      </c>
      <c r="G328" s="1">
        <v>1</v>
      </c>
      <c r="H328" s="7">
        <v>45560</v>
      </c>
      <c r="I328" s="1" t="s">
        <v>7455</v>
      </c>
      <c r="J328" s="7">
        <v>45560</v>
      </c>
      <c r="K328" s="1" t="s">
        <v>7455</v>
      </c>
    </row>
    <row r="329" spans="1:11" x14ac:dyDescent="0.3">
      <c r="A329" s="1">
        <v>328</v>
      </c>
      <c r="B329" s="1" t="s">
        <v>937</v>
      </c>
      <c r="C329" s="1" t="s">
        <v>938</v>
      </c>
      <c r="E329" s="1" t="s">
        <v>73</v>
      </c>
      <c r="F329" s="1" t="s">
        <v>939</v>
      </c>
      <c r="G329" s="1">
        <v>1</v>
      </c>
      <c r="H329" s="7">
        <v>45560</v>
      </c>
      <c r="I329" s="1" t="s">
        <v>7455</v>
      </c>
      <c r="J329" s="7">
        <v>45560</v>
      </c>
      <c r="K329" s="1" t="s">
        <v>7455</v>
      </c>
    </row>
    <row r="330" spans="1:11" x14ac:dyDescent="0.3">
      <c r="A330" s="1">
        <v>329</v>
      </c>
      <c r="B330" s="1" t="s">
        <v>940</v>
      </c>
      <c r="C330" s="1" t="s">
        <v>941</v>
      </c>
      <c r="F330" s="1" t="s">
        <v>942</v>
      </c>
      <c r="G330" s="1">
        <v>1</v>
      </c>
      <c r="H330" s="7">
        <v>45560</v>
      </c>
      <c r="I330" s="1" t="s">
        <v>7455</v>
      </c>
      <c r="J330" s="7">
        <v>45560</v>
      </c>
      <c r="K330" s="1" t="s">
        <v>7455</v>
      </c>
    </row>
    <row r="331" spans="1:11" x14ac:dyDescent="0.3">
      <c r="A331" s="1">
        <v>330</v>
      </c>
      <c r="B331" s="1" t="s">
        <v>943</v>
      </c>
      <c r="C331" s="1" t="s">
        <v>944</v>
      </c>
      <c r="F331" s="1" t="s">
        <v>945</v>
      </c>
      <c r="G331" s="1">
        <v>1</v>
      </c>
      <c r="H331" s="7">
        <v>45560</v>
      </c>
      <c r="I331" s="1" t="s">
        <v>7455</v>
      </c>
      <c r="J331" s="7">
        <v>45560</v>
      </c>
      <c r="K331" s="1" t="s">
        <v>7455</v>
      </c>
    </row>
    <row r="332" spans="1:11" x14ac:dyDescent="0.3">
      <c r="A332" s="1">
        <v>331</v>
      </c>
      <c r="B332" s="1" t="s">
        <v>946</v>
      </c>
      <c r="C332" s="1" t="s">
        <v>947</v>
      </c>
      <c r="D332" s="1" t="s">
        <v>948</v>
      </c>
      <c r="F332" s="1" t="s">
        <v>949</v>
      </c>
      <c r="G332" s="1">
        <v>1</v>
      </c>
      <c r="H332" s="7">
        <v>45560</v>
      </c>
      <c r="I332" s="1" t="s">
        <v>7455</v>
      </c>
      <c r="J332" s="7">
        <v>45560</v>
      </c>
      <c r="K332" s="1" t="s">
        <v>7455</v>
      </c>
    </row>
    <row r="333" spans="1:11" x14ac:dyDescent="0.3">
      <c r="A333" s="1">
        <v>332</v>
      </c>
      <c r="B333" s="1" t="s">
        <v>950</v>
      </c>
      <c r="C333" s="1" t="s">
        <v>951</v>
      </c>
      <c r="F333" s="1" t="s">
        <v>952</v>
      </c>
      <c r="G333" s="1">
        <v>1</v>
      </c>
      <c r="H333" s="7">
        <v>45560</v>
      </c>
      <c r="I333" s="1" t="s">
        <v>7455</v>
      </c>
      <c r="J333" s="7">
        <v>45560</v>
      </c>
      <c r="K333" s="1" t="s">
        <v>7455</v>
      </c>
    </row>
    <row r="334" spans="1:11" x14ac:dyDescent="0.3">
      <c r="A334" s="1">
        <v>333</v>
      </c>
      <c r="B334" s="1" t="s">
        <v>953</v>
      </c>
      <c r="C334" s="1" t="s">
        <v>954</v>
      </c>
      <c r="D334" s="1" t="s">
        <v>955</v>
      </c>
      <c r="G334" s="1">
        <v>1</v>
      </c>
      <c r="H334" s="7">
        <v>45560</v>
      </c>
      <c r="I334" s="1" t="s">
        <v>7455</v>
      </c>
      <c r="J334" s="7">
        <v>45560</v>
      </c>
      <c r="K334" s="1" t="s">
        <v>7455</v>
      </c>
    </row>
    <row r="335" spans="1:11" x14ac:dyDescent="0.3">
      <c r="A335" s="1">
        <v>334</v>
      </c>
      <c r="B335" s="1" t="s">
        <v>956</v>
      </c>
      <c r="C335" s="1" t="s">
        <v>957</v>
      </c>
      <c r="F335" s="1" t="s">
        <v>958</v>
      </c>
      <c r="G335" s="1">
        <v>1</v>
      </c>
      <c r="H335" s="7">
        <v>45560</v>
      </c>
      <c r="I335" s="1" t="s">
        <v>7455</v>
      </c>
      <c r="J335" s="7">
        <v>45560</v>
      </c>
      <c r="K335" s="1" t="s">
        <v>7455</v>
      </c>
    </row>
    <row r="336" spans="1:11" x14ac:dyDescent="0.3">
      <c r="A336" s="1">
        <v>335</v>
      </c>
      <c r="B336" s="1" t="s">
        <v>959</v>
      </c>
      <c r="C336" s="1" t="s">
        <v>960</v>
      </c>
      <c r="F336" s="1" t="s">
        <v>961</v>
      </c>
      <c r="G336" s="1">
        <v>1</v>
      </c>
      <c r="H336" s="7">
        <v>45560</v>
      </c>
      <c r="I336" s="1" t="s">
        <v>7455</v>
      </c>
      <c r="J336" s="7">
        <v>45560</v>
      </c>
      <c r="K336" s="1" t="s">
        <v>7455</v>
      </c>
    </row>
    <row r="337" spans="1:11" x14ac:dyDescent="0.3">
      <c r="A337" s="1">
        <v>336</v>
      </c>
      <c r="B337" s="1" t="s">
        <v>962</v>
      </c>
      <c r="C337" s="1" t="s">
        <v>963</v>
      </c>
      <c r="F337" s="1" t="s">
        <v>964</v>
      </c>
      <c r="G337" s="1">
        <v>1</v>
      </c>
      <c r="H337" s="7">
        <v>45560</v>
      </c>
      <c r="I337" s="1" t="s">
        <v>7455</v>
      </c>
      <c r="J337" s="7">
        <v>45560</v>
      </c>
      <c r="K337" s="1" t="s">
        <v>7455</v>
      </c>
    </row>
    <row r="338" spans="1:11" x14ac:dyDescent="0.3">
      <c r="A338" s="1">
        <v>337</v>
      </c>
      <c r="B338" s="1" t="s">
        <v>965</v>
      </c>
      <c r="C338" s="1" t="s">
        <v>966</v>
      </c>
      <c r="F338" s="1" t="s">
        <v>967</v>
      </c>
      <c r="G338" s="1">
        <v>1</v>
      </c>
      <c r="H338" s="7">
        <v>45560</v>
      </c>
      <c r="I338" s="1" t="s">
        <v>7455</v>
      </c>
      <c r="J338" s="7">
        <v>45560</v>
      </c>
      <c r="K338" s="1" t="s">
        <v>7455</v>
      </c>
    </row>
    <row r="339" spans="1:11" x14ac:dyDescent="0.3">
      <c r="A339" s="1">
        <v>338</v>
      </c>
      <c r="B339" s="1" t="s">
        <v>968</v>
      </c>
      <c r="C339" s="1" t="s">
        <v>969</v>
      </c>
      <c r="F339" s="1" t="s">
        <v>970</v>
      </c>
      <c r="G339" s="1">
        <v>1</v>
      </c>
      <c r="H339" s="7">
        <v>45560</v>
      </c>
      <c r="I339" s="1" t="s">
        <v>7455</v>
      </c>
      <c r="J339" s="7">
        <v>45560</v>
      </c>
      <c r="K339" s="1" t="s">
        <v>7455</v>
      </c>
    </row>
    <row r="340" spans="1:11" x14ac:dyDescent="0.3">
      <c r="A340" s="1">
        <v>339</v>
      </c>
      <c r="B340" s="1" t="s">
        <v>971</v>
      </c>
      <c r="C340" s="1" t="s">
        <v>972</v>
      </c>
      <c r="F340" s="1" t="s">
        <v>973</v>
      </c>
      <c r="G340" s="1">
        <v>1</v>
      </c>
      <c r="H340" s="7">
        <v>45560</v>
      </c>
      <c r="I340" s="1" t="s">
        <v>7455</v>
      </c>
      <c r="J340" s="7">
        <v>45560</v>
      </c>
      <c r="K340" s="1" t="s">
        <v>7455</v>
      </c>
    </row>
    <row r="341" spans="1:11" x14ac:dyDescent="0.3">
      <c r="A341" s="1">
        <v>340</v>
      </c>
      <c r="B341" s="1" t="s">
        <v>974</v>
      </c>
      <c r="C341" s="1" t="s">
        <v>975</v>
      </c>
      <c r="F341" s="1" t="s">
        <v>976</v>
      </c>
      <c r="G341" s="1">
        <v>1</v>
      </c>
      <c r="H341" s="7">
        <v>45560</v>
      </c>
      <c r="I341" s="1" t="s">
        <v>7455</v>
      </c>
      <c r="J341" s="7">
        <v>45560</v>
      </c>
      <c r="K341" s="1" t="s">
        <v>7455</v>
      </c>
    </row>
    <row r="342" spans="1:11" x14ac:dyDescent="0.3">
      <c r="A342" s="1">
        <v>341</v>
      </c>
      <c r="B342" s="1" t="s">
        <v>977</v>
      </c>
      <c r="C342" s="1" t="s">
        <v>978</v>
      </c>
      <c r="F342" s="1" t="s">
        <v>979</v>
      </c>
      <c r="G342" s="1">
        <v>1</v>
      </c>
      <c r="H342" s="7">
        <v>45560</v>
      </c>
      <c r="I342" s="1" t="s">
        <v>7455</v>
      </c>
      <c r="J342" s="7">
        <v>45560</v>
      </c>
      <c r="K342" s="1" t="s">
        <v>7455</v>
      </c>
    </row>
    <row r="343" spans="1:11" x14ac:dyDescent="0.3">
      <c r="A343" s="1">
        <v>342</v>
      </c>
      <c r="B343" s="1" t="s">
        <v>980</v>
      </c>
      <c r="C343" s="1" t="s">
        <v>981</v>
      </c>
      <c r="F343" s="1" t="s">
        <v>982</v>
      </c>
      <c r="G343" s="1">
        <v>1</v>
      </c>
      <c r="H343" s="7">
        <v>45560</v>
      </c>
      <c r="I343" s="1" t="s">
        <v>7455</v>
      </c>
      <c r="J343" s="7">
        <v>45560</v>
      </c>
      <c r="K343" s="1" t="s">
        <v>7455</v>
      </c>
    </row>
    <row r="344" spans="1:11" x14ac:dyDescent="0.3">
      <c r="A344" s="1">
        <v>343</v>
      </c>
      <c r="B344" s="1" t="s">
        <v>983</v>
      </c>
      <c r="C344" s="1" t="s">
        <v>984</v>
      </c>
      <c r="F344" s="1" t="s">
        <v>985</v>
      </c>
      <c r="G344" s="1">
        <v>1</v>
      </c>
      <c r="H344" s="7">
        <v>45560</v>
      </c>
      <c r="I344" s="1" t="s">
        <v>7455</v>
      </c>
      <c r="J344" s="7">
        <v>45560</v>
      </c>
      <c r="K344" s="1" t="s">
        <v>7455</v>
      </c>
    </row>
    <row r="345" spans="1:11" x14ac:dyDescent="0.3">
      <c r="A345" s="1">
        <v>344</v>
      </c>
      <c r="B345" s="1" t="s">
        <v>986</v>
      </c>
      <c r="C345" s="1" t="s">
        <v>987</v>
      </c>
      <c r="F345" s="1" t="s">
        <v>988</v>
      </c>
      <c r="G345" s="1">
        <v>1</v>
      </c>
      <c r="H345" s="7">
        <v>45560</v>
      </c>
      <c r="I345" s="1" t="s">
        <v>7455</v>
      </c>
      <c r="J345" s="7">
        <v>45560</v>
      </c>
      <c r="K345" s="1" t="s">
        <v>7455</v>
      </c>
    </row>
    <row r="346" spans="1:11" x14ac:dyDescent="0.3">
      <c r="A346" s="1">
        <v>345</v>
      </c>
      <c r="B346" s="1" t="s">
        <v>989</v>
      </c>
      <c r="C346" s="1" t="s">
        <v>990</v>
      </c>
      <c r="D346" s="1" t="s">
        <v>991</v>
      </c>
      <c r="F346" s="1" t="s">
        <v>992</v>
      </c>
      <c r="G346" s="1">
        <v>1</v>
      </c>
      <c r="H346" s="7">
        <v>45560</v>
      </c>
      <c r="I346" s="1" t="s">
        <v>7455</v>
      </c>
      <c r="J346" s="7">
        <v>45560</v>
      </c>
      <c r="K346" s="1" t="s">
        <v>7455</v>
      </c>
    </row>
    <row r="347" spans="1:11" x14ac:dyDescent="0.3">
      <c r="A347" s="1">
        <v>346</v>
      </c>
      <c r="B347" s="1" t="s">
        <v>993</v>
      </c>
      <c r="C347" s="1" t="s">
        <v>994</v>
      </c>
      <c r="F347" s="1" t="s">
        <v>995</v>
      </c>
      <c r="G347" s="1">
        <v>1</v>
      </c>
      <c r="H347" s="7">
        <v>45560</v>
      </c>
      <c r="I347" s="1" t="s">
        <v>7455</v>
      </c>
      <c r="J347" s="7">
        <v>45560</v>
      </c>
      <c r="K347" s="1" t="s">
        <v>7455</v>
      </c>
    </row>
    <row r="348" spans="1:11" x14ac:dyDescent="0.3">
      <c r="A348" s="1">
        <v>347</v>
      </c>
      <c r="B348" s="1" t="s">
        <v>996</v>
      </c>
      <c r="C348" s="1" t="s">
        <v>997</v>
      </c>
      <c r="D348" s="1" t="s">
        <v>998</v>
      </c>
      <c r="G348" s="1">
        <v>1</v>
      </c>
      <c r="H348" s="7">
        <v>45560</v>
      </c>
      <c r="I348" s="1" t="s">
        <v>7455</v>
      </c>
      <c r="J348" s="7">
        <v>45560</v>
      </c>
      <c r="K348" s="1" t="s">
        <v>7455</v>
      </c>
    </row>
    <row r="349" spans="1:11" x14ac:dyDescent="0.3">
      <c r="A349" s="1">
        <v>348</v>
      </c>
      <c r="B349" s="1" t="s">
        <v>999</v>
      </c>
      <c r="C349" s="1" t="s">
        <v>1000</v>
      </c>
      <c r="F349" s="1" t="s">
        <v>1001</v>
      </c>
      <c r="G349" s="1">
        <v>1</v>
      </c>
      <c r="H349" s="7">
        <v>45560</v>
      </c>
      <c r="I349" s="1" t="s">
        <v>7455</v>
      </c>
      <c r="J349" s="7">
        <v>45560</v>
      </c>
      <c r="K349" s="1" t="s">
        <v>7455</v>
      </c>
    </row>
    <row r="350" spans="1:11" x14ac:dyDescent="0.3">
      <c r="A350" s="1">
        <v>349</v>
      </c>
      <c r="B350" s="1" t="s">
        <v>1002</v>
      </c>
      <c r="C350" s="1" t="s">
        <v>1003</v>
      </c>
      <c r="F350" s="1" t="s">
        <v>1004</v>
      </c>
      <c r="G350" s="1">
        <v>1</v>
      </c>
      <c r="H350" s="7">
        <v>45560</v>
      </c>
      <c r="I350" s="1" t="s">
        <v>7455</v>
      </c>
      <c r="J350" s="7">
        <v>45560</v>
      </c>
      <c r="K350" s="1" t="s">
        <v>7455</v>
      </c>
    </row>
    <row r="351" spans="1:11" x14ac:dyDescent="0.3">
      <c r="A351" s="1">
        <v>350</v>
      </c>
      <c r="B351" s="1" t="s">
        <v>1005</v>
      </c>
      <c r="C351" s="1" t="s">
        <v>1006</v>
      </c>
      <c r="F351" s="1" t="s">
        <v>1007</v>
      </c>
      <c r="G351" s="1">
        <v>1</v>
      </c>
      <c r="H351" s="7">
        <v>45560</v>
      </c>
      <c r="I351" s="1" t="s">
        <v>7455</v>
      </c>
      <c r="J351" s="7">
        <v>45560</v>
      </c>
      <c r="K351" s="1" t="s">
        <v>7455</v>
      </c>
    </row>
    <row r="352" spans="1:11" x14ac:dyDescent="0.3">
      <c r="A352" s="1">
        <v>351</v>
      </c>
      <c r="B352" s="1" t="s">
        <v>1008</v>
      </c>
      <c r="C352" s="1" t="s">
        <v>1009</v>
      </c>
      <c r="F352" s="1" t="s">
        <v>1010</v>
      </c>
      <c r="G352" s="1">
        <v>1</v>
      </c>
      <c r="H352" s="7">
        <v>45560</v>
      </c>
      <c r="I352" s="1" t="s">
        <v>7455</v>
      </c>
      <c r="J352" s="7">
        <v>45560</v>
      </c>
      <c r="K352" s="1" t="s">
        <v>7455</v>
      </c>
    </row>
    <row r="353" spans="1:11" x14ac:dyDescent="0.3">
      <c r="A353" s="1">
        <v>352</v>
      </c>
      <c r="B353" s="1" t="s">
        <v>1011</v>
      </c>
      <c r="C353" s="1" t="s">
        <v>1012</v>
      </c>
      <c r="F353" s="1" t="s">
        <v>1013</v>
      </c>
      <c r="G353" s="1">
        <v>1</v>
      </c>
      <c r="H353" s="7">
        <v>45560</v>
      </c>
      <c r="I353" s="1" t="s">
        <v>7455</v>
      </c>
      <c r="J353" s="7">
        <v>45560</v>
      </c>
      <c r="K353" s="1" t="s">
        <v>7455</v>
      </c>
    </row>
    <row r="354" spans="1:11" x14ac:dyDescent="0.3">
      <c r="A354" s="1">
        <v>353</v>
      </c>
      <c r="B354" s="1" t="s">
        <v>1014</v>
      </c>
      <c r="C354" s="1" t="s">
        <v>1015</v>
      </c>
      <c r="F354" s="1" t="s">
        <v>1016</v>
      </c>
      <c r="G354" s="1">
        <v>1</v>
      </c>
      <c r="H354" s="7">
        <v>45560</v>
      </c>
      <c r="I354" s="1" t="s">
        <v>7455</v>
      </c>
      <c r="J354" s="7">
        <v>45560</v>
      </c>
      <c r="K354" s="1" t="s">
        <v>7455</v>
      </c>
    </row>
    <row r="355" spans="1:11" x14ac:dyDescent="0.3">
      <c r="A355" s="1">
        <v>354</v>
      </c>
      <c r="B355" s="1" t="s">
        <v>1017</v>
      </c>
      <c r="C355" s="1" t="s">
        <v>1018</v>
      </c>
      <c r="F355" s="1" t="s">
        <v>1019</v>
      </c>
      <c r="G355" s="1">
        <v>1</v>
      </c>
      <c r="H355" s="7">
        <v>45560</v>
      </c>
      <c r="I355" s="1" t="s">
        <v>7455</v>
      </c>
      <c r="J355" s="7">
        <v>45560</v>
      </c>
      <c r="K355" s="1" t="s">
        <v>7455</v>
      </c>
    </row>
    <row r="356" spans="1:11" x14ac:dyDescent="0.3">
      <c r="A356" s="1">
        <v>355</v>
      </c>
      <c r="B356" s="1" t="s">
        <v>1020</v>
      </c>
      <c r="C356" s="1" t="s">
        <v>1021</v>
      </c>
      <c r="E356" s="1" t="s">
        <v>52</v>
      </c>
      <c r="G356" s="1">
        <v>1</v>
      </c>
      <c r="H356" s="7">
        <v>45560</v>
      </c>
      <c r="I356" s="1" t="s">
        <v>7455</v>
      </c>
      <c r="J356" s="7">
        <v>45560</v>
      </c>
      <c r="K356" s="1" t="s">
        <v>7455</v>
      </c>
    </row>
    <row r="357" spans="1:11" x14ac:dyDescent="0.3">
      <c r="A357" s="1">
        <v>356</v>
      </c>
      <c r="B357" s="1" t="s">
        <v>1022</v>
      </c>
      <c r="C357" s="1" t="s">
        <v>1023</v>
      </c>
      <c r="F357" s="1" t="s">
        <v>1024</v>
      </c>
      <c r="G357" s="1">
        <v>1</v>
      </c>
      <c r="H357" s="7">
        <v>45560</v>
      </c>
      <c r="I357" s="1" t="s">
        <v>7455</v>
      </c>
      <c r="J357" s="7">
        <v>45560</v>
      </c>
      <c r="K357" s="1" t="s">
        <v>7455</v>
      </c>
    </row>
    <row r="358" spans="1:11" x14ac:dyDescent="0.3">
      <c r="A358" s="1">
        <v>357</v>
      </c>
      <c r="B358" s="1" t="s">
        <v>1025</v>
      </c>
      <c r="C358" s="1" t="s">
        <v>1026</v>
      </c>
      <c r="F358" s="1" t="s">
        <v>1027</v>
      </c>
      <c r="G358" s="1">
        <v>1</v>
      </c>
      <c r="H358" s="7">
        <v>45560</v>
      </c>
      <c r="I358" s="1" t="s">
        <v>7455</v>
      </c>
      <c r="J358" s="7">
        <v>45560</v>
      </c>
      <c r="K358" s="1" t="s">
        <v>7455</v>
      </c>
    </row>
    <row r="359" spans="1:11" x14ac:dyDescent="0.3">
      <c r="A359" s="1">
        <v>358</v>
      </c>
      <c r="B359" s="1" t="s">
        <v>1028</v>
      </c>
      <c r="C359" s="1" t="s">
        <v>1029</v>
      </c>
      <c r="F359" s="1" t="s">
        <v>1030</v>
      </c>
      <c r="G359" s="1">
        <v>1</v>
      </c>
      <c r="H359" s="7">
        <v>45560</v>
      </c>
      <c r="I359" s="1" t="s">
        <v>7455</v>
      </c>
      <c r="J359" s="7">
        <v>45560</v>
      </c>
      <c r="K359" s="1" t="s">
        <v>7455</v>
      </c>
    </row>
    <row r="360" spans="1:11" x14ac:dyDescent="0.3">
      <c r="A360" s="1">
        <v>359</v>
      </c>
      <c r="B360" s="1" t="s">
        <v>1031</v>
      </c>
      <c r="C360" s="1" t="s">
        <v>1032</v>
      </c>
      <c r="F360" s="1" t="s">
        <v>1033</v>
      </c>
      <c r="G360" s="1">
        <v>1</v>
      </c>
      <c r="H360" s="7">
        <v>45560</v>
      </c>
      <c r="I360" s="1" t="s">
        <v>7455</v>
      </c>
      <c r="J360" s="7">
        <v>45560</v>
      </c>
      <c r="K360" s="1" t="s">
        <v>7455</v>
      </c>
    </row>
    <row r="361" spans="1:11" x14ac:dyDescent="0.3">
      <c r="A361" s="1">
        <v>360</v>
      </c>
      <c r="B361" s="1" t="s">
        <v>1034</v>
      </c>
      <c r="C361" s="1" t="s">
        <v>1035</v>
      </c>
      <c r="F361" s="1" t="s">
        <v>1036</v>
      </c>
      <c r="G361" s="1">
        <v>1</v>
      </c>
      <c r="H361" s="7">
        <v>45560</v>
      </c>
      <c r="I361" s="1" t="s">
        <v>7455</v>
      </c>
      <c r="J361" s="7">
        <v>45560</v>
      </c>
      <c r="K361" s="1" t="s">
        <v>7455</v>
      </c>
    </row>
    <row r="362" spans="1:11" x14ac:dyDescent="0.3">
      <c r="A362" s="1">
        <v>361</v>
      </c>
      <c r="B362" s="1" t="s">
        <v>1037</v>
      </c>
      <c r="C362" s="1" t="s">
        <v>1038</v>
      </c>
      <c r="F362" s="1" t="s">
        <v>1039</v>
      </c>
      <c r="G362" s="1">
        <v>1</v>
      </c>
      <c r="H362" s="7">
        <v>45560</v>
      </c>
      <c r="I362" s="1" t="s">
        <v>7455</v>
      </c>
      <c r="J362" s="7">
        <v>45560</v>
      </c>
      <c r="K362" s="1" t="s">
        <v>7455</v>
      </c>
    </row>
    <row r="363" spans="1:11" x14ac:dyDescent="0.3">
      <c r="A363" s="1">
        <v>362</v>
      </c>
      <c r="B363" s="1" t="s">
        <v>1040</v>
      </c>
      <c r="C363" s="1" t="s">
        <v>1041</v>
      </c>
      <c r="F363" s="1" t="s">
        <v>1042</v>
      </c>
      <c r="G363" s="1">
        <v>1</v>
      </c>
      <c r="H363" s="7">
        <v>45560</v>
      </c>
      <c r="I363" s="1" t="s">
        <v>7455</v>
      </c>
      <c r="J363" s="7">
        <v>45560</v>
      </c>
      <c r="K363" s="1" t="s">
        <v>7455</v>
      </c>
    </row>
    <row r="364" spans="1:11" x14ac:dyDescent="0.3">
      <c r="A364" s="1">
        <v>363</v>
      </c>
      <c r="B364" s="1" t="s">
        <v>1043</v>
      </c>
      <c r="C364" s="1" t="s">
        <v>1044</v>
      </c>
      <c r="D364" s="1" t="s">
        <v>1045</v>
      </c>
      <c r="F364" s="1" t="s">
        <v>1046</v>
      </c>
      <c r="G364" s="1">
        <v>1</v>
      </c>
      <c r="H364" s="7">
        <v>45560</v>
      </c>
      <c r="I364" s="1" t="s">
        <v>7455</v>
      </c>
      <c r="J364" s="7">
        <v>45560</v>
      </c>
      <c r="K364" s="1" t="s">
        <v>7455</v>
      </c>
    </row>
    <row r="365" spans="1:11" x14ac:dyDescent="0.3">
      <c r="A365" s="1">
        <v>364</v>
      </c>
      <c r="B365" s="1" t="s">
        <v>1047</v>
      </c>
      <c r="C365" s="1" t="s">
        <v>1048</v>
      </c>
      <c r="F365" s="1" t="s">
        <v>1049</v>
      </c>
      <c r="G365" s="1">
        <v>1</v>
      </c>
      <c r="H365" s="7">
        <v>45560</v>
      </c>
      <c r="I365" s="1" t="s">
        <v>7455</v>
      </c>
      <c r="J365" s="7">
        <v>45560</v>
      </c>
      <c r="K365" s="1" t="s">
        <v>7455</v>
      </c>
    </row>
    <row r="366" spans="1:11" x14ac:dyDescent="0.3">
      <c r="A366" s="1">
        <v>365</v>
      </c>
      <c r="B366" s="1" t="s">
        <v>1050</v>
      </c>
      <c r="C366" s="1" t="s">
        <v>1051</v>
      </c>
      <c r="F366" s="1" t="s">
        <v>1052</v>
      </c>
      <c r="G366" s="1">
        <v>1</v>
      </c>
      <c r="H366" s="7">
        <v>45560</v>
      </c>
      <c r="I366" s="1" t="s">
        <v>7455</v>
      </c>
      <c r="J366" s="7">
        <v>45560</v>
      </c>
      <c r="K366" s="1" t="s">
        <v>7455</v>
      </c>
    </row>
    <row r="367" spans="1:11" x14ac:dyDescent="0.3">
      <c r="A367" s="1">
        <v>366</v>
      </c>
      <c r="B367" s="1" t="s">
        <v>1053</v>
      </c>
      <c r="C367" s="1" t="s">
        <v>1054</v>
      </c>
      <c r="D367" s="1" t="s">
        <v>1055</v>
      </c>
      <c r="F367" s="1" t="s">
        <v>1056</v>
      </c>
      <c r="G367" s="1">
        <v>1</v>
      </c>
      <c r="H367" s="7">
        <v>45560</v>
      </c>
      <c r="I367" s="1" t="s">
        <v>7455</v>
      </c>
      <c r="J367" s="7">
        <v>45560</v>
      </c>
      <c r="K367" s="1" t="s">
        <v>7455</v>
      </c>
    </row>
    <row r="368" spans="1:11" x14ac:dyDescent="0.3">
      <c r="A368" s="1">
        <v>367</v>
      </c>
      <c r="B368" s="1" t="s">
        <v>1057</v>
      </c>
      <c r="C368" s="1" t="s">
        <v>1058</v>
      </c>
      <c r="D368" s="1" t="s">
        <v>1059</v>
      </c>
      <c r="G368" s="1">
        <v>1</v>
      </c>
      <c r="H368" s="7">
        <v>45560</v>
      </c>
      <c r="I368" s="1" t="s">
        <v>7455</v>
      </c>
      <c r="J368" s="7">
        <v>45560</v>
      </c>
      <c r="K368" s="1" t="s">
        <v>7455</v>
      </c>
    </row>
    <row r="369" spans="1:11" x14ac:dyDescent="0.3">
      <c r="A369" s="1">
        <v>368</v>
      </c>
      <c r="B369" s="1" t="s">
        <v>1060</v>
      </c>
      <c r="C369" s="1" t="s">
        <v>1061</v>
      </c>
      <c r="D369" s="1" t="s">
        <v>1062</v>
      </c>
      <c r="F369" s="1" t="s">
        <v>1063</v>
      </c>
      <c r="G369" s="1">
        <v>1</v>
      </c>
      <c r="H369" s="7">
        <v>45560</v>
      </c>
      <c r="I369" s="1" t="s">
        <v>7455</v>
      </c>
      <c r="J369" s="7">
        <v>45560</v>
      </c>
      <c r="K369" s="1" t="s">
        <v>7455</v>
      </c>
    </row>
    <row r="370" spans="1:11" x14ac:dyDescent="0.3">
      <c r="A370" s="1">
        <v>369</v>
      </c>
      <c r="B370" s="1" t="s">
        <v>1064</v>
      </c>
      <c r="C370" s="1" t="s">
        <v>1065</v>
      </c>
      <c r="E370" s="1" t="s">
        <v>52</v>
      </c>
      <c r="G370" s="1">
        <v>1</v>
      </c>
      <c r="H370" s="7">
        <v>45560</v>
      </c>
      <c r="I370" s="1" t="s">
        <v>7455</v>
      </c>
      <c r="J370" s="7">
        <v>45560</v>
      </c>
      <c r="K370" s="1" t="s">
        <v>7455</v>
      </c>
    </row>
    <row r="371" spans="1:11" x14ac:dyDescent="0.3">
      <c r="A371" s="1">
        <v>370</v>
      </c>
      <c r="B371" s="1" t="s">
        <v>1066</v>
      </c>
      <c r="C371" s="1" t="s">
        <v>1067</v>
      </c>
      <c r="F371" s="1" t="s">
        <v>1066</v>
      </c>
      <c r="G371" s="1">
        <v>1</v>
      </c>
      <c r="H371" s="7">
        <v>45560</v>
      </c>
      <c r="I371" s="1" t="s">
        <v>7455</v>
      </c>
      <c r="J371" s="7">
        <v>45560</v>
      </c>
      <c r="K371" s="1" t="s">
        <v>7455</v>
      </c>
    </row>
    <row r="372" spans="1:11" x14ac:dyDescent="0.3">
      <c r="A372" s="1">
        <v>371</v>
      </c>
      <c r="B372" s="1" t="s">
        <v>1068</v>
      </c>
      <c r="C372" s="1" t="s">
        <v>1069</v>
      </c>
      <c r="D372" s="1" t="s">
        <v>1070</v>
      </c>
      <c r="G372" s="1">
        <v>1</v>
      </c>
      <c r="H372" s="7">
        <v>45560</v>
      </c>
      <c r="I372" s="1" t="s">
        <v>7455</v>
      </c>
      <c r="J372" s="7">
        <v>45560</v>
      </c>
      <c r="K372" s="1" t="s">
        <v>7455</v>
      </c>
    </row>
    <row r="373" spans="1:11" x14ac:dyDescent="0.3">
      <c r="A373" s="1">
        <v>372</v>
      </c>
      <c r="B373" s="1" t="s">
        <v>1071</v>
      </c>
      <c r="C373" s="1" t="s">
        <v>1072</v>
      </c>
      <c r="F373" s="1" t="s">
        <v>1073</v>
      </c>
      <c r="G373" s="1">
        <v>1</v>
      </c>
      <c r="H373" s="7">
        <v>45560</v>
      </c>
      <c r="I373" s="1" t="s">
        <v>7455</v>
      </c>
      <c r="J373" s="7">
        <v>45560</v>
      </c>
      <c r="K373" s="1" t="s">
        <v>7455</v>
      </c>
    </row>
    <row r="374" spans="1:11" ht="115.2" x14ac:dyDescent="0.3">
      <c r="A374" s="1">
        <v>373</v>
      </c>
      <c r="B374" s="1" t="s">
        <v>1074</v>
      </c>
      <c r="C374" s="1" t="s">
        <v>1075</v>
      </c>
      <c r="D374" s="8" t="s">
        <v>1076</v>
      </c>
      <c r="F374" s="1" t="s">
        <v>1077</v>
      </c>
      <c r="G374" s="1">
        <v>1</v>
      </c>
      <c r="H374" s="7">
        <v>45560</v>
      </c>
      <c r="I374" s="1" t="s">
        <v>7455</v>
      </c>
      <c r="J374" s="7">
        <v>45560</v>
      </c>
      <c r="K374" s="1" t="s">
        <v>7455</v>
      </c>
    </row>
    <row r="375" spans="1:11" x14ac:dyDescent="0.3">
      <c r="A375" s="1">
        <v>374</v>
      </c>
      <c r="B375" s="1" t="s">
        <v>1078</v>
      </c>
      <c r="C375" s="1" t="s">
        <v>1079</v>
      </c>
      <c r="G375" s="1">
        <v>1</v>
      </c>
      <c r="H375" s="7">
        <v>45560</v>
      </c>
      <c r="I375" s="1" t="s">
        <v>7455</v>
      </c>
      <c r="J375" s="7">
        <v>45560</v>
      </c>
      <c r="K375" s="1" t="s">
        <v>7455</v>
      </c>
    </row>
    <row r="376" spans="1:11" x14ac:dyDescent="0.3">
      <c r="A376" s="1">
        <v>375</v>
      </c>
      <c r="B376" s="1" t="s">
        <v>1080</v>
      </c>
      <c r="C376" s="1" t="s">
        <v>1081</v>
      </c>
      <c r="D376" s="1" t="s">
        <v>1082</v>
      </c>
      <c r="F376" s="1" t="s">
        <v>1080</v>
      </c>
      <c r="G376" s="1">
        <v>1</v>
      </c>
      <c r="H376" s="7">
        <v>45560</v>
      </c>
      <c r="I376" s="1" t="s">
        <v>7455</v>
      </c>
      <c r="J376" s="7">
        <v>45560</v>
      </c>
      <c r="K376" s="1" t="s">
        <v>7455</v>
      </c>
    </row>
    <row r="377" spans="1:11" x14ac:dyDescent="0.3">
      <c r="A377" s="1">
        <v>376</v>
      </c>
      <c r="B377" s="1" t="s">
        <v>1083</v>
      </c>
      <c r="C377" s="1" t="s">
        <v>1084</v>
      </c>
      <c r="D377" s="1" t="s">
        <v>1085</v>
      </c>
      <c r="F377" s="1" t="s">
        <v>1086</v>
      </c>
      <c r="G377" s="1">
        <v>1</v>
      </c>
      <c r="H377" s="7">
        <v>45560</v>
      </c>
      <c r="I377" s="1" t="s">
        <v>7455</v>
      </c>
      <c r="J377" s="7">
        <v>45560</v>
      </c>
      <c r="K377" s="1" t="s">
        <v>7455</v>
      </c>
    </row>
    <row r="378" spans="1:11" x14ac:dyDescent="0.3">
      <c r="A378" s="1">
        <v>377</v>
      </c>
      <c r="B378" s="1" t="s">
        <v>1087</v>
      </c>
      <c r="C378" s="1" t="s">
        <v>1088</v>
      </c>
      <c r="F378" s="1" t="s">
        <v>1089</v>
      </c>
      <c r="G378" s="1">
        <v>1</v>
      </c>
      <c r="H378" s="7">
        <v>45560</v>
      </c>
      <c r="I378" s="1" t="s">
        <v>7455</v>
      </c>
      <c r="J378" s="7">
        <v>45560</v>
      </c>
      <c r="K378" s="1" t="s">
        <v>7455</v>
      </c>
    </row>
    <row r="379" spans="1:11" x14ac:dyDescent="0.3">
      <c r="A379" s="1">
        <v>378</v>
      </c>
      <c r="B379" s="1" t="s">
        <v>1090</v>
      </c>
      <c r="C379" s="1" t="s">
        <v>1091</v>
      </c>
      <c r="D379" s="1" t="s">
        <v>1092</v>
      </c>
      <c r="F379" s="1" t="s">
        <v>1093</v>
      </c>
      <c r="G379" s="1">
        <v>1</v>
      </c>
      <c r="H379" s="7">
        <v>45560</v>
      </c>
      <c r="I379" s="1" t="s">
        <v>7455</v>
      </c>
      <c r="J379" s="7">
        <v>45560</v>
      </c>
      <c r="K379" s="1" t="s">
        <v>7455</v>
      </c>
    </row>
    <row r="380" spans="1:11" x14ac:dyDescent="0.3">
      <c r="A380" s="1">
        <v>379</v>
      </c>
      <c r="B380" s="1" t="s">
        <v>1094</v>
      </c>
      <c r="C380" s="1" t="s">
        <v>1095</v>
      </c>
      <c r="D380" s="1" t="s">
        <v>1096</v>
      </c>
      <c r="F380" s="1" t="s">
        <v>1097</v>
      </c>
      <c r="G380" s="1">
        <v>1</v>
      </c>
      <c r="H380" s="7">
        <v>45560</v>
      </c>
      <c r="I380" s="1" t="s">
        <v>7455</v>
      </c>
      <c r="J380" s="7">
        <v>45560</v>
      </c>
      <c r="K380" s="1" t="s">
        <v>7455</v>
      </c>
    </row>
    <row r="381" spans="1:11" x14ac:dyDescent="0.3">
      <c r="A381" s="1">
        <v>380</v>
      </c>
      <c r="B381" s="1" t="s">
        <v>1098</v>
      </c>
      <c r="C381" s="1" t="s">
        <v>1099</v>
      </c>
      <c r="E381" s="1" t="s">
        <v>52</v>
      </c>
      <c r="G381" s="1">
        <v>1</v>
      </c>
      <c r="H381" s="7">
        <v>45560</v>
      </c>
      <c r="I381" s="1" t="s">
        <v>7455</v>
      </c>
      <c r="J381" s="7">
        <v>45560</v>
      </c>
      <c r="K381" s="1" t="s">
        <v>7455</v>
      </c>
    </row>
    <row r="382" spans="1:11" x14ac:dyDescent="0.3">
      <c r="A382" s="1">
        <v>381</v>
      </c>
      <c r="B382" s="1" t="s">
        <v>1100</v>
      </c>
      <c r="C382" s="1" t="s">
        <v>1101</v>
      </c>
      <c r="E382" s="1" t="s">
        <v>52</v>
      </c>
      <c r="G382" s="1">
        <v>1</v>
      </c>
      <c r="H382" s="7">
        <v>45560</v>
      </c>
      <c r="I382" s="1" t="s">
        <v>7455</v>
      </c>
      <c r="J382" s="7">
        <v>45560</v>
      </c>
      <c r="K382" s="1" t="s">
        <v>7455</v>
      </c>
    </row>
    <row r="383" spans="1:11" x14ac:dyDescent="0.3">
      <c r="A383" s="1">
        <v>382</v>
      </c>
      <c r="B383" s="1" t="s">
        <v>1102</v>
      </c>
      <c r="C383" s="1" t="s">
        <v>1103</v>
      </c>
      <c r="D383" s="1" t="s">
        <v>1104</v>
      </c>
      <c r="G383" s="1">
        <v>1</v>
      </c>
      <c r="H383" s="7">
        <v>45560</v>
      </c>
      <c r="I383" s="1" t="s">
        <v>7455</v>
      </c>
      <c r="J383" s="7">
        <v>45560</v>
      </c>
      <c r="K383" s="1" t="s">
        <v>7455</v>
      </c>
    </row>
    <row r="384" spans="1:11" x14ac:dyDescent="0.3">
      <c r="A384" s="1">
        <v>383</v>
      </c>
      <c r="B384" s="1" t="s">
        <v>1105</v>
      </c>
      <c r="C384" s="1" t="s">
        <v>1106</v>
      </c>
      <c r="E384" s="1" t="s">
        <v>52</v>
      </c>
      <c r="G384" s="1">
        <v>1</v>
      </c>
      <c r="H384" s="7">
        <v>45560</v>
      </c>
      <c r="I384" s="1" t="s">
        <v>7455</v>
      </c>
      <c r="J384" s="7">
        <v>45560</v>
      </c>
      <c r="K384" s="1" t="s">
        <v>7455</v>
      </c>
    </row>
    <row r="385" spans="1:11" x14ac:dyDescent="0.3">
      <c r="A385" s="1">
        <v>384</v>
      </c>
      <c r="B385" s="1" t="s">
        <v>1107</v>
      </c>
      <c r="C385" s="1" t="s">
        <v>1108</v>
      </c>
      <c r="F385" s="1" t="s">
        <v>1109</v>
      </c>
      <c r="G385" s="1">
        <v>1</v>
      </c>
      <c r="H385" s="7">
        <v>45560</v>
      </c>
      <c r="I385" s="1" t="s">
        <v>7455</v>
      </c>
      <c r="J385" s="7">
        <v>45560</v>
      </c>
      <c r="K385" s="1" t="s">
        <v>7455</v>
      </c>
    </row>
    <row r="386" spans="1:11" x14ac:dyDescent="0.3">
      <c r="A386" s="1">
        <v>385</v>
      </c>
      <c r="B386" s="1" t="s">
        <v>1110</v>
      </c>
      <c r="C386" s="1" t="s">
        <v>1111</v>
      </c>
      <c r="F386" s="1" t="s">
        <v>1112</v>
      </c>
      <c r="G386" s="1">
        <v>1</v>
      </c>
      <c r="H386" s="7">
        <v>45560</v>
      </c>
      <c r="I386" s="1" t="s">
        <v>7455</v>
      </c>
      <c r="J386" s="7">
        <v>45560</v>
      </c>
      <c r="K386" s="1" t="s">
        <v>7455</v>
      </c>
    </row>
    <row r="387" spans="1:11" x14ac:dyDescent="0.3">
      <c r="A387" s="1">
        <v>386</v>
      </c>
      <c r="B387" s="1" t="s">
        <v>1113</v>
      </c>
      <c r="C387" s="1" t="s">
        <v>1114</v>
      </c>
      <c r="F387" s="1" t="s">
        <v>1115</v>
      </c>
      <c r="G387" s="1">
        <v>1</v>
      </c>
      <c r="H387" s="7">
        <v>45560</v>
      </c>
      <c r="I387" s="1" t="s">
        <v>7455</v>
      </c>
      <c r="J387" s="7">
        <v>45560</v>
      </c>
      <c r="K387" s="1" t="s">
        <v>7455</v>
      </c>
    </row>
    <row r="388" spans="1:11" x14ac:dyDescent="0.3">
      <c r="A388" s="1">
        <v>387</v>
      </c>
      <c r="B388" s="1" t="s">
        <v>1116</v>
      </c>
      <c r="C388" s="1" t="s">
        <v>1117</v>
      </c>
      <c r="F388" s="1" t="s">
        <v>1118</v>
      </c>
      <c r="G388" s="1">
        <v>1</v>
      </c>
      <c r="H388" s="7">
        <v>45560</v>
      </c>
      <c r="I388" s="1" t="s">
        <v>7455</v>
      </c>
      <c r="J388" s="7">
        <v>45560</v>
      </c>
      <c r="K388" s="1" t="s">
        <v>7455</v>
      </c>
    </row>
    <row r="389" spans="1:11" x14ac:dyDescent="0.3">
      <c r="A389" s="1">
        <v>388</v>
      </c>
      <c r="B389" s="1" t="s">
        <v>1119</v>
      </c>
      <c r="C389" s="1" t="s">
        <v>1120</v>
      </c>
      <c r="F389" s="1" t="s">
        <v>1121</v>
      </c>
      <c r="G389" s="1">
        <v>1</v>
      </c>
      <c r="H389" s="7">
        <v>45560</v>
      </c>
      <c r="I389" s="1" t="s">
        <v>7455</v>
      </c>
      <c r="J389" s="7">
        <v>45560</v>
      </c>
      <c r="K389" s="1" t="s">
        <v>7455</v>
      </c>
    </row>
    <row r="390" spans="1:11" x14ac:dyDescent="0.3">
      <c r="A390" s="1">
        <v>389</v>
      </c>
      <c r="B390" s="1" t="s">
        <v>1122</v>
      </c>
      <c r="C390" s="1" t="s">
        <v>1123</v>
      </c>
      <c r="F390" s="1" t="s">
        <v>1124</v>
      </c>
      <c r="G390" s="1">
        <v>1</v>
      </c>
      <c r="H390" s="7">
        <v>45560</v>
      </c>
      <c r="I390" s="1" t="s">
        <v>7455</v>
      </c>
      <c r="J390" s="7">
        <v>45560</v>
      </c>
      <c r="K390" s="1" t="s">
        <v>7455</v>
      </c>
    </row>
    <row r="391" spans="1:11" x14ac:dyDescent="0.3">
      <c r="A391" s="1">
        <v>390</v>
      </c>
      <c r="B391" s="1" t="s">
        <v>1125</v>
      </c>
      <c r="C391" s="1" t="s">
        <v>1126</v>
      </c>
      <c r="F391" s="1" t="s">
        <v>1127</v>
      </c>
      <c r="G391" s="1">
        <v>1</v>
      </c>
      <c r="H391" s="7">
        <v>45560</v>
      </c>
      <c r="I391" s="1" t="s">
        <v>7455</v>
      </c>
      <c r="J391" s="7">
        <v>45560</v>
      </c>
      <c r="K391" s="1" t="s">
        <v>7455</v>
      </c>
    </row>
    <row r="392" spans="1:11" x14ac:dyDescent="0.3">
      <c r="A392" s="1">
        <v>391</v>
      </c>
      <c r="B392" s="1" t="s">
        <v>1128</v>
      </c>
      <c r="C392" s="1" t="s">
        <v>1129</v>
      </c>
      <c r="F392" s="1" t="s">
        <v>1130</v>
      </c>
      <c r="G392" s="1">
        <v>1</v>
      </c>
      <c r="H392" s="7">
        <v>45560</v>
      </c>
      <c r="I392" s="1" t="s">
        <v>7455</v>
      </c>
      <c r="J392" s="7">
        <v>45560</v>
      </c>
      <c r="K392" s="1" t="s">
        <v>7455</v>
      </c>
    </row>
    <row r="393" spans="1:11" x14ac:dyDescent="0.3">
      <c r="A393" s="1">
        <v>392</v>
      </c>
      <c r="B393" s="1" t="s">
        <v>1131</v>
      </c>
      <c r="C393" s="1" t="s">
        <v>1132</v>
      </c>
      <c r="F393" s="1" t="s">
        <v>1133</v>
      </c>
      <c r="G393" s="1">
        <v>1</v>
      </c>
      <c r="H393" s="7">
        <v>45560</v>
      </c>
      <c r="I393" s="1" t="s">
        <v>7455</v>
      </c>
      <c r="J393" s="7">
        <v>45560</v>
      </c>
      <c r="K393" s="1" t="s">
        <v>7455</v>
      </c>
    </row>
    <row r="394" spans="1:11" x14ac:dyDescent="0.3">
      <c r="A394" s="1">
        <v>393</v>
      </c>
      <c r="B394" s="1" t="s">
        <v>1134</v>
      </c>
      <c r="C394" s="1" t="s">
        <v>1135</v>
      </c>
      <c r="F394" s="1" t="s">
        <v>1136</v>
      </c>
      <c r="G394" s="1">
        <v>1</v>
      </c>
      <c r="H394" s="7">
        <v>45560</v>
      </c>
      <c r="I394" s="1" t="s">
        <v>7455</v>
      </c>
      <c r="J394" s="7">
        <v>45560</v>
      </c>
      <c r="K394" s="1" t="s">
        <v>7455</v>
      </c>
    </row>
    <row r="395" spans="1:11" x14ac:dyDescent="0.3">
      <c r="A395" s="1">
        <v>394</v>
      </c>
      <c r="B395" s="1" t="s">
        <v>1137</v>
      </c>
      <c r="C395" s="1" t="s">
        <v>1138</v>
      </c>
      <c r="E395" s="1" t="s">
        <v>52</v>
      </c>
      <c r="G395" s="1">
        <v>1</v>
      </c>
      <c r="H395" s="7">
        <v>45560</v>
      </c>
      <c r="I395" s="1" t="s">
        <v>7455</v>
      </c>
      <c r="J395" s="7">
        <v>45560</v>
      </c>
      <c r="K395" s="1" t="s">
        <v>7455</v>
      </c>
    </row>
    <row r="396" spans="1:11" x14ac:dyDescent="0.3">
      <c r="A396" s="1">
        <v>395</v>
      </c>
      <c r="B396" s="1" t="s">
        <v>1139</v>
      </c>
      <c r="C396" s="1" t="s">
        <v>1140</v>
      </c>
      <c r="F396" s="1" t="s">
        <v>1141</v>
      </c>
      <c r="G396" s="1">
        <v>1</v>
      </c>
      <c r="H396" s="7">
        <v>45560</v>
      </c>
      <c r="I396" s="1" t="s">
        <v>7455</v>
      </c>
      <c r="J396" s="7">
        <v>45560</v>
      </c>
      <c r="K396" s="1" t="s">
        <v>7455</v>
      </c>
    </row>
    <row r="397" spans="1:11" x14ac:dyDescent="0.3">
      <c r="A397" s="1">
        <v>396</v>
      </c>
      <c r="B397" s="1" t="s">
        <v>1142</v>
      </c>
      <c r="C397" s="1" t="s">
        <v>1143</v>
      </c>
      <c r="D397" s="1" t="s">
        <v>1144</v>
      </c>
      <c r="F397" s="1" t="s">
        <v>1145</v>
      </c>
      <c r="G397" s="1">
        <v>1</v>
      </c>
      <c r="H397" s="7">
        <v>45560</v>
      </c>
      <c r="I397" s="1" t="s">
        <v>7455</v>
      </c>
      <c r="J397" s="7">
        <v>45560</v>
      </c>
      <c r="K397" s="1" t="s">
        <v>7455</v>
      </c>
    </row>
    <row r="398" spans="1:11" x14ac:dyDescent="0.3">
      <c r="A398" s="1">
        <v>397</v>
      </c>
      <c r="B398" s="1" t="s">
        <v>1146</v>
      </c>
      <c r="C398" s="1" t="s">
        <v>1147</v>
      </c>
      <c r="F398" s="1" t="s">
        <v>1148</v>
      </c>
      <c r="G398" s="1">
        <v>1</v>
      </c>
      <c r="H398" s="7">
        <v>45560</v>
      </c>
      <c r="I398" s="1" t="s">
        <v>7455</v>
      </c>
      <c r="J398" s="7">
        <v>45560</v>
      </c>
      <c r="K398" s="1" t="s">
        <v>7455</v>
      </c>
    </row>
    <row r="399" spans="1:11" x14ac:dyDescent="0.3">
      <c r="A399" s="1">
        <v>398</v>
      </c>
      <c r="B399" s="1" t="s">
        <v>1149</v>
      </c>
      <c r="C399" s="1" t="s">
        <v>1150</v>
      </c>
      <c r="F399" s="1" t="s">
        <v>1151</v>
      </c>
      <c r="G399" s="1">
        <v>1</v>
      </c>
      <c r="H399" s="7">
        <v>45560</v>
      </c>
      <c r="I399" s="1" t="s">
        <v>7455</v>
      </c>
      <c r="J399" s="7">
        <v>45560</v>
      </c>
      <c r="K399" s="1" t="s">
        <v>7455</v>
      </c>
    </row>
    <row r="400" spans="1:11" x14ac:dyDescent="0.3">
      <c r="A400" s="1">
        <v>399</v>
      </c>
      <c r="B400" s="1" t="s">
        <v>1152</v>
      </c>
      <c r="C400" s="1" t="s">
        <v>1153</v>
      </c>
      <c r="F400" s="1" t="s">
        <v>1154</v>
      </c>
      <c r="G400" s="1">
        <v>1</v>
      </c>
      <c r="H400" s="7">
        <v>45560</v>
      </c>
      <c r="I400" s="1" t="s">
        <v>7455</v>
      </c>
      <c r="J400" s="7">
        <v>45560</v>
      </c>
      <c r="K400" s="1" t="s">
        <v>7455</v>
      </c>
    </row>
    <row r="401" spans="1:11" x14ac:dyDescent="0.3">
      <c r="A401" s="1">
        <v>400</v>
      </c>
      <c r="B401" s="1" t="s">
        <v>1155</v>
      </c>
      <c r="C401" s="1" t="s">
        <v>1156</v>
      </c>
      <c r="D401" s="1" t="s">
        <v>1157</v>
      </c>
      <c r="F401" s="1" t="s">
        <v>1158</v>
      </c>
      <c r="G401" s="1">
        <v>1</v>
      </c>
      <c r="H401" s="7">
        <v>45560</v>
      </c>
      <c r="I401" s="1" t="s">
        <v>7455</v>
      </c>
      <c r="J401" s="7">
        <v>45560</v>
      </c>
      <c r="K401" s="1" t="s">
        <v>7455</v>
      </c>
    </row>
    <row r="402" spans="1:11" x14ac:dyDescent="0.3">
      <c r="A402" s="1">
        <v>401</v>
      </c>
      <c r="B402" s="1" t="s">
        <v>1159</v>
      </c>
      <c r="C402" s="1" t="s">
        <v>1160</v>
      </c>
      <c r="F402" s="1" t="s">
        <v>1161</v>
      </c>
      <c r="G402" s="1">
        <v>1</v>
      </c>
      <c r="H402" s="7">
        <v>45560</v>
      </c>
      <c r="I402" s="1" t="s">
        <v>7455</v>
      </c>
      <c r="J402" s="7">
        <v>45560</v>
      </c>
      <c r="K402" s="1" t="s">
        <v>7455</v>
      </c>
    </row>
    <row r="403" spans="1:11" x14ac:dyDescent="0.3">
      <c r="A403" s="1">
        <v>402</v>
      </c>
      <c r="B403" s="1" t="s">
        <v>1162</v>
      </c>
      <c r="C403" s="1" t="s">
        <v>1163</v>
      </c>
      <c r="F403" s="1" t="s">
        <v>1164</v>
      </c>
      <c r="G403" s="1">
        <v>1</v>
      </c>
      <c r="H403" s="7">
        <v>45560</v>
      </c>
      <c r="I403" s="1" t="s">
        <v>7455</v>
      </c>
      <c r="J403" s="7">
        <v>45560</v>
      </c>
      <c r="K403" s="1" t="s">
        <v>7455</v>
      </c>
    </row>
    <row r="404" spans="1:11" x14ac:dyDescent="0.3">
      <c r="A404" s="1">
        <v>403</v>
      </c>
      <c r="B404" s="1" t="s">
        <v>1165</v>
      </c>
      <c r="C404" s="1" t="s">
        <v>1166</v>
      </c>
      <c r="F404" s="1" t="s">
        <v>1167</v>
      </c>
      <c r="G404" s="1">
        <v>1</v>
      </c>
      <c r="H404" s="7">
        <v>45560</v>
      </c>
      <c r="I404" s="1" t="s">
        <v>7455</v>
      </c>
      <c r="J404" s="7">
        <v>45560</v>
      </c>
      <c r="K404" s="1" t="s">
        <v>7455</v>
      </c>
    </row>
    <row r="405" spans="1:11" x14ac:dyDescent="0.3">
      <c r="A405" s="1">
        <v>404</v>
      </c>
      <c r="B405" s="1" t="s">
        <v>1168</v>
      </c>
      <c r="C405" s="1" t="s">
        <v>1169</v>
      </c>
      <c r="F405" s="1" t="s">
        <v>1170</v>
      </c>
      <c r="G405" s="1">
        <v>1</v>
      </c>
      <c r="H405" s="7">
        <v>45560</v>
      </c>
      <c r="I405" s="1" t="s">
        <v>7455</v>
      </c>
      <c r="J405" s="7">
        <v>45560</v>
      </c>
      <c r="K405" s="1" t="s">
        <v>7455</v>
      </c>
    </row>
    <row r="406" spans="1:11" x14ac:dyDescent="0.3">
      <c r="A406" s="1">
        <v>405</v>
      </c>
      <c r="B406" s="1" t="s">
        <v>1171</v>
      </c>
      <c r="C406" s="1" t="s">
        <v>1172</v>
      </c>
      <c r="F406" s="1" t="s">
        <v>1173</v>
      </c>
      <c r="G406" s="1">
        <v>1</v>
      </c>
      <c r="H406" s="7">
        <v>45560</v>
      </c>
      <c r="I406" s="1" t="s">
        <v>7455</v>
      </c>
      <c r="J406" s="7">
        <v>45560</v>
      </c>
      <c r="K406" s="1" t="s">
        <v>7455</v>
      </c>
    </row>
    <row r="407" spans="1:11" x14ac:dyDescent="0.3">
      <c r="A407" s="1">
        <v>406</v>
      </c>
      <c r="B407" s="1" t="s">
        <v>1174</v>
      </c>
      <c r="C407" s="1" t="s">
        <v>1175</v>
      </c>
      <c r="F407" s="1" t="s">
        <v>1176</v>
      </c>
      <c r="G407" s="1">
        <v>1</v>
      </c>
      <c r="H407" s="7">
        <v>45560</v>
      </c>
      <c r="I407" s="1" t="s">
        <v>7455</v>
      </c>
      <c r="J407" s="7">
        <v>45560</v>
      </c>
      <c r="K407" s="1" t="s">
        <v>7455</v>
      </c>
    </row>
    <row r="408" spans="1:11" x14ac:dyDescent="0.3">
      <c r="A408" s="1">
        <v>407</v>
      </c>
      <c r="B408" s="1" t="s">
        <v>1177</v>
      </c>
      <c r="C408" s="1" t="s">
        <v>1178</v>
      </c>
      <c r="F408" s="1" t="s">
        <v>1179</v>
      </c>
      <c r="G408" s="1">
        <v>1</v>
      </c>
      <c r="H408" s="7">
        <v>45560</v>
      </c>
      <c r="I408" s="1" t="s">
        <v>7455</v>
      </c>
      <c r="J408" s="7">
        <v>45560</v>
      </c>
      <c r="K408" s="1" t="s">
        <v>7455</v>
      </c>
    </row>
    <row r="409" spans="1:11" x14ac:dyDescent="0.3">
      <c r="A409" s="1">
        <v>408</v>
      </c>
      <c r="B409" s="1" t="s">
        <v>1180</v>
      </c>
      <c r="C409" s="1" t="s">
        <v>1181</v>
      </c>
      <c r="D409" s="1" t="s">
        <v>1182</v>
      </c>
      <c r="F409" s="1" t="s">
        <v>1183</v>
      </c>
      <c r="G409" s="1">
        <v>1</v>
      </c>
      <c r="H409" s="7">
        <v>45560</v>
      </c>
      <c r="I409" s="1" t="s">
        <v>7455</v>
      </c>
      <c r="J409" s="7">
        <v>45560</v>
      </c>
      <c r="K409" s="1" t="s">
        <v>7455</v>
      </c>
    </row>
    <row r="410" spans="1:11" x14ac:dyDescent="0.3">
      <c r="A410" s="1">
        <v>409</v>
      </c>
      <c r="B410" s="1" t="s">
        <v>1184</v>
      </c>
      <c r="C410" s="1" t="s">
        <v>1185</v>
      </c>
      <c r="F410" s="1" t="s">
        <v>1186</v>
      </c>
      <c r="G410" s="1">
        <v>1</v>
      </c>
      <c r="H410" s="7">
        <v>45560</v>
      </c>
      <c r="I410" s="1" t="s">
        <v>7455</v>
      </c>
      <c r="J410" s="7">
        <v>45560</v>
      </c>
      <c r="K410" s="1" t="s">
        <v>7455</v>
      </c>
    </row>
    <row r="411" spans="1:11" x14ac:dyDescent="0.3">
      <c r="A411" s="1">
        <v>410</v>
      </c>
      <c r="B411" s="1" t="s">
        <v>1187</v>
      </c>
      <c r="C411" s="1" t="s">
        <v>1188</v>
      </c>
      <c r="D411" s="1" t="s">
        <v>1189</v>
      </c>
      <c r="F411" s="1" t="s">
        <v>1190</v>
      </c>
      <c r="G411" s="1">
        <v>1</v>
      </c>
      <c r="H411" s="7">
        <v>45560</v>
      </c>
      <c r="I411" s="1" t="s">
        <v>7455</v>
      </c>
      <c r="J411" s="7">
        <v>45560</v>
      </c>
      <c r="K411" s="1" t="s">
        <v>7455</v>
      </c>
    </row>
    <row r="412" spans="1:11" x14ac:dyDescent="0.3">
      <c r="A412" s="1">
        <v>411</v>
      </c>
      <c r="B412" s="1" t="s">
        <v>1191</v>
      </c>
      <c r="C412" s="1" t="s">
        <v>1192</v>
      </c>
      <c r="F412" s="1" t="s">
        <v>1193</v>
      </c>
      <c r="G412" s="1">
        <v>1</v>
      </c>
      <c r="H412" s="7">
        <v>45560</v>
      </c>
      <c r="I412" s="1" t="s">
        <v>7455</v>
      </c>
      <c r="J412" s="7">
        <v>45560</v>
      </c>
      <c r="K412" s="1" t="s">
        <v>7455</v>
      </c>
    </row>
    <row r="413" spans="1:11" x14ac:dyDescent="0.3">
      <c r="A413" s="1">
        <v>412</v>
      </c>
      <c r="B413" s="1" t="s">
        <v>1194</v>
      </c>
      <c r="C413" s="1" t="s">
        <v>1195</v>
      </c>
      <c r="F413" s="1" t="s">
        <v>1196</v>
      </c>
      <c r="G413" s="1">
        <v>1</v>
      </c>
      <c r="H413" s="7">
        <v>45560</v>
      </c>
      <c r="I413" s="1" t="s">
        <v>7455</v>
      </c>
      <c r="J413" s="7">
        <v>45560</v>
      </c>
      <c r="K413" s="1" t="s">
        <v>7455</v>
      </c>
    </row>
    <row r="414" spans="1:11" x14ac:dyDescent="0.3">
      <c r="A414" s="1">
        <v>413</v>
      </c>
      <c r="B414" s="1" t="s">
        <v>1197</v>
      </c>
      <c r="C414" s="1" t="s">
        <v>1198</v>
      </c>
      <c r="D414" s="1" t="s">
        <v>1199</v>
      </c>
      <c r="F414" s="1" t="s">
        <v>1200</v>
      </c>
      <c r="G414" s="1">
        <v>1</v>
      </c>
      <c r="H414" s="7">
        <v>45560</v>
      </c>
      <c r="I414" s="1" t="s">
        <v>7455</v>
      </c>
      <c r="J414" s="7">
        <v>45560</v>
      </c>
      <c r="K414" s="1" t="s">
        <v>7455</v>
      </c>
    </row>
    <row r="415" spans="1:11" x14ac:dyDescent="0.3">
      <c r="A415" s="1">
        <v>414</v>
      </c>
      <c r="B415" s="1" t="s">
        <v>1201</v>
      </c>
      <c r="C415" s="1" t="s">
        <v>1202</v>
      </c>
      <c r="F415" s="1" t="s">
        <v>1203</v>
      </c>
      <c r="G415" s="1">
        <v>1</v>
      </c>
      <c r="H415" s="7">
        <v>45560</v>
      </c>
      <c r="I415" s="1" t="s">
        <v>7455</v>
      </c>
      <c r="J415" s="7">
        <v>45560</v>
      </c>
      <c r="K415" s="1" t="s">
        <v>7455</v>
      </c>
    </row>
    <row r="416" spans="1:11" x14ac:dyDescent="0.3">
      <c r="A416" s="1">
        <v>415</v>
      </c>
      <c r="B416" s="1" t="s">
        <v>1204</v>
      </c>
      <c r="C416" s="1" t="s">
        <v>1205</v>
      </c>
      <c r="F416" s="1" t="s">
        <v>1206</v>
      </c>
      <c r="G416" s="1">
        <v>1</v>
      </c>
      <c r="H416" s="7">
        <v>45560</v>
      </c>
      <c r="I416" s="1" t="s">
        <v>7455</v>
      </c>
      <c r="J416" s="7">
        <v>45560</v>
      </c>
      <c r="K416" s="1" t="s">
        <v>7455</v>
      </c>
    </row>
    <row r="417" spans="1:11" x14ac:dyDescent="0.3">
      <c r="A417" s="1">
        <v>416</v>
      </c>
      <c r="B417" s="1" t="s">
        <v>1207</v>
      </c>
      <c r="C417" s="1" t="s">
        <v>1208</v>
      </c>
      <c r="E417" s="1" t="s">
        <v>52</v>
      </c>
      <c r="G417" s="1">
        <v>1</v>
      </c>
      <c r="H417" s="7">
        <v>45560</v>
      </c>
      <c r="I417" s="1" t="s">
        <v>7455</v>
      </c>
      <c r="J417" s="7">
        <v>45560</v>
      </c>
      <c r="K417" s="1" t="s">
        <v>7455</v>
      </c>
    </row>
    <row r="418" spans="1:11" x14ac:dyDescent="0.3">
      <c r="A418" s="1">
        <v>417</v>
      </c>
      <c r="B418" s="1" t="s">
        <v>1209</v>
      </c>
      <c r="C418" s="1" t="s">
        <v>1210</v>
      </c>
      <c r="F418" s="1" t="s">
        <v>1211</v>
      </c>
      <c r="G418" s="1">
        <v>1</v>
      </c>
      <c r="H418" s="7">
        <v>45560</v>
      </c>
      <c r="I418" s="1" t="s">
        <v>7455</v>
      </c>
      <c r="J418" s="7">
        <v>45560</v>
      </c>
      <c r="K418" s="1" t="s">
        <v>7455</v>
      </c>
    </row>
    <row r="419" spans="1:11" x14ac:dyDescent="0.3">
      <c r="A419" s="1">
        <v>418</v>
      </c>
      <c r="B419" s="1" t="s">
        <v>1212</v>
      </c>
      <c r="C419" s="1" t="s">
        <v>1213</v>
      </c>
      <c r="F419" s="1" t="s">
        <v>1214</v>
      </c>
      <c r="G419" s="1">
        <v>1</v>
      </c>
      <c r="H419" s="7">
        <v>45560</v>
      </c>
      <c r="I419" s="1" t="s">
        <v>7455</v>
      </c>
      <c r="J419" s="7">
        <v>45560</v>
      </c>
      <c r="K419" s="1" t="s">
        <v>7455</v>
      </c>
    </row>
    <row r="420" spans="1:11" x14ac:dyDescent="0.3">
      <c r="A420" s="1">
        <v>419</v>
      </c>
      <c r="B420" s="1" t="s">
        <v>1215</v>
      </c>
      <c r="C420" s="1" t="s">
        <v>1216</v>
      </c>
      <c r="F420" s="1" t="s">
        <v>1217</v>
      </c>
      <c r="G420" s="1">
        <v>1</v>
      </c>
      <c r="H420" s="7">
        <v>45560</v>
      </c>
      <c r="I420" s="1" t="s">
        <v>7455</v>
      </c>
      <c r="J420" s="7">
        <v>45560</v>
      </c>
      <c r="K420" s="1" t="s">
        <v>7455</v>
      </c>
    </row>
    <row r="421" spans="1:11" x14ac:dyDescent="0.3">
      <c r="A421" s="1">
        <v>420</v>
      </c>
      <c r="B421" s="1" t="s">
        <v>1218</v>
      </c>
      <c r="C421" s="1" t="s">
        <v>1219</v>
      </c>
      <c r="F421" s="1" t="s">
        <v>1220</v>
      </c>
      <c r="G421" s="1">
        <v>1</v>
      </c>
      <c r="H421" s="7">
        <v>45560</v>
      </c>
      <c r="I421" s="1" t="s">
        <v>7455</v>
      </c>
      <c r="J421" s="7">
        <v>45560</v>
      </c>
      <c r="K421" s="1" t="s">
        <v>7455</v>
      </c>
    </row>
    <row r="422" spans="1:11" x14ac:dyDescent="0.3">
      <c r="A422" s="1">
        <v>421</v>
      </c>
      <c r="B422" s="1" t="s">
        <v>1221</v>
      </c>
      <c r="C422" s="1" t="s">
        <v>1222</v>
      </c>
      <c r="F422" s="1" t="s">
        <v>1223</v>
      </c>
      <c r="G422" s="1">
        <v>1</v>
      </c>
      <c r="H422" s="7">
        <v>45560</v>
      </c>
      <c r="I422" s="1" t="s">
        <v>7455</v>
      </c>
      <c r="J422" s="7">
        <v>45560</v>
      </c>
      <c r="K422" s="1" t="s">
        <v>7455</v>
      </c>
    </row>
    <row r="423" spans="1:11" x14ac:dyDescent="0.3">
      <c r="A423" s="1">
        <v>422</v>
      </c>
      <c r="B423" s="1" t="s">
        <v>1224</v>
      </c>
      <c r="C423" s="1" t="s">
        <v>1225</v>
      </c>
      <c r="D423" s="1" t="s">
        <v>1226</v>
      </c>
      <c r="F423" s="1" t="s">
        <v>1227</v>
      </c>
      <c r="G423" s="1">
        <v>1</v>
      </c>
      <c r="H423" s="7">
        <v>45560</v>
      </c>
      <c r="I423" s="1" t="s">
        <v>7455</v>
      </c>
      <c r="J423" s="7">
        <v>45560</v>
      </c>
      <c r="K423" s="1" t="s">
        <v>7455</v>
      </c>
    </row>
    <row r="424" spans="1:11" x14ac:dyDescent="0.3">
      <c r="A424" s="1">
        <v>423</v>
      </c>
      <c r="B424" s="1" t="s">
        <v>1228</v>
      </c>
      <c r="C424" s="1" t="s">
        <v>1229</v>
      </c>
      <c r="F424" s="1" t="s">
        <v>1230</v>
      </c>
      <c r="G424" s="1">
        <v>1</v>
      </c>
      <c r="H424" s="7">
        <v>45560</v>
      </c>
      <c r="I424" s="1" t="s">
        <v>7455</v>
      </c>
      <c r="J424" s="7">
        <v>45560</v>
      </c>
      <c r="K424" s="1" t="s">
        <v>7455</v>
      </c>
    </row>
    <row r="425" spans="1:11" x14ac:dyDescent="0.3">
      <c r="A425" s="1">
        <v>424</v>
      </c>
      <c r="B425" s="1" t="s">
        <v>1231</v>
      </c>
      <c r="C425" s="1" t="s">
        <v>1232</v>
      </c>
      <c r="F425" s="1" t="s">
        <v>1233</v>
      </c>
      <c r="G425" s="1">
        <v>1</v>
      </c>
      <c r="H425" s="7">
        <v>45560</v>
      </c>
      <c r="I425" s="1" t="s">
        <v>7455</v>
      </c>
      <c r="J425" s="7">
        <v>45560</v>
      </c>
      <c r="K425" s="1" t="s">
        <v>7455</v>
      </c>
    </row>
    <row r="426" spans="1:11" x14ac:dyDescent="0.3">
      <c r="A426" s="1">
        <v>425</v>
      </c>
      <c r="B426" s="1" t="s">
        <v>1234</v>
      </c>
      <c r="C426" s="1" t="s">
        <v>1235</v>
      </c>
      <c r="F426" s="1" t="s">
        <v>1236</v>
      </c>
      <c r="G426" s="1">
        <v>1</v>
      </c>
      <c r="H426" s="7">
        <v>45560</v>
      </c>
      <c r="I426" s="1" t="s">
        <v>7455</v>
      </c>
      <c r="J426" s="7">
        <v>45560</v>
      </c>
      <c r="K426" s="1" t="s">
        <v>7455</v>
      </c>
    </row>
    <row r="427" spans="1:11" x14ac:dyDescent="0.3">
      <c r="A427" s="1">
        <v>426</v>
      </c>
      <c r="B427" s="1" t="s">
        <v>1237</v>
      </c>
      <c r="C427" s="1" t="s">
        <v>1238</v>
      </c>
      <c r="F427" s="1" t="s">
        <v>1239</v>
      </c>
      <c r="G427" s="1">
        <v>1</v>
      </c>
      <c r="H427" s="7">
        <v>45560</v>
      </c>
      <c r="I427" s="1" t="s">
        <v>7455</v>
      </c>
      <c r="J427" s="7">
        <v>45560</v>
      </c>
      <c r="K427" s="1" t="s">
        <v>7455</v>
      </c>
    </row>
    <row r="428" spans="1:11" x14ac:dyDescent="0.3">
      <c r="A428" s="1">
        <v>427</v>
      </c>
      <c r="B428" s="1" t="s">
        <v>1240</v>
      </c>
      <c r="C428" s="1" t="s">
        <v>1241</v>
      </c>
      <c r="E428" s="1" t="s">
        <v>52</v>
      </c>
      <c r="G428" s="1">
        <v>1</v>
      </c>
      <c r="H428" s="7">
        <v>45560</v>
      </c>
      <c r="I428" s="1" t="s">
        <v>7455</v>
      </c>
      <c r="J428" s="7">
        <v>45560</v>
      </c>
      <c r="K428" s="1" t="s">
        <v>7455</v>
      </c>
    </row>
    <row r="429" spans="1:11" x14ac:dyDescent="0.3">
      <c r="A429" s="1">
        <v>428</v>
      </c>
      <c r="B429" s="1" t="s">
        <v>1242</v>
      </c>
      <c r="C429" s="1" t="s">
        <v>1243</v>
      </c>
      <c r="D429" s="1" t="s">
        <v>1244</v>
      </c>
      <c r="F429" s="1" t="s">
        <v>1245</v>
      </c>
      <c r="G429" s="1">
        <v>1</v>
      </c>
      <c r="H429" s="7">
        <v>45560</v>
      </c>
      <c r="I429" s="1" t="s">
        <v>7455</v>
      </c>
      <c r="J429" s="7">
        <v>45560</v>
      </c>
      <c r="K429" s="1" t="s">
        <v>7455</v>
      </c>
    </row>
    <row r="430" spans="1:11" x14ac:dyDescent="0.3">
      <c r="A430" s="1">
        <v>429</v>
      </c>
      <c r="B430" s="1" t="s">
        <v>1246</v>
      </c>
      <c r="C430" s="1" t="s">
        <v>1247</v>
      </c>
      <c r="F430" s="1" t="s">
        <v>1248</v>
      </c>
      <c r="G430" s="1">
        <v>1</v>
      </c>
      <c r="H430" s="7">
        <v>45560</v>
      </c>
      <c r="I430" s="1" t="s">
        <v>7455</v>
      </c>
      <c r="J430" s="7">
        <v>45560</v>
      </c>
      <c r="K430" s="1" t="s">
        <v>7455</v>
      </c>
    </row>
    <row r="431" spans="1:11" x14ac:dyDescent="0.3">
      <c r="A431" s="1">
        <v>430</v>
      </c>
      <c r="B431" s="1" t="s">
        <v>1249</v>
      </c>
      <c r="C431" s="1" t="s">
        <v>1250</v>
      </c>
      <c r="D431" s="1" t="s">
        <v>1251</v>
      </c>
      <c r="F431" s="1" t="s">
        <v>1252</v>
      </c>
      <c r="G431" s="1">
        <v>1</v>
      </c>
      <c r="H431" s="7">
        <v>45560</v>
      </c>
      <c r="I431" s="1" t="s">
        <v>7455</v>
      </c>
      <c r="J431" s="7">
        <v>45560</v>
      </c>
      <c r="K431" s="1" t="s">
        <v>7455</v>
      </c>
    </row>
    <row r="432" spans="1:11" x14ac:dyDescent="0.3">
      <c r="A432" s="1">
        <v>431</v>
      </c>
      <c r="B432" s="1" t="s">
        <v>1253</v>
      </c>
      <c r="C432" s="1" t="s">
        <v>1254</v>
      </c>
      <c r="F432" s="1" t="s">
        <v>1255</v>
      </c>
      <c r="G432" s="1">
        <v>1</v>
      </c>
      <c r="H432" s="7">
        <v>45560</v>
      </c>
      <c r="I432" s="1" t="s">
        <v>7455</v>
      </c>
      <c r="J432" s="7">
        <v>45560</v>
      </c>
      <c r="K432" s="1" t="s">
        <v>7455</v>
      </c>
    </row>
    <row r="433" spans="1:11" x14ac:dyDescent="0.3">
      <c r="A433" s="1">
        <v>432</v>
      </c>
      <c r="B433" s="1" t="s">
        <v>1256</v>
      </c>
      <c r="C433" s="1" t="s">
        <v>1257</v>
      </c>
      <c r="F433" s="1" t="s">
        <v>1258</v>
      </c>
      <c r="G433" s="1">
        <v>1</v>
      </c>
      <c r="H433" s="7">
        <v>45560</v>
      </c>
      <c r="I433" s="1" t="s">
        <v>7455</v>
      </c>
      <c r="J433" s="7">
        <v>45560</v>
      </c>
      <c r="K433" s="1" t="s">
        <v>7455</v>
      </c>
    </row>
    <row r="434" spans="1:11" x14ac:dyDescent="0.3">
      <c r="A434" s="1">
        <v>433</v>
      </c>
      <c r="B434" s="1" t="s">
        <v>1259</v>
      </c>
      <c r="C434" s="1" t="s">
        <v>1260</v>
      </c>
      <c r="F434" s="1" t="s">
        <v>1261</v>
      </c>
      <c r="G434" s="1">
        <v>1</v>
      </c>
      <c r="H434" s="7">
        <v>45560</v>
      </c>
      <c r="I434" s="1" t="s">
        <v>7455</v>
      </c>
      <c r="J434" s="7">
        <v>45560</v>
      </c>
      <c r="K434" s="1" t="s">
        <v>7455</v>
      </c>
    </row>
    <row r="435" spans="1:11" x14ac:dyDescent="0.3">
      <c r="A435" s="1">
        <v>434</v>
      </c>
      <c r="B435" s="1" t="s">
        <v>1262</v>
      </c>
      <c r="C435" s="1" t="s">
        <v>1263</v>
      </c>
      <c r="F435" s="1" t="s">
        <v>1264</v>
      </c>
      <c r="G435" s="1">
        <v>1</v>
      </c>
      <c r="H435" s="7">
        <v>45560</v>
      </c>
      <c r="I435" s="1" t="s">
        <v>7455</v>
      </c>
      <c r="J435" s="7">
        <v>45560</v>
      </c>
      <c r="K435" s="1" t="s">
        <v>7455</v>
      </c>
    </row>
    <row r="436" spans="1:11" x14ac:dyDescent="0.3">
      <c r="A436" s="1">
        <v>435</v>
      </c>
      <c r="B436" s="1" t="s">
        <v>1265</v>
      </c>
      <c r="C436" s="1" t="s">
        <v>1266</v>
      </c>
      <c r="F436" s="1" t="s">
        <v>1267</v>
      </c>
      <c r="G436" s="1">
        <v>1</v>
      </c>
      <c r="H436" s="7">
        <v>45560</v>
      </c>
      <c r="I436" s="1" t="s">
        <v>7455</v>
      </c>
      <c r="J436" s="7">
        <v>45560</v>
      </c>
      <c r="K436" s="1" t="s">
        <v>7455</v>
      </c>
    </row>
    <row r="437" spans="1:11" x14ac:dyDescent="0.3">
      <c r="A437" s="1">
        <v>436</v>
      </c>
      <c r="B437" s="1" t="s">
        <v>1268</v>
      </c>
      <c r="C437" s="1" t="s">
        <v>1269</v>
      </c>
      <c r="F437" s="1" t="s">
        <v>1270</v>
      </c>
      <c r="G437" s="1">
        <v>1</v>
      </c>
      <c r="H437" s="7">
        <v>45560</v>
      </c>
      <c r="I437" s="1" t="s">
        <v>7455</v>
      </c>
      <c r="J437" s="7">
        <v>45560</v>
      </c>
      <c r="K437" s="1" t="s">
        <v>7455</v>
      </c>
    </row>
    <row r="438" spans="1:11" x14ac:dyDescent="0.3">
      <c r="A438" s="1">
        <v>437</v>
      </c>
      <c r="B438" s="1" t="s">
        <v>1271</v>
      </c>
      <c r="C438" s="1" t="s">
        <v>1272</v>
      </c>
      <c r="D438" s="1" t="s">
        <v>1273</v>
      </c>
      <c r="G438" s="1">
        <v>1</v>
      </c>
      <c r="H438" s="7">
        <v>45560</v>
      </c>
      <c r="I438" s="1" t="s">
        <v>7455</v>
      </c>
      <c r="J438" s="7">
        <v>45560</v>
      </c>
      <c r="K438" s="1" t="s">
        <v>7455</v>
      </c>
    </row>
    <row r="439" spans="1:11" x14ac:dyDescent="0.3">
      <c r="A439" s="1">
        <v>438</v>
      </c>
      <c r="B439" s="1" t="s">
        <v>1274</v>
      </c>
      <c r="C439" s="1" t="s">
        <v>1275</v>
      </c>
      <c r="E439" s="1" t="s">
        <v>52</v>
      </c>
      <c r="G439" s="1">
        <v>1</v>
      </c>
      <c r="H439" s="7">
        <v>45560</v>
      </c>
      <c r="I439" s="1" t="s">
        <v>7455</v>
      </c>
      <c r="J439" s="7">
        <v>45560</v>
      </c>
      <c r="K439" s="1" t="s">
        <v>7455</v>
      </c>
    </row>
    <row r="440" spans="1:11" x14ac:dyDescent="0.3">
      <c r="A440" s="1">
        <v>439</v>
      </c>
      <c r="B440" s="1" t="s">
        <v>1276</v>
      </c>
      <c r="C440" s="1" t="s">
        <v>1277</v>
      </c>
      <c r="F440" s="1" t="s">
        <v>1278</v>
      </c>
      <c r="G440" s="1">
        <v>1</v>
      </c>
      <c r="H440" s="7">
        <v>45560</v>
      </c>
      <c r="I440" s="1" t="s">
        <v>7455</v>
      </c>
      <c r="J440" s="7">
        <v>45560</v>
      </c>
      <c r="K440" s="1" t="s">
        <v>7455</v>
      </c>
    </row>
    <row r="441" spans="1:11" x14ac:dyDescent="0.3">
      <c r="A441" s="1">
        <v>440</v>
      </c>
      <c r="B441" s="1" t="s">
        <v>1279</v>
      </c>
      <c r="C441" s="1" t="s">
        <v>1280</v>
      </c>
      <c r="F441" s="1" t="s">
        <v>1281</v>
      </c>
      <c r="G441" s="1">
        <v>1</v>
      </c>
      <c r="H441" s="7">
        <v>45560</v>
      </c>
      <c r="I441" s="1" t="s">
        <v>7455</v>
      </c>
      <c r="J441" s="7">
        <v>45560</v>
      </c>
      <c r="K441" s="1" t="s">
        <v>7455</v>
      </c>
    </row>
    <row r="442" spans="1:11" x14ac:dyDescent="0.3">
      <c r="A442" s="1">
        <v>441</v>
      </c>
      <c r="B442" s="1" t="s">
        <v>1282</v>
      </c>
      <c r="C442" s="1" t="s">
        <v>1283</v>
      </c>
      <c r="D442" s="1" t="s">
        <v>1284</v>
      </c>
      <c r="F442" s="1">
        <v>1</v>
      </c>
      <c r="G442" s="1">
        <v>1</v>
      </c>
      <c r="H442" s="7">
        <v>45560</v>
      </c>
      <c r="I442" s="1" t="s">
        <v>7455</v>
      </c>
      <c r="J442" s="7">
        <v>45560</v>
      </c>
      <c r="K442" s="1" t="s">
        <v>7455</v>
      </c>
    </row>
    <row r="443" spans="1:11" x14ac:dyDescent="0.3">
      <c r="A443" s="1">
        <v>442</v>
      </c>
      <c r="B443" s="1" t="s">
        <v>1285</v>
      </c>
      <c r="C443" s="1" t="s">
        <v>1286</v>
      </c>
      <c r="D443" s="1" t="s">
        <v>1287</v>
      </c>
      <c r="F443" s="1" t="s">
        <v>1288</v>
      </c>
      <c r="G443" s="1">
        <v>1</v>
      </c>
      <c r="H443" s="7">
        <v>45560</v>
      </c>
      <c r="I443" s="1" t="s">
        <v>7455</v>
      </c>
      <c r="J443" s="7">
        <v>45560</v>
      </c>
      <c r="K443" s="1" t="s">
        <v>7455</v>
      </c>
    </row>
    <row r="444" spans="1:11" x14ac:dyDescent="0.3">
      <c r="A444" s="1">
        <v>443</v>
      </c>
      <c r="B444" s="1" t="s">
        <v>1289</v>
      </c>
      <c r="C444" s="1" t="s">
        <v>1290</v>
      </c>
      <c r="F444" s="1" t="s">
        <v>1291</v>
      </c>
      <c r="G444" s="1">
        <v>1</v>
      </c>
      <c r="H444" s="7">
        <v>45560</v>
      </c>
      <c r="I444" s="1" t="s">
        <v>7455</v>
      </c>
      <c r="J444" s="7">
        <v>45560</v>
      </c>
      <c r="K444" s="1" t="s">
        <v>7455</v>
      </c>
    </row>
    <row r="445" spans="1:11" x14ac:dyDescent="0.3">
      <c r="A445" s="1">
        <v>444</v>
      </c>
      <c r="B445" s="1" t="s">
        <v>1292</v>
      </c>
      <c r="C445" s="1" t="s">
        <v>1293</v>
      </c>
      <c r="D445" s="1" t="s">
        <v>1294</v>
      </c>
      <c r="F445" s="1" t="s">
        <v>1295</v>
      </c>
      <c r="G445" s="1">
        <v>1</v>
      </c>
      <c r="H445" s="7">
        <v>45560</v>
      </c>
      <c r="I445" s="1" t="s">
        <v>7455</v>
      </c>
      <c r="J445" s="7">
        <v>45560</v>
      </c>
      <c r="K445" s="1" t="s">
        <v>7455</v>
      </c>
    </row>
    <row r="446" spans="1:11" x14ac:dyDescent="0.3">
      <c r="A446" s="1">
        <v>445</v>
      </c>
      <c r="B446" s="1" t="s">
        <v>1296</v>
      </c>
      <c r="C446" s="1" t="s">
        <v>1297</v>
      </c>
      <c r="F446" s="1" t="s">
        <v>1298</v>
      </c>
      <c r="G446" s="1">
        <v>1</v>
      </c>
      <c r="H446" s="7">
        <v>45560</v>
      </c>
      <c r="I446" s="1" t="s">
        <v>7455</v>
      </c>
      <c r="J446" s="7">
        <v>45560</v>
      </c>
      <c r="K446" s="1" t="s">
        <v>7455</v>
      </c>
    </row>
    <row r="447" spans="1:11" x14ac:dyDescent="0.3">
      <c r="A447" s="1">
        <v>446</v>
      </c>
      <c r="B447" s="1" t="s">
        <v>1299</v>
      </c>
      <c r="C447" s="1" t="s">
        <v>1300</v>
      </c>
      <c r="F447" s="1" t="s">
        <v>1301</v>
      </c>
      <c r="G447" s="1">
        <v>1</v>
      </c>
      <c r="H447" s="7">
        <v>45560</v>
      </c>
      <c r="I447" s="1" t="s">
        <v>7455</v>
      </c>
      <c r="J447" s="7">
        <v>45560</v>
      </c>
      <c r="K447" s="1" t="s">
        <v>7455</v>
      </c>
    </row>
    <row r="448" spans="1:11" x14ac:dyDescent="0.3">
      <c r="A448" s="1">
        <v>447</v>
      </c>
      <c r="B448" s="1" t="s">
        <v>1302</v>
      </c>
      <c r="C448" s="1" t="s">
        <v>1303</v>
      </c>
      <c r="F448" s="1" t="s">
        <v>1304</v>
      </c>
      <c r="G448" s="1">
        <v>1</v>
      </c>
      <c r="H448" s="7">
        <v>45560</v>
      </c>
      <c r="I448" s="1" t="s">
        <v>7455</v>
      </c>
      <c r="J448" s="7">
        <v>45560</v>
      </c>
      <c r="K448" s="1" t="s">
        <v>7455</v>
      </c>
    </row>
    <row r="449" spans="1:11" x14ac:dyDescent="0.3">
      <c r="A449" s="1">
        <v>448</v>
      </c>
      <c r="B449" s="1" t="s">
        <v>1305</v>
      </c>
      <c r="C449" s="1" t="s">
        <v>1306</v>
      </c>
      <c r="D449" s="1" t="s">
        <v>1307</v>
      </c>
      <c r="G449" s="1">
        <v>1</v>
      </c>
      <c r="H449" s="7">
        <v>45560</v>
      </c>
      <c r="I449" s="1" t="s">
        <v>7455</v>
      </c>
      <c r="J449" s="7">
        <v>45560</v>
      </c>
      <c r="K449" s="1" t="s">
        <v>7455</v>
      </c>
    </row>
    <row r="450" spans="1:11" x14ac:dyDescent="0.3">
      <c r="A450" s="1">
        <v>449</v>
      </c>
      <c r="B450" s="1" t="s">
        <v>1308</v>
      </c>
      <c r="C450" s="1" t="s">
        <v>1309</v>
      </c>
      <c r="F450" s="1" t="s">
        <v>1310</v>
      </c>
      <c r="G450" s="1">
        <v>1</v>
      </c>
      <c r="H450" s="7">
        <v>45560</v>
      </c>
      <c r="I450" s="1" t="s">
        <v>7455</v>
      </c>
      <c r="J450" s="7">
        <v>45560</v>
      </c>
      <c r="K450" s="1" t="s">
        <v>7455</v>
      </c>
    </row>
    <row r="451" spans="1:11" x14ac:dyDescent="0.3">
      <c r="A451" s="1">
        <v>450</v>
      </c>
      <c r="B451" s="1" t="s">
        <v>1311</v>
      </c>
      <c r="C451" s="1" t="s">
        <v>1312</v>
      </c>
      <c r="F451" s="1" t="s">
        <v>1313</v>
      </c>
      <c r="G451" s="1">
        <v>1</v>
      </c>
      <c r="H451" s="7">
        <v>45560</v>
      </c>
      <c r="I451" s="1" t="s">
        <v>7455</v>
      </c>
      <c r="J451" s="7">
        <v>45560</v>
      </c>
      <c r="K451" s="1" t="s">
        <v>7455</v>
      </c>
    </row>
    <row r="452" spans="1:11" x14ac:dyDescent="0.3">
      <c r="A452" s="1">
        <v>451</v>
      </c>
      <c r="B452" s="1" t="s">
        <v>1314</v>
      </c>
      <c r="C452" s="1" t="s">
        <v>1315</v>
      </c>
      <c r="F452" s="1" t="s">
        <v>1316</v>
      </c>
      <c r="G452" s="1">
        <v>1</v>
      </c>
      <c r="H452" s="7">
        <v>45560</v>
      </c>
      <c r="I452" s="1" t="s">
        <v>7455</v>
      </c>
      <c r="J452" s="7">
        <v>45560</v>
      </c>
      <c r="K452" s="1" t="s">
        <v>7455</v>
      </c>
    </row>
    <row r="453" spans="1:11" x14ac:dyDescent="0.3">
      <c r="A453" s="1">
        <v>452</v>
      </c>
      <c r="B453" s="1" t="s">
        <v>1317</v>
      </c>
      <c r="C453" s="1" t="s">
        <v>1318</v>
      </c>
      <c r="F453" s="1" t="s">
        <v>1319</v>
      </c>
      <c r="G453" s="1">
        <v>1</v>
      </c>
      <c r="H453" s="7">
        <v>45560</v>
      </c>
      <c r="I453" s="1" t="s">
        <v>7455</v>
      </c>
      <c r="J453" s="7">
        <v>45560</v>
      </c>
      <c r="K453" s="1" t="s">
        <v>7455</v>
      </c>
    </row>
    <row r="454" spans="1:11" x14ac:dyDescent="0.3">
      <c r="A454" s="1">
        <v>453</v>
      </c>
      <c r="B454" s="1" t="s">
        <v>1320</v>
      </c>
      <c r="C454" s="1" t="s">
        <v>1321</v>
      </c>
      <c r="F454" s="1" t="s">
        <v>1322</v>
      </c>
      <c r="G454" s="1">
        <v>1</v>
      </c>
      <c r="H454" s="7">
        <v>45560</v>
      </c>
      <c r="I454" s="1" t="s">
        <v>7455</v>
      </c>
      <c r="J454" s="7">
        <v>45560</v>
      </c>
      <c r="K454" s="1" t="s">
        <v>7455</v>
      </c>
    </row>
    <row r="455" spans="1:11" x14ac:dyDescent="0.3">
      <c r="A455" s="1">
        <v>454</v>
      </c>
      <c r="B455" s="1" t="s">
        <v>1323</v>
      </c>
      <c r="C455" s="1" t="s">
        <v>1324</v>
      </c>
      <c r="D455" s="1" t="s">
        <v>1325</v>
      </c>
      <c r="F455" s="1" t="s">
        <v>1326</v>
      </c>
      <c r="G455" s="1">
        <v>1</v>
      </c>
      <c r="H455" s="7">
        <v>45560</v>
      </c>
      <c r="I455" s="1" t="s">
        <v>7455</v>
      </c>
      <c r="J455" s="7">
        <v>45560</v>
      </c>
      <c r="K455" s="1" t="s">
        <v>7455</v>
      </c>
    </row>
    <row r="456" spans="1:11" x14ac:dyDescent="0.3">
      <c r="A456" s="1">
        <v>455</v>
      </c>
      <c r="B456" s="1" t="s">
        <v>1327</v>
      </c>
      <c r="C456" s="1" t="s">
        <v>1328</v>
      </c>
      <c r="F456" s="1" t="s">
        <v>1329</v>
      </c>
      <c r="G456" s="1">
        <v>1</v>
      </c>
      <c r="H456" s="7">
        <v>45560</v>
      </c>
      <c r="I456" s="1" t="s">
        <v>7455</v>
      </c>
      <c r="J456" s="7">
        <v>45560</v>
      </c>
      <c r="K456" s="1" t="s">
        <v>7455</v>
      </c>
    </row>
    <row r="457" spans="1:11" x14ac:dyDescent="0.3">
      <c r="A457" s="1">
        <v>456</v>
      </c>
      <c r="B457" s="1" t="s">
        <v>1330</v>
      </c>
      <c r="C457" s="1" t="s">
        <v>1331</v>
      </c>
      <c r="D457" s="1" t="s">
        <v>1332</v>
      </c>
      <c r="F457" s="1" t="s">
        <v>1333</v>
      </c>
      <c r="G457" s="1">
        <v>1</v>
      </c>
      <c r="H457" s="7">
        <v>45560</v>
      </c>
      <c r="I457" s="1" t="s">
        <v>7455</v>
      </c>
      <c r="J457" s="7">
        <v>45560</v>
      </c>
      <c r="K457" s="1" t="s">
        <v>7455</v>
      </c>
    </row>
    <row r="458" spans="1:11" x14ac:dyDescent="0.3">
      <c r="A458" s="1">
        <v>457</v>
      </c>
      <c r="B458" s="1" t="s">
        <v>1334</v>
      </c>
      <c r="C458" s="1" t="s">
        <v>1335</v>
      </c>
      <c r="E458" s="1" t="s">
        <v>52</v>
      </c>
      <c r="G458" s="1">
        <v>1</v>
      </c>
      <c r="H458" s="7">
        <v>45560</v>
      </c>
      <c r="I458" s="1" t="s">
        <v>7455</v>
      </c>
      <c r="J458" s="7">
        <v>45560</v>
      </c>
      <c r="K458" s="1" t="s">
        <v>7455</v>
      </c>
    </row>
    <row r="459" spans="1:11" x14ac:dyDescent="0.3">
      <c r="A459" s="1">
        <v>458</v>
      </c>
      <c r="B459" s="1" t="s">
        <v>1336</v>
      </c>
      <c r="C459" s="1" t="s">
        <v>1337</v>
      </c>
      <c r="F459" s="1" t="s">
        <v>1338</v>
      </c>
      <c r="G459" s="1">
        <v>1</v>
      </c>
      <c r="H459" s="7">
        <v>45560</v>
      </c>
      <c r="I459" s="1" t="s">
        <v>7455</v>
      </c>
      <c r="J459" s="7">
        <v>45560</v>
      </c>
      <c r="K459" s="1" t="s">
        <v>7455</v>
      </c>
    </row>
    <row r="460" spans="1:11" x14ac:dyDescent="0.3">
      <c r="A460" s="1">
        <v>459</v>
      </c>
      <c r="B460" s="1" t="s">
        <v>1339</v>
      </c>
      <c r="C460" s="1" t="s">
        <v>1340</v>
      </c>
      <c r="D460" s="1" t="s">
        <v>1341</v>
      </c>
      <c r="F460" s="1" t="s">
        <v>1342</v>
      </c>
      <c r="G460" s="1">
        <v>1</v>
      </c>
      <c r="H460" s="7">
        <v>45560</v>
      </c>
      <c r="I460" s="1" t="s">
        <v>7455</v>
      </c>
      <c r="J460" s="7">
        <v>45560</v>
      </c>
      <c r="K460" s="1" t="s">
        <v>7455</v>
      </c>
    </row>
    <row r="461" spans="1:11" x14ac:dyDescent="0.3">
      <c r="A461" s="1">
        <v>460</v>
      </c>
      <c r="B461" s="1" t="s">
        <v>1343</v>
      </c>
      <c r="C461" s="1" t="s">
        <v>1344</v>
      </c>
      <c r="F461" s="1" t="s">
        <v>1345</v>
      </c>
      <c r="G461" s="1">
        <v>1</v>
      </c>
      <c r="H461" s="7">
        <v>45560</v>
      </c>
      <c r="I461" s="1" t="s">
        <v>7455</v>
      </c>
      <c r="J461" s="7">
        <v>45560</v>
      </c>
      <c r="K461" s="1" t="s">
        <v>7455</v>
      </c>
    </row>
    <row r="462" spans="1:11" x14ac:dyDescent="0.3">
      <c r="A462" s="1">
        <v>461</v>
      </c>
      <c r="B462" s="1" t="s">
        <v>1346</v>
      </c>
      <c r="C462" s="1" t="s">
        <v>1347</v>
      </c>
      <c r="F462" s="1" t="s">
        <v>1348</v>
      </c>
      <c r="G462" s="1">
        <v>1</v>
      </c>
      <c r="H462" s="7">
        <v>45560</v>
      </c>
      <c r="I462" s="1" t="s">
        <v>7455</v>
      </c>
      <c r="J462" s="7">
        <v>45560</v>
      </c>
      <c r="K462" s="1" t="s">
        <v>7455</v>
      </c>
    </row>
    <row r="463" spans="1:11" x14ac:dyDescent="0.3">
      <c r="A463" s="1">
        <v>462</v>
      </c>
      <c r="B463" s="1" t="s">
        <v>1349</v>
      </c>
      <c r="C463" s="1" t="s">
        <v>1350</v>
      </c>
      <c r="D463" s="1" t="s">
        <v>1351</v>
      </c>
      <c r="F463" s="1" t="s">
        <v>1348</v>
      </c>
      <c r="G463" s="1">
        <v>1</v>
      </c>
      <c r="H463" s="7">
        <v>45560</v>
      </c>
      <c r="I463" s="1" t="s">
        <v>7455</v>
      </c>
      <c r="J463" s="7">
        <v>45560</v>
      </c>
      <c r="K463" s="1" t="s">
        <v>7455</v>
      </c>
    </row>
    <row r="464" spans="1:11" x14ac:dyDescent="0.3">
      <c r="A464" s="1">
        <v>463</v>
      </c>
      <c r="B464" s="1" t="s">
        <v>1352</v>
      </c>
      <c r="C464" s="1" t="s">
        <v>1353</v>
      </c>
      <c r="F464" s="1" t="s">
        <v>1354</v>
      </c>
      <c r="G464" s="1">
        <v>1</v>
      </c>
      <c r="H464" s="7">
        <v>45560</v>
      </c>
      <c r="I464" s="1" t="s">
        <v>7455</v>
      </c>
      <c r="J464" s="7">
        <v>45560</v>
      </c>
      <c r="K464" s="1" t="s">
        <v>7455</v>
      </c>
    </row>
    <row r="465" spans="1:11" x14ac:dyDescent="0.3">
      <c r="A465" s="1">
        <v>464</v>
      </c>
      <c r="B465" s="1" t="s">
        <v>1355</v>
      </c>
      <c r="C465" s="1" t="s">
        <v>1356</v>
      </c>
      <c r="F465" s="1" t="s">
        <v>1357</v>
      </c>
      <c r="G465" s="1">
        <v>1</v>
      </c>
      <c r="H465" s="7">
        <v>45560</v>
      </c>
      <c r="I465" s="1" t="s">
        <v>7455</v>
      </c>
      <c r="J465" s="7">
        <v>45560</v>
      </c>
      <c r="K465" s="1" t="s">
        <v>7455</v>
      </c>
    </row>
    <row r="466" spans="1:11" x14ac:dyDescent="0.3">
      <c r="A466" s="1">
        <v>465</v>
      </c>
      <c r="B466" s="1" t="s">
        <v>1358</v>
      </c>
      <c r="C466" s="1" t="s">
        <v>1359</v>
      </c>
      <c r="F466" s="1" t="s">
        <v>1360</v>
      </c>
      <c r="G466" s="1">
        <v>1</v>
      </c>
      <c r="H466" s="7">
        <v>45560</v>
      </c>
      <c r="I466" s="1" t="s">
        <v>7455</v>
      </c>
      <c r="J466" s="7">
        <v>45560</v>
      </c>
      <c r="K466" s="1" t="s">
        <v>7455</v>
      </c>
    </row>
    <row r="467" spans="1:11" x14ac:dyDescent="0.3">
      <c r="A467" s="1">
        <v>466</v>
      </c>
      <c r="B467" s="1" t="s">
        <v>1361</v>
      </c>
      <c r="C467" s="1" t="s">
        <v>1362</v>
      </c>
      <c r="F467" s="1" t="s">
        <v>1363</v>
      </c>
      <c r="G467" s="1">
        <v>1</v>
      </c>
      <c r="H467" s="7">
        <v>45560</v>
      </c>
      <c r="I467" s="1" t="s">
        <v>7455</v>
      </c>
      <c r="J467" s="7">
        <v>45560</v>
      </c>
      <c r="K467" s="1" t="s">
        <v>7455</v>
      </c>
    </row>
    <row r="468" spans="1:11" x14ac:dyDescent="0.3">
      <c r="A468" s="1">
        <v>467</v>
      </c>
      <c r="B468" s="1" t="s">
        <v>1364</v>
      </c>
      <c r="C468" s="1" t="s">
        <v>1365</v>
      </c>
      <c r="F468" s="1" t="s">
        <v>1366</v>
      </c>
      <c r="G468" s="1">
        <v>1</v>
      </c>
      <c r="H468" s="7">
        <v>45560</v>
      </c>
      <c r="I468" s="1" t="s">
        <v>7455</v>
      </c>
      <c r="J468" s="7">
        <v>45560</v>
      </c>
      <c r="K468" s="1" t="s">
        <v>7455</v>
      </c>
    </row>
    <row r="469" spans="1:11" x14ac:dyDescent="0.3">
      <c r="A469" s="1">
        <v>468</v>
      </c>
      <c r="B469" s="1" t="s">
        <v>1367</v>
      </c>
      <c r="C469" s="1" t="s">
        <v>1368</v>
      </c>
      <c r="D469" s="1" t="s">
        <v>1369</v>
      </c>
      <c r="F469" s="1" t="s">
        <v>1370</v>
      </c>
      <c r="G469" s="1">
        <v>1</v>
      </c>
      <c r="H469" s="7">
        <v>45560</v>
      </c>
      <c r="I469" s="1" t="s">
        <v>7455</v>
      </c>
      <c r="J469" s="7">
        <v>45560</v>
      </c>
      <c r="K469" s="1" t="s">
        <v>7455</v>
      </c>
    </row>
    <row r="470" spans="1:11" x14ac:dyDescent="0.3">
      <c r="A470" s="1">
        <v>469</v>
      </c>
      <c r="B470" s="1" t="s">
        <v>1371</v>
      </c>
      <c r="C470" s="1" t="s">
        <v>1372</v>
      </c>
      <c r="F470" s="1" t="s">
        <v>1373</v>
      </c>
      <c r="G470" s="1">
        <v>1</v>
      </c>
      <c r="H470" s="7">
        <v>45560</v>
      </c>
      <c r="I470" s="1" t="s">
        <v>7455</v>
      </c>
      <c r="J470" s="7">
        <v>45560</v>
      </c>
      <c r="K470" s="1" t="s">
        <v>7455</v>
      </c>
    </row>
    <row r="471" spans="1:11" x14ac:dyDescent="0.3">
      <c r="A471" s="1">
        <v>470</v>
      </c>
      <c r="B471" s="1" t="s">
        <v>1374</v>
      </c>
      <c r="C471" s="1" t="s">
        <v>1375</v>
      </c>
      <c r="F471" s="1" t="s">
        <v>1376</v>
      </c>
      <c r="G471" s="1">
        <v>1</v>
      </c>
      <c r="H471" s="7">
        <v>45560</v>
      </c>
      <c r="I471" s="1" t="s">
        <v>7455</v>
      </c>
      <c r="J471" s="7">
        <v>45560</v>
      </c>
      <c r="K471" s="1" t="s">
        <v>7455</v>
      </c>
    </row>
    <row r="472" spans="1:11" x14ac:dyDescent="0.3">
      <c r="A472" s="1">
        <v>471</v>
      </c>
      <c r="B472" s="1" t="s">
        <v>1377</v>
      </c>
      <c r="C472" s="1" t="s">
        <v>1378</v>
      </c>
      <c r="D472" s="1" t="s">
        <v>1379</v>
      </c>
      <c r="G472" s="1">
        <v>1</v>
      </c>
      <c r="H472" s="7">
        <v>45560</v>
      </c>
      <c r="I472" s="1" t="s">
        <v>7455</v>
      </c>
      <c r="J472" s="7">
        <v>45560</v>
      </c>
      <c r="K472" s="1" t="s">
        <v>7455</v>
      </c>
    </row>
    <row r="473" spans="1:11" x14ac:dyDescent="0.3">
      <c r="A473" s="1">
        <v>472</v>
      </c>
      <c r="B473" s="1" t="s">
        <v>1380</v>
      </c>
      <c r="C473" s="1" t="s">
        <v>1381</v>
      </c>
      <c r="F473" s="1" t="s">
        <v>1382</v>
      </c>
      <c r="G473" s="1">
        <v>1</v>
      </c>
      <c r="H473" s="7">
        <v>45560</v>
      </c>
      <c r="I473" s="1" t="s">
        <v>7455</v>
      </c>
      <c r="J473" s="7">
        <v>45560</v>
      </c>
      <c r="K473" s="1" t="s">
        <v>7455</v>
      </c>
    </row>
    <row r="474" spans="1:11" x14ac:dyDescent="0.3">
      <c r="A474" s="1">
        <v>473</v>
      </c>
      <c r="B474" s="1" t="s">
        <v>1383</v>
      </c>
      <c r="C474" s="1" t="s">
        <v>1384</v>
      </c>
      <c r="F474" s="1" t="s">
        <v>1385</v>
      </c>
      <c r="G474" s="1">
        <v>1</v>
      </c>
      <c r="H474" s="7">
        <v>45560</v>
      </c>
      <c r="I474" s="1" t="s">
        <v>7455</v>
      </c>
      <c r="J474" s="7">
        <v>45560</v>
      </c>
      <c r="K474" s="1" t="s">
        <v>7455</v>
      </c>
    </row>
    <row r="475" spans="1:11" x14ac:dyDescent="0.3">
      <c r="A475" s="1">
        <v>474</v>
      </c>
      <c r="B475" s="1" t="s">
        <v>1386</v>
      </c>
      <c r="C475" s="1" t="s">
        <v>1387</v>
      </c>
      <c r="F475" s="1" t="s">
        <v>1388</v>
      </c>
      <c r="G475" s="1">
        <v>1</v>
      </c>
      <c r="H475" s="7">
        <v>45560</v>
      </c>
      <c r="I475" s="1" t="s">
        <v>7455</v>
      </c>
      <c r="J475" s="7">
        <v>45560</v>
      </c>
      <c r="K475" s="1" t="s">
        <v>7455</v>
      </c>
    </row>
    <row r="476" spans="1:11" x14ac:dyDescent="0.3">
      <c r="A476" s="1">
        <v>475</v>
      </c>
      <c r="B476" s="1" t="s">
        <v>1389</v>
      </c>
      <c r="C476" s="1" t="s">
        <v>1390</v>
      </c>
      <c r="D476" s="1" t="s">
        <v>1391</v>
      </c>
      <c r="F476" s="1" t="s">
        <v>1392</v>
      </c>
      <c r="G476" s="1">
        <v>1</v>
      </c>
      <c r="H476" s="7">
        <v>45560</v>
      </c>
      <c r="I476" s="1" t="s">
        <v>7455</v>
      </c>
      <c r="J476" s="7">
        <v>45560</v>
      </c>
      <c r="K476" s="1" t="s">
        <v>7455</v>
      </c>
    </row>
    <row r="477" spans="1:11" x14ac:dyDescent="0.3">
      <c r="A477" s="1">
        <v>476</v>
      </c>
      <c r="B477" s="1" t="s">
        <v>1393</v>
      </c>
      <c r="C477" s="1" t="s">
        <v>1394</v>
      </c>
      <c r="F477" s="1" t="s">
        <v>1395</v>
      </c>
      <c r="G477" s="1">
        <v>1</v>
      </c>
      <c r="H477" s="7">
        <v>45560</v>
      </c>
      <c r="I477" s="1" t="s">
        <v>7455</v>
      </c>
      <c r="J477" s="7">
        <v>45560</v>
      </c>
      <c r="K477" s="1" t="s">
        <v>7455</v>
      </c>
    </row>
    <row r="478" spans="1:11" x14ac:dyDescent="0.3">
      <c r="A478" s="1">
        <v>477</v>
      </c>
      <c r="B478" s="1" t="s">
        <v>1396</v>
      </c>
      <c r="C478" s="1" t="s">
        <v>1397</v>
      </c>
      <c r="D478" s="1" t="s">
        <v>1398</v>
      </c>
      <c r="F478" s="1" t="s">
        <v>1399</v>
      </c>
      <c r="G478" s="1">
        <v>1</v>
      </c>
      <c r="H478" s="7">
        <v>45560</v>
      </c>
      <c r="I478" s="1" t="s">
        <v>7455</v>
      </c>
      <c r="J478" s="7">
        <v>45560</v>
      </c>
      <c r="K478" s="1" t="s">
        <v>7455</v>
      </c>
    </row>
    <row r="479" spans="1:11" x14ac:dyDescent="0.3">
      <c r="A479" s="1">
        <v>478</v>
      </c>
      <c r="B479" s="1" t="s">
        <v>1400</v>
      </c>
      <c r="C479" s="1" t="s">
        <v>1401</v>
      </c>
      <c r="F479" s="1" t="s">
        <v>1402</v>
      </c>
      <c r="G479" s="1">
        <v>1</v>
      </c>
      <c r="H479" s="7">
        <v>45560</v>
      </c>
      <c r="I479" s="1" t="s">
        <v>7455</v>
      </c>
      <c r="J479" s="7">
        <v>45560</v>
      </c>
      <c r="K479" s="1" t="s">
        <v>7455</v>
      </c>
    </row>
    <row r="480" spans="1:11" x14ac:dyDescent="0.3">
      <c r="A480" s="1">
        <v>479</v>
      </c>
      <c r="B480" s="1" t="s">
        <v>1403</v>
      </c>
      <c r="C480" s="1" t="s">
        <v>1404</v>
      </c>
      <c r="F480" s="1" t="s">
        <v>1405</v>
      </c>
      <c r="G480" s="1">
        <v>1</v>
      </c>
      <c r="H480" s="7">
        <v>45560</v>
      </c>
      <c r="I480" s="1" t="s">
        <v>7455</v>
      </c>
      <c r="J480" s="7">
        <v>45560</v>
      </c>
      <c r="K480" s="1" t="s">
        <v>7455</v>
      </c>
    </row>
    <row r="481" spans="1:11" x14ac:dyDescent="0.3">
      <c r="A481" s="1">
        <v>480</v>
      </c>
      <c r="B481" s="1" t="s">
        <v>1406</v>
      </c>
      <c r="C481" s="1" t="s">
        <v>1407</v>
      </c>
      <c r="E481" s="1" t="s">
        <v>52</v>
      </c>
      <c r="F481" s="1" t="s">
        <v>1408</v>
      </c>
      <c r="G481" s="1">
        <v>1</v>
      </c>
      <c r="H481" s="7">
        <v>45560</v>
      </c>
      <c r="I481" s="1" t="s">
        <v>7455</v>
      </c>
      <c r="J481" s="7">
        <v>45560</v>
      </c>
      <c r="K481" s="1" t="s">
        <v>7455</v>
      </c>
    </row>
    <row r="482" spans="1:11" x14ac:dyDescent="0.3">
      <c r="A482" s="1">
        <v>481</v>
      </c>
      <c r="B482" s="1" t="s">
        <v>1409</v>
      </c>
      <c r="C482" s="1" t="s">
        <v>1410</v>
      </c>
      <c r="F482" s="1" t="s">
        <v>1411</v>
      </c>
      <c r="G482" s="1">
        <v>1</v>
      </c>
      <c r="H482" s="7">
        <v>45560</v>
      </c>
      <c r="I482" s="1" t="s">
        <v>7455</v>
      </c>
      <c r="J482" s="7">
        <v>45560</v>
      </c>
      <c r="K482" s="1" t="s">
        <v>7455</v>
      </c>
    </row>
    <row r="483" spans="1:11" x14ac:dyDescent="0.3">
      <c r="A483" s="1">
        <v>482</v>
      </c>
      <c r="B483" s="1" t="s">
        <v>1412</v>
      </c>
      <c r="C483" s="1" t="s">
        <v>1413</v>
      </c>
      <c r="D483" s="1" t="s">
        <v>1414</v>
      </c>
      <c r="G483" s="1">
        <v>1</v>
      </c>
      <c r="H483" s="7">
        <v>45560</v>
      </c>
      <c r="I483" s="1" t="s">
        <v>7455</v>
      </c>
      <c r="J483" s="7">
        <v>45560</v>
      </c>
      <c r="K483" s="1" t="s">
        <v>7455</v>
      </c>
    </row>
    <row r="484" spans="1:11" x14ac:dyDescent="0.3">
      <c r="A484" s="1">
        <v>483</v>
      </c>
      <c r="B484" s="1" t="s">
        <v>1415</v>
      </c>
      <c r="C484" s="1" t="s">
        <v>1416</v>
      </c>
      <c r="D484" s="1" t="s">
        <v>1417</v>
      </c>
      <c r="F484" s="1" t="s">
        <v>1418</v>
      </c>
      <c r="G484" s="1">
        <v>1</v>
      </c>
      <c r="H484" s="7">
        <v>45560</v>
      </c>
      <c r="I484" s="1" t="s">
        <v>7455</v>
      </c>
      <c r="J484" s="7">
        <v>45560</v>
      </c>
      <c r="K484" s="1" t="s">
        <v>7455</v>
      </c>
    </row>
    <row r="485" spans="1:11" x14ac:dyDescent="0.3">
      <c r="A485" s="1">
        <v>484</v>
      </c>
      <c r="B485" s="1" t="s">
        <v>1419</v>
      </c>
      <c r="C485" s="1" t="s">
        <v>1420</v>
      </c>
      <c r="E485" s="1" t="s">
        <v>52</v>
      </c>
      <c r="G485" s="1">
        <v>1</v>
      </c>
      <c r="H485" s="7">
        <v>45560</v>
      </c>
      <c r="I485" s="1" t="s">
        <v>7455</v>
      </c>
      <c r="J485" s="7">
        <v>45560</v>
      </c>
      <c r="K485" s="1" t="s">
        <v>7455</v>
      </c>
    </row>
    <row r="486" spans="1:11" x14ac:dyDescent="0.3">
      <c r="A486" s="1">
        <v>485</v>
      </c>
      <c r="B486" s="1" t="s">
        <v>1421</v>
      </c>
      <c r="C486" s="1" t="s">
        <v>1422</v>
      </c>
      <c r="D486" s="1" t="s">
        <v>494</v>
      </c>
      <c r="F486" s="1" t="s">
        <v>1423</v>
      </c>
      <c r="G486" s="1">
        <v>1</v>
      </c>
      <c r="H486" s="7">
        <v>45560</v>
      </c>
      <c r="I486" s="1" t="s">
        <v>7455</v>
      </c>
      <c r="J486" s="7">
        <v>45560</v>
      </c>
      <c r="K486" s="1" t="s">
        <v>7455</v>
      </c>
    </row>
    <row r="487" spans="1:11" x14ac:dyDescent="0.3">
      <c r="A487" s="1">
        <v>486</v>
      </c>
      <c r="B487" s="1" t="s">
        <v>1424</v>
      </c>
      <c r="C487" s="1" t="s">
        <v>1425</v>
      </c>
      <c r="D487" s="1" t="s">
        <v>1426</v>
      </c>
      <c r="G487" s="1">
        <v>1</v>
      </c>
      <c r="H487" s="7">
        <v>45560</v>
      </c>
      <c r="I487" s="1" t="s">
        <v>7455</v>
      </c>
      <c r="J487" s="7">
        <v>45560</v>
      </c>
      <c r="K487" s="1" t="s">
        <v>7455</v>
      </c>
    </row>
    <row r="488" spans="1:11" x14ac:dyDescent="0.3">
      <c r="A488" s="1">
        <v>487</v>
      </c>
      <c r="B488" s="1" t="s">
        <v>1427</v>
      </c>
      <c r="C488" s="1" t="s">
        <v>1428</v>
      </c>
      <c r="D488" s="1" t="s">
        <v>1429</v>
      </c>
      <c r="G488" s="1">
        <v>1</v>
      </c>
      <c r="H488" s="7">
        <v>45560</v>
      </c>
      <c r="I488" s="1" t="s">
        <v>7455</v>
      </c>
      <c r="J488" s="7">
        <v>45560</v>
      </c>
      <c r="K488" s="1" t="s">
        <v>7455</v>
      </c>
    </row>
    <row r="489" spans="1:11" x14ac:dyDescent="0.3">
      <c r="A489" s="1">
        <v>488</v>
      </c>
      <c r="B489" s="1" t="s">
        <v>1430</v>
      </c>
      <c r="C489" s="1" t="s">
        <v>1431</v>
      </c>
      <c r="F489" s="1" t="s">
        <v>1432</v>
      </c>
      <c r="G489" s="1">
        <v>1</v>
      </c>
      <c r="H489" s="7">
        <v>45560</v>
      </c>
      <c r="I489" s="1" t="s">
        <v>7455</v>
      </c>
      <c r="J489" s="7">
        <v>45560</v>
      </c>
      <c r="K489" s="1" t="s">
        <v>7455</v>
      </c>
    </row>
    <row r="490" spans="1:11" x14ac:dyDescent="0.3">
      <c r="A490" s="1">
        <v>489</v>
      </c>
      <c r="B490" s="1" t="s">
        <v>1433</v>
      </c>
      <c r="C490" s="1" t="s">
        <v>1434</v>
      </c>
      <c r="E490" s="1" t="s">
        <v>52</v>
      </c>
      <c r="G490" s="1">
        <v>1</v>
      </c>
      <c r="H490" s="7">
        <v>45560</v>
      </c>
      <c r="I490" s="1" t="s">
        <v>7455</v>
      </c>
      <c r="J490" s="7">
        <v>45560</v>
      </c>
      <c r="K490" s="1" t="s">
        <v>7455</v>
      </c>
    </row>
    <row r="491" spans="1:11" x14ac:dyDescent="0.3">
      <c r="A491" s="1">
        <v>490</v>
      </c>
      <c r="B491" s="1" t="s">
        <v>1435</v>
      </c>
      <c r="C491" s="1" t="s">
        <v>1436</v>
      </c>
      <c r="F491" s="1" t="s">
        <v>1437</v>
      </c>
      <c r="G491" s="1">
        <v>1</v>
      </c>
      <c r="H491" s="7">
        <v>45560</v>
      </c>
      <c r="I491" s="1" t="s">
        <v>7455</v>
      </c>
      <c r="J491" s="7">
        <v>45560</v>
      </c>
      <c r="K491" s="1" t="s">
        <v>7455</v>
      </c>
    </row>
    <row r="492" spans="1:11" x14ac:dyDescent="0.3">
      <c r="A492" s="1">
        <v>491</v>
      </c>
      <c r="B492" s="1" t="s">
        <v>1438</v>
      </c>
      <c r="C492" s="1" t="s">
        <v>1439</v>
      </c>
      <c r="D492" s="1" t="s">
        <v>1440</v>
      </c>
      <c r="G492" s="1">
        <v>1</v>
      </c>
      <c r="H492" s="7">
        <v>45560</v>
      </c>
      <c r="I492" s="1" t="s">
        <v>7455</v>
      </c>
      <c r="J492" s="7">
        <v>45560</v>
      </c>
      <c r="K492" s="1" t="s">
        <v>7455</v>
      </c>
    </row>
    <row r="493" spans="1:11" x14ac:dyDescent="0.3">
      <c r="A493" s="1">
        <v>492</v>
      </c>
      <c r="B493" s="1" t="s">
        <v>1441</v>
      </c>
      <c r="C493" s="1" t="s">
        <v>1442</v>
      </c>
      <c r="D493" s="1" t="s">
        <v>1443</v>
      </c>
      <c r="F493" s="1" t="s">
        <v>1444</v>
      </c>
      <c r="G493" s="1">
        <v>1</v>
      </c>
      <c r="H493" s="7">
        <v>45560</v>
      </c>
      <c r="I493" s="1" t="s">
        <v>7455</v>
      </c>
      <c r="J493" s="7">
        <v>45560</v>
      </c>
      <c r="K493" s="1" t="s">
        <v>7455</v>
      </c>
    </row>
    <row r="494" spans="1:11" x14ac:dyDescent="0.3">
      <c r="A494" s="1">
        <v>493</v>
      </c>
      <c r="B494" s="1" t="s">
        <v>1445</v>
      </c>
      <c r="C494" s="1" t="s">
        <v>1446</v>
      </c>
      <c r="D494" s="1" t="s">
        <v>1447</v>
      </c>
      <c r="F494" s="1" t="s">
        <v>1448</v>
      </c>
      <c r="G494" s="1">
        <v>1</v>
      </c>
      <c r="H494" s="7">
        <v>45560</v>
      </c>
      <c r="I494" s="1" t="s">
        <v>7455</v>
      </c>
      <c r="J494" s="7">
        <v>45560</v>
      </c>
      <c r="K494" s="1" t="s">
        <v>7455</v>
      </c>
    </row>
    <row r="495" spans="1:11" x14ac:dyDescent="0.3">
      <c r="A495" s="1">
        <v>494</v>
      </c>
      <c r="B495" s="1" t="s">
        <v>1449</v>
      </c>
      <c r="C495" s="1" t="s">
        <v>1450</v>
      </c>
      <c r="D495" s="1" t="s">
        <v>1447</v>
      </c>
      <c r="F495" s="1" t="s">
        <v>1451</v>
      </c>
      <c r="G495" s="1">
        <v>1</v>
      </c>
      <c r="H495" s="7">
        <v>45560</v>
      </c>
      <c r="I495" s="1" t="s">
        <v>7455</v>
      </c>
      <c r="J495" s="7">
        <v>45560</v>
      </c>
      <c r="K495" s="1" t="s">
        <v>7455</v>
      </c>
    </row>
    <row r="496" spans="1:11" x14ac:dyDescent="0.3">
      <c r="A496" s="1">
        <v>495</v>
      </c>
      <c r="B496" s="1" t="s">
        <v>1452</v>
      </c>
      <c r="C496" s="1" t="s">
        <v>1453</v>
      </c>
      <c r="D496" s="1" t="s">
        <v>1454</v>
      </c>
      <c r="F496" s="1" t="s">
        <v>1455</v>
      </c>
      <c r="G496" s="1">
        <v>1</v>
      </c>
      <c r="H496" s="7">
        <v>45560</v>
      </c>
      <c r="I496" s="1" t="s">
        <v>7455</v>
      </c>
      <c r="J496" s="7">
        <v>45560</v>
      </c>
      <c r="K496" s="1" t="s">
        <v>7455</v>
      </c>
    </row>
    <row r="497" spans="1:11" x14ac:dyDescent="0.3">
      <c r="A497" s="1">
        <v>496</v>
      </c>
      <c r="B497" s="1" t="s">
        <v>1456</v>
      </c>
      <c r="C497" s="1" t="s">
        <v>1457</v>
      </c>
      <c r="D497" s="1" t="s">
        <v>1458</v>
      </c>
      <c r="G497" s="1">
        <v>1</v>
      </c>
      <c r="H497" s="7">
        <v>45560</v>
      </c>
      <c r="I497" s="1" t="s">
        <v>7455</v>
      </c>
      <c r="J497" s="7">
        <v>45560</v>
      </c>
      <c r="K497" s="1" t="s">
        <v>7455</v>
      </c>
    </row>
    <row r="498" spans="1:11" x14ac:dyDescent="0.3">
      <c r="A498" s="1">
        <v>497</v>
      </c>
      <c r="B498" s="1" t="s">
        <v>1459</v>
      </c>
      <c r="C498" s="1" t="s">
        <v>1460</v>
      </c>
      <c r="D498" s="1" t="s">
        <v>1461</v>
      </c>
      <c r="G498" s="1">
        <v>1</v>
      </c>
      <c r="H498" s="7">
        <v>45560</v>
      </c>
      <c r="I498" s="1" t="s">
        <v>7455</v>
      </c>
      <c r="J498" s="7">
        <v>45560</v>
      </c>
      <c r="K498" s="1" t="s">
        <v>7455</v>
      </c>
    </row>
    <row r="499" spans="1:11" x14ac:dyDescent="0.3">
      <c r="A499" s="1">
        <v>498</v>
      </c>
      <c r="B499" s="1" t="s">
        <v>1462</v>
      </c>
      <c r="C499" s="1" t="s">
        <v>1463</v>
      </c>
      <c r="D499" s="1" t="s">
        <v>1464</v>
      </c>
      <c r="F499" s="1" t="s">
        <v>1465</v>
      </c>
      <c r="G499" s="1">
        <v>1</v>
      </c>
      <c r="H499" s="7">
        <v>45560</v>
      </c>
      <c r="I499" s="1" t="s">
        <v>7455</v>
      </c>
      <c r="J499" s="7">
        <v>45560</v>
      </c>
      <c r="K499" s="1" t="s">
        <v>7455</v>
      </c>
    </row>
    <row r="500" spans="1:11" x14ac:dyDescent="0.3">
      <c r="A500" s="1">
        <v>499</v>
      </c>
      <c r="B500" s="1" t="s">
        <v>1466</v>
      </c>
      <c r="C500" s="1" t="s">
        <v>1467</v>
      </c>
      <c r="D500" s="1" t="s">
        <v>1468</v>
      </c>
      <c r="G500" s="1">
        <v>1</v>
      </c>
      <c r="H500" s="7">
        <v>45560</v>
      </c>
      <c r="I500" s="1" t="s">
        <v>7455</v>
      </c>
      <c r="J500" s="7">
        <v>45560</v>
      </c>
      <c r="K500" s="1" t="s">
        <v>7455</v>
      </c>
    </row>
    <row r="501" spans="1:11" x14ac:dyDescent="0.3">
      <c r="A501" s="1">
        <v>500</v>
      </c>
      <c r="B501" s="1" t="s">
        <v>1469</v>
      </c>
      <c r="C501" s="1" t="s">
        <v>1470</v>
      </c>
      <c r="D501" s="1" t="s">
        <v>1471</v>
      </c>
      <c r="G501" s="1">
        <v>1</v>
      </c>
      <c r="H501" s="7">
        <v>45560</v>
      </c>
      <c r="I501" s="1" t="s">
        <v>7455</v>
      </c>
      <c r="J501" s="7">
        <v>45560</v>
      </c>
      <c r="K501" s="1" t="s">
        <v>7455</v>
      </c>
    </row>
    <row r="502" spans="1:11" x14ac:dyDescent="0.3">
      <c r="A502" s="1">
        <v>501</v>
      </c>
      <c r="B502" s="1" t="s">
        <v>1472</v>
      </c>
      <c r="C502" s="1" t="s">
        <v>1473</v>
      </c>
      <c r="D502" s="1" t="s">
        <v>1474</v>
      </c>
      <c r="G502" s="1">
        <v>1</v>
      </c>
      <c r="H502" s="7">
        <v>45560</v>
      </c>
      <c r="I502" s="1" t="s">
        <v>7455</v>
      </c>
      <c r="J502" s="7">
        <v>45560</v>
      </c>
      <c r="K502" s="1" t="s">
        <v>7455</v>
      </c>
    </row>
    <row r="503" spans="1:11" x14ac:dyDescent="0.3">
      <c r="A503" s="1">
        <v>502</v>
      </c>
      <c r="B503" s="1" t="s">
        <v>1475</v>
      </c>
      <c r="C503" s="1" t="s">
        <v>1476</v>
      </c>
      <c r="D503" s="1" t="s">
        <v>1477</v>
      </c>
      <c r="F503" s="1" t="s">
        <v>1478</v>
      </c>
      <c r="G503" s="1">
        <v>1</v>
      </c>
      <c r="H503" s="7">
        <v>45560</v>
      </c>
      <c r="I503" s="1" t="s">
        <v>7455</v>
      </c>
      <c r="J503" s="7">
        <v>45560</v>
      </c>
      <c r="K503" s="1" t="s">
        <v>7455</v>
      </c>
    </row>
    <row r="504" spans="1:11" x14ac:dyDescent="0.3">
      <c r="A504" s="1">
        <v>503</v>
      </c>
      <c r="B504" s="1" t="s">
        <v>1479</v>
      </c>
      <c r="C504" s="1" t="s">
        <v>1480</v>
      </c>
      <c r="F504" s="1" t="s">
        <v>1481</v>
      </c>
      <c r="G504" s="1">
        <v>1</v>
      </c>
      <c r="H504" s="7">
        <v>45560</v>
      </c>
      <c r="I504" s="1" t="s">
        <v>7455</v>
      </c>
      <c r="J504" s="7">
        <v>45560</v>
      </c>
      <c r="K504" s="1" t="s">
        <v>7455</v>
      </c>
    </row>
    <row r="505" spans="1:11" x14ac:dyDescent="0.3">
      <c r="A505" s="1">
        <v>504</v>
      </c>
      <c r="B505" s="1" t="s">
        <v>1482</v>
      </c>
      <c r="C505" s="1" t="s">
        <v>1483</v>
      </c>
      <c r="F505" s="1" t="s">
        <v>1484</v>
      </c>
      <c r="G505" s="1">
        <v>1</v>
      </c>
      <c r="H505" s="7">
        <v>45560</v>
      </c>
      <c r="I505" s="1" t="s">
        <v>7455</v>
      </c>
      <c r="J505" s="7">
        <v>45560</v>
      </c>
      <c r="K505" s="1" t="s">
        <v>7455</v>
      </c>
    </row>
    <row r="506" spans="1:11" x14ac:dyDescent="0.3">
      <c r="A506" s="1">
        <v>505</v>
      </c>
      <c r="B506" s="1" t="s">
        <v>1485</v>
      </c>
      <c r="C506" s="1" t="s">
        <v>1486</v>
      </c>
      <c r="E506" s="1" t="s">
        <v>52</v>
      </c>
      <c r="G506" s="1">
        <v>1</v>
      </c>
      <c r="H506" s="7">
        <v>45560</v>
      </c>
      <c r="I506" s="1" t="s">
        <v>7455</v>
      </c>
      <c r="J506" s="7">
        <v>45560</v>
      </c>
      <c r="K506" s="1" t="s">
        <v>7455</v>
      </c>
    </row>
    <row r="507" spans="1:11" x14ac:dyDescent="0.3">
      <c r="A507" s="1">
        <v>506</v>
      </c>
      <c r="B507" s="1" t="s">
        <v>1487</v>
      </c>
      <c r="C507" s="1" t="s">
        <v>1488</v>
      </c>
      <c r="D507" s="1" t="s">
        <v>1489</v>
      </c>
      <c r="F507" s="1" t="s">
        <v>1490</v>
      </c>
      <c r="G507" s="1">
        <v>1</v>
      </c>
      <c r="H507" s="7">
        <v>45560</v>
      </c>
      <c r="I507" s="1" t="s">
        <v>7455</v>
      </c>
      <c r="J507" s="7">
        <v>45560</v>
      </c>
      <c r="K507" s="1" t="s">
        <v>7455</v>
      </c>
    </row>
    <row r="508" spans="1:11" x14ac:dyDescent="0.3">
      <c r="A508" s="1">
        <v>507</v>
      </c>
      <c r="B508" s="1" t="s">
        <v>1491</v>
      </c>
      <c r="C508" s="1" t="s">
        <v>1492</v>
      </c>
      <c r="D508" s="1" t="s">
        <v>1493</v>
      </c>
      <c r="G508" s="1">
        <v>1</v>
      </c>
      <c r="H508" s="7">
        <v>45560</v>
      </c>
      <c r="I508" s="1" t="s">
        <v>7455</v>
      </c>
      <c r="J508" s="7">
        <v>45560</v>
      </c>
      <c r="K508" s="1" t="s">
        <v>7455</v>
      </c>
    </row>
    <row r="509" spans="1:11" x14ac:dyDescent="0.3">
      <c r="A509" s="1">
        <v>508</v>
      </c>
      <c r="B509" s="1" t="s">
        <v>1494</v>
      </c>
      <c r="C509" s="1" t="s">
        <v>1495</v>
      </c>
      <c r="F509" s="1" t="s">
        <v>1496</v>
      </c>
      <c r="G509" s="1">
        <v>1</v>
      </c>
      <c r="H509" s="7">
        <v>45560</v>
      </c>
      <c r="I509" s="1" t="s">
        <v>7455</v>
      </c>
      <c r="J509" s="7">
        <v>45560</v>
      </c>
      <c r="K509" s="1" t="s">
        <v>7455</v>
      </c>
    </row>
    <row r="510" spans="1:11" x14ac:dyDescent="0.3">
      <c r="A510" s="1">
        <v>509</v>
      </c>
      <c r="B510" s="1" t="s">
        <v>1497</v>
      </c>
      <c r="C510" s="1" t="s">
        <v>1498</v>
      </c>
      <c r="F510" s="1" t="s">
        <v>1499</v>
      </c>
      <c r="G510" s="1">
        <v>1</v>
      </c>
      <c r="H510" s="7">
        <v>45560</v>
      </c>
      <c r="I510" s="1" t="s">
        <v>7455</v>
      </c>
      <c r="J510" s="7">
        <v>45560</v>
      </c>
      <c r="K510" s="1" t="s">
        <v>7455</v>
      </c>
    </row>
    <row r="511" spans="1:11" x14ac:dyDescent="0.3">
      <c r="A511" s="1">
        <v>510</v>
      </c>
      <c r="B511" s="1" t="s">
        <v>1500</v>
      </c>
      <c r="C511" s="1" t="s">
        <v>1501</v>
      </c>
      <c r="D511" s="1" t="s">
        <v>1502</v>
      </c>
      <c r="F511" s="1" t="s">
        <v>1503</v>
      </c>
      <c r="G511" s="1">
        <v>1</v>
      </c>
      <c r="H511" s="7">
        <v>45560</v>
      </c>
      <c r="I511" s="1" t="s">
        <v>7455</v>
      </c>
      <c r="J511" s="7">
        <v>45560</v>
      </c>
      <c r="K511" s="1" t="s">
        <v>7455</v>
      </c>
    </row>
    <row r="512" spans="1:11" x14ac:dyDescent="0.3">
      <c r="A512" s="1">
        <v>511</v>
      </c>
      <c r="B512" s="1" t="s">
        <v>1504</v>
      </c>
      <c r="C512" s="1" t="s">
        <v>1505</v>
      </c>
      <c r="F512" s="1" t="s">
        <v>1506</v>
      </c>
      <c r="G512" s="1">
        <v>1</v>
      </c>
      <c r="H512" s="7">
        <v>45560</v>
      </c>
      <c r="I512" s="1" t="s">
        <v>7455</v>
      </c>
      <c r="J512" s="7">
        <v>45560</v>
      </c>
      <c r="K512" s="1" t="s">
        <v>7455</v>
      </c>
    </row>
    <row r="513" spans="1:11" x14ac:dyDescent="0.3">
      <c r="A513" s="1">
        <v>512</v>
      </c>
      <c r="B513" s="1" t="s">
        <v>1507</v>
      </c>
      <c r="C513" s="1" t="s">
        <v>1508</v>
      </c>
      <c r="F513" s="1" t="s">
        <v>1509</v>
      </c>
      <c r="G513" s="1">
        <v>1</v>
      </c>
      <c r="H513" s="7">
        <v>45560</v>
      </c>
      <c r="I513" s="1" t="s">
        <v>7455</v>
      </c>
      <c r="J513" s="7">
        <v>45560</v>
      </c>
      <c r="K513" s="1" t="s">
        <v>7455</v>
      </c>
    </row>
    <row r="514" spans="1:11" x14ac:dyDescent="0.3">
      <c r="A514" s="1">
        <v>513</v>
      </c>
      <c r="B514" s="1" t="s">
        <v>1510</v>
      </c>
      <c r="C514" s="1" t="s">
        <v>1511</v>
      </c>
      <c r="E514" s="1" t="s">
        <v>52</v>
      </c>
      <c r="G514" s="1">
        <v>1</v>
      </c>
      <c r="H514" s="7">
        <v>45560</v>
      </c>
      <c r="I514" s="1" t="s">
        <v>7455</v>
      </c>
      <c r="J514" s="7">
        <v>45560</v>
      </c>
      <c r="K514" s="1" t="s">
        <v>7455</v>
      </c>
    </row>
    <row r="515" spans="1:11" x14ac:dyDescent="0.3">
      <c r="A515" s="1">
        <v>514</v>
      </c>
      <c r="B515" s="1" t="s">
        <v>1512</v>
      </c>
      <c r="C515" s="1" t="s">
        <v>1513</v>
      </c>
      <c r="D515" s="1" t="s">
        <v>1514</v>
      </c>
      <c r="G515" s="1">
        <v>1</v>
      </c>
      <c r="H515" s="7">
        <v>45560</v>
      </c>
      <c r="I515" s="1" t="s">
        <v>7455</v>
      </c>
      <c r="J515" s="7">
        <v>45560</v>
      </c>
      <c r="K515" s="1" t="s">
        <v>7455</v>
      </c>
    </row>
    <row r="516" spans="1:11" x14ac:dyDescent="0.3">
      <c r="A516" s="1">
        <v>515</v>
      </c>
      <c r="B516" s="1" t="s">
        <v>1515</v>
      </c>
      <c r="C516" s="1" t="s">
        <v>1516</v>
      </c>
      <c r="F516" s="1" t="s">
        <v>1517</v>
      </c>
      <c r="G516" s="1">
        <v>1</v>
      </c>
      <c r="H516" s="7">
        <v>45560</v>
      </c>
      <c r="I516" s="1" t="s">
        <v>7455</v>
      </c>
      <c r="J516" s="7">
        <v>45560</v>
      </c>
      <c r="K516" s="1" t="s">
        <v>7455</v>
      </c>
    </row>
    <row r="517" spans="1:11" x14ac:dyDescent="0.3">
      <c r="A517" s="1">
        <v>516</v>
      </c>
      <c r="B517" s="1" t="s">
        <v>1518</v>
      </c>
      <c r="C517" s="1" t="s">
        <v>1519</v>
      </c>
      <c r="F517" s="1" t="s">
        <v>1520</v>
      </c>
      <c r="G517" s="1">
        <v>1</v>
      </c>
      <c r="H517" s="7">
        <v>45560</v>
      </c>
      <c r="I517" s="1" t="s">
        <v>7455</v>
      </c>
      <c r="J517" s="7">
        <v>45560</v>
      </c>
      <c r="K517" s="1" t="s">
        <v>7455</v>
      </c>
    </row>
    <row r="518" spans="1:11" x14ac:dyDescent="0.3">
      <c r="A518" s="1">
        <v>517</v>
      </c>
      <c r="B518" s="1" t="s">
        <v>1521</v>
      </c>
      <c r="C518" s="1" t="s">
        <v>1522</v>
      </c>
      <c r="F518" s="1" t="s">
        <v>1523</v>
      </c>
      <c r="G518" s="1">
        <v>1</v>
      </c>
      <c r="H518" s="7">
        <v>45560</v>
      </c>
      <c r="I518" s="1" t="s">
        <v>7455</v>
      </c>
      <c r="J518" s="7">
        <v>45560</v>
      </c>
      <c r="K518" s="1" t="s">
        <v>7455</v>
      </c>
    </row>
    <row r="519" spans="1:11" x14ac:dyDescent="0.3">
      <c r="A519" s="1">
        <v>518</v>
      </c>
      <c r="B519" s="1" t="s">
        <v>1524</v>
      </c>
      <c r="C519" s="1" t="s">
        <v>1525</v>
      </c>
      <c r="F519" s="1" t="s">
        <v>1526</v>
      </c>
      <c r="G519" s="1">
        <v>1</v>
      </c>
      <c r="H519" s="7">
        <v>45560</v>
      </c>
      <c r="I519" s="1" t="s">
        <v>7455</v>
      </c>
      <c r="J519" s="7">
        <v>45560</v>
      </c>
      <c r="K519" s="1" t="s">
        <v>7455</v>
      </c>
    </row>
    <row r="520" spans="1:11" x14ac:dyDescent="0.3">
      <c r="A520" s="1">
        <v>519</v>
      </c>
      <c r="B520" s="1" t="s">
        <v>1527</v>
      </c>
      <c r="C520" s="1" t="s">
        <v>1528</v>
      </c>
      <c r="F520" s="1" t="s">
        <v>1529</v>
      </c>
      <c r="G520" s="1">
        <v>1</v>
      </c>
      <c r="H520" s="7">
        <v>45560</v>
      </c>
      <c r="I520" s="1" t="s">
        <v>7455</v>
      </c>
      <c r="J520" s="7">
        <v>45560</v>
      </c>
      <c r="K520" s="1" t="s">
        <v>7455</v>
      </c>
    </row>
    <row r="521" spans="1:11" x14ac:dyDescent="0.3">
      <c r="A521" s="1">
        <v>520</v>
      </c>
      <c r="B521" s="1" t="s">
        <v>1530</v>
      </c>
      <c r="C521" s="1" t="s">
        <v>1531</v>
      </c>
      <c r="F521" s="1" t="s">
        <v>1532</v>
      </c>
      <c r="G521" s="1">
        <v>1</v>
      </c>
      <c r="H521" s="7">
        <v>45560</v>
      </c>
      <c r="I521" s="1" t="s">
        <v>7455</v>
      </c>
      <c r="J521" s="7">
        <v>45560</v>
      </c>
      <c r="K521" s="1" t="s">
        <v>7455</v>
      </c>
    </row>
    <row r="522" spans="1:11" x14ac:dyDescent="0.3">
      <c r="A522" s="1">
        <v>521</v>
      </c>
      <c r="B522" s="1" t="s">
        <v>1533</v>
      </c>
      <c r="C522" s="1" t="s">
        <v>1534</v>
      </c>
      <c r="F522" s="1" t="s">
        <v>1535</v>
      </c>
      <c r="G522" s="1">
        <v>1</v>
      </c>
      <c r="H522" s="7">
        <v>45560</v>
      </c>
      <c r="I522" s="1" t="s">
        <v>7455</v>
      </c>
      <c r="J522" s="7">
        <v>45560</v>
      </c>
      <c r="K522" s="1" t="s">
        <v>7455</v>
      </c>
    </row>
    <row r="523" spans="1:11" x14ac:dyDescent="0.3">
      <c r="A523" s="1">
        <v>522</v>
      </c>
      <c r="B523" s="1" t="s">
        <v>1536</v>
      </c>
      <c r="C523" s="1" t="s">
        <v>1537</v>
      </c>
      <c r="F523" s="1" t="s">
        <v>1538</v>
      </c>
      <c r="G523" s="1">
        <v>1</v>
      </c>
      <c r="H523" s="7">
        <v>45560</v>
      </c>
      <c r="I523" s="1" t="s">
        <v>7455</v>
      </c>
      <c r="J523" s="7">
        <v>45560</v>
      </c>
      <c r="K523" s="1" t="s">
        <v>7455</v>
      </c>
    </row>
    <row r="524" spans="1:11" x14ac:dyDescent="0.3">
      <c r="A524" s="1">
        <v>523</v>
      </c>
      <c r="B524" s="1" t="s">
        <v>1539</v>
      </c>
      <c r="C524" s="1" t="s">
        <v>1540</v>
      </c>
      <c r="D524" s="1" t="s">
        <v>1541</v>
      </c>
      <c r="G524" s="1">
        <v>1</v>
      </c>
      <c r="H524" s="7">
        <v>45560</v>
      </c>
      <c r="I524" s="1" t="s">
        <v>7455</v>
      </c>
      <c r="J524" s="7">
        <v>45560</v>
      </c>
      <c r="K524" s="1" t="s">
        <v>7455</v>
      </c>
    </row>
    <row r="525" spans="1:11" x14ac:dyDescent="0.3">
      <c r="A525" s="1">
        <v>524</v>
      </c>
      <c r="B525" s="1" t="s">
        <v>1542</v>
      </c>
      <c r="C525" s="1" t="s">
        <v>1543</v>
      </c>
      <c r="F525" s="1" t="s">
        <v>1544</v>
      </c>
      <c r="G525" s="1">
        <v>1</v>
      </c>
      <c r="H525" s="7">
        <v>45560</v>
      </c>
      <c r="I525" s="1" t="s">
        <v>7455</v>
      </c>
      <c r="J525" s="7">
        <v>45560</v>
      </c>
      <c r="K525" s="1" t="s">
        <v>7455</v>
      </c>
    </row>
    <row r="526" spans="1:11" x14ac:dyDescent="0.3">
      <c r="A526" s="1">
        <v>525</v>
      </c>
      <c r="B526" s="1" t="s">
        <v>1545</v>
      </c>
      <c r="C526" s="1" t="s">
        <v>1546</v>
      </c>
      <c r="F526" s="1" t="s">
        <v>1547</v>
      </c>
      <c r="G526" s="1">
        <v>1</v>
      </c>
      <c r="H526" s="7">
        <v>45560</v>
      </c>
      <c r="I526" s="1" t="s">
        <v>7455</v>
      </c>
      <c r="J526" s="7">
        <v>45560</v>
      </c>
      <c r="K526" s="1" t="s">
        <v>7455</v>
      </c>
    </row>
    <row r="527" spans="1:11" x14ac:dyDescent="0.3">
      <c r="A527" s="1">
        <v>526</v>
      </c>
      <c r="B527" s="1" t="s">
        <v>1548</v>
      </c>
      <c r="C527" s="1" t="s">
        <v>1549</v>
      </c>
      <c r="F527" s="1" t="s">
        <v>1550</v>
      </c>
      <c r="G527" s="1">
        <v>1</v>
      </c>
      <c r="H527" s="7">
        <v>45560</v>
      </c>
      <c r="I527" s="1" t="s">
        <v>7455</v>
      </c>
      <c r="J527" s="7">
        <v>45560</v>
      </c>
      <c r="K527" s="1" t="s">
        <v>7455</v>
      </c>
    </row>
    <row r="528" spans="1:11" x14ac:dyDescent="0.3">
      <c r="A528" s="1">
        <v>527</v>
      </c>
      <c r="B528" s="1" t="s">
        <v>1551</v>
      </c>
      <c r="C528" s="1" t="s">
        <v>1552</v>
      </c>
      <c r="D528" s="1" t="s">
        <v>1553</v>
      </c>
      <c r="F528" s="1" t="s">
        <v>1554</v>
      </c>
      <c r="G528" s="1">
        <v>1</v>
      </c>
      <c r="H528" s="7">
        <v>45560</v>
      </c>
      <c r="I528" s="1" t="s">
        <v>7455</v>
      </c>
      <c r="J528" s="7">
        <v>45560</v>
      </c>
      <c r="K528" s="1" t="s">
        <v>7455</v>
      </c>
    </row>
    <row r="529" spans="1:11" x14ac:dyDescent="0.3">
      <c r="A529" s="1">
        <v>528</v>
      </c>
      <c r="B529" s="1" t="s">
        <v>1555</v>
      </c>
      <c r="C529" s="1" t="s">
        <v>1556</v>
      </c>
      <c r="E529" s="1" t="s">
        <v>52</v>
      </c>
      <c r="G529" s="1">
        <v>1</v>
      </c>
      <c r="H529" s="7">
        <v>45560</v>
      </c>
      <c r="I529" s="1" t="s">
        <v>7455</v>
      </c>
      <c r="J529" s="7">
        <v>45560</v>
      </c>
      <c r="K529" s="1" t="s">
        <v>7455</v>
      </c>
    </row>
    <row r="530" spans="1:11" x14ac:dyDescent="0.3">
      <c r="A530" s="1">
        <v>529</v>
      </c>
      <c r="B530" s="1" t="s">
        <v>1557</v>
      </c>
      <c r="C530" s="1" t="s">
        <v>1558</v>
      </c>
      <c r="D530" s="1" t="s">
        <v>1559</v>
      </c>
      <c r="F530" s="1" t="s">
        <v>1560</v>
      </c>
      <c r="G530" s="1">
        <v>1</v>
      </c>
      <c r="H530" s="7">
        <v>45560</v>
      </c>
      <c r="I530" s="1" t="s">
        <v>7455</v>
      </c>
      <c r="J530" s="7">
        <v>45560</v>
      </c>
      <c r="K530" s="1" t="s">
        <v>7455</v>
      </c>
    </row>
    <row r="531" spans="1:11" x14ac:dyDescent="0.3">
      <c r="A531" s="1">
        <v>530</v>
      </c>
      <c r="B531" s="1" t="s">
        <v>1561</v>
      </c>
      <c r="C531" s="1" t="s">
        <v>1562</v>
      </c>
      <c r="F531" s="1" t="s">
        <v>1563</v>
      </c>
      <c r="G531" s="1">
        <v>1</v>
      </c>
      <c r="H531" s="7">
        <v>45560</v>
      </c>
      <c r="I531" s="1" t="s">
        <v>7455</v>
      </c>
      <c r="J531" s="7">
        <v>45560</v>
      </c>
      <c r="K531" s="1" t="s">
        <v>7455</v>
      </c>
    </row>
    <row r="532" spans="1:11" x14ac:dyDescent="0.3">
      <c r="A532" s="1">
        <v>531</v>
      </c>
      <c r="B532" s="1" t="s">
        <v>1564</v>
      </c>
      <c r="C532" s="1" t="s">
        <v>1565</v>
      </c>
      <c r="F532" s="1" t="s">
        <v>1566</v>
      </c>
      <c r="G532" s="1">
        <v>1</v>
      </c>
      <c r="H532" s="7">
        <v>45560</v>
      </c>
      <c r="I532" s="1" t="s">
        <v>7455</v>
      </c>
      <c r="J532" s="7">
        <v>45560</v>
      </c>
      <c r="K532" s="1" t="s">
        <v>7455</v>
      </c>
    </row>
    <row r="533" spans="1:11" x14ac:dyDescent="0.3">
      <c r="A533" s="1">
        <v>532</v>
      </c>
      <c r="B533" s="1" t="s">
        <v>1567</v>
      </c>
      <c r="C533" s="1" t="s">
        <v>1568</v>
      </c>
      <c r="F533" s="1" t="s">
        <v>1569</v>
      </c>
      <c r="G533" s="1">
        <v>1</v>
      </c>
      <c r="H533" s="7">
        <v>45560</v>
      </c>
      <c r="I533" s="1" t="s">
        <v>7455</v>
      </c>
      <c r="J533" s="7">
        <v>45560</v>
      </c>
      <c r="K533" s="1" t="s">
        <v>7455</v>
      </c>
    </row>
    <row r="534" spans="1:11" x14ac:dyDescent="0.3">
      <c r="A534" s="1">
        <v>533</v>
      </c>
      <c r="B534" s="1" t="s">
        <v>1570</v>
      </c>
      <c r="C534" s="1" t="s">
        <v>1571</v>
      </c>
      <c r="D534" s="1" t="s">
        <v>1572</v>
      </c>
      <c r="F534" s="1" t="s">
        <v>1573</v>
      </c>
      <c r="G534" s="1">
        <v>1</v>
      </c>
      <c r="H534" s="7">
        <v>45560</v>
      </c>
      <c r="I534" s="1" t="s">
        <v>7455</v>
      </c>
      <c r="J534" s="7">
        <v>45560</v>
      </c>
      <c r="K534" s="1" t="s">
        <v>7455</v>
      </c>
    </row>
    <row r="535" spans="1:11" x14ac:dyDescent="0.3">
      <c r="A535" s="1">
        <v>534</v>
      </c>
      <c r="B535" s="1" t="s">
        <v>1574</v>
      </c>
      <c r="C535" s="1" t="s">
        <v>1575</v>
      </c>
      <c r="D535" s="1" t="s">
        <v>1576</v>
      </c>
      <c r="F535" s="1" t="s">
        <v>1577</v>
      </c>
      <c r="G535" s="1">
        <v>1</v>
      </c>
      <c r="H535" s="7">
        <v>45560</v>
      </c>
      <c r="I535" s="1" t="s">
        <v>7455</v>
      </c>
      <c r="J535" s="7">
        <v>45560</v>
      </c>
      <c r="K535" s="1" t="s">
        <v>7455</v>
      </c>
    </row>
    <row r="536" spans="1:11" x14ac:dyDescent="0.3">
      <c r="A536" s="1">
        <v>535</v>
      </c>
      <c r="B536" s="1" t="s">
        <v>1578</v>
      </c>
      <c r="C536" s="1" t="s">
        <v>1579</v>
      </c>
      <c r="E536" s="1" t="s">
        <v>73</v>
      </c>
      <c r="F536" s="1" t="s">
        <v>1580</v>
      </c>
      <c r="G536" s="1">
        <v>1</v>
      </c>
      <c r="H536" s="7">
        <v>45560</v>
      </c>
      <c r="I536" s="1" t="s">
        <v>7455</v>
      </c>
      <c r="J536" s="7">
        <v>45560</v>
      </c>
      <c r="K536" s="1" t="s">
        <v>7455</v>
      </c>
    </row>
    <row r="537" spans="1:11" x14ac:dyDescent="0.3">
      <c r="A537" s="1">
        <v>536</v>
      </c>
      <c r="B537" s="1" t="s">
        <v>1581</v>
      </c>
      <c r="C537" s="1" t="s">
        <v>1582</v>
      </c>
      <c r="D537" s="1" t="s">
        <v>1583</v>
      </c>
      <c r="F537" s="1" t="s">
        <v>1584</v>
      </c>
      <c r="G537" s="1">
        <v>1</v>
      </c>
      <c r="H537" s="7">
        <v>45560</v>
      </c>
      <c r="I537" s="1" t="s">
        <v>7455</v>
      </c>
      <c r="J537" s="7">
        <v>45560</v>
      </c>
      <c r="K537" s="1" t="s">
        <v>7455</v>
      </c>
    </row>
    <row r="538" spans="1:11" x14ac:dyDescent="0.3">
      <c r="A538" s="1">
        <v>537</v>
      </c>
      <c r="B538" s="1" t="s">
        <v>1585</v>
      </c>
      <c r="C538" s="1" t="s">
        <v>1586</v>
      </c>
      <c r="E538" s="1" t="s">
        <v>73</v>
      </c>
      <c r="F538" s="1" t="s">
        <v>1587</v>
      </c>
      <c r="G538" s="1">
        <v>1</v>
      </c>
      <c r="H538" s="7">
        <v>45560</v>
      </c>
      <c r="I538" s="1" t="s">
        <v>7455</v>
      </c>
      <c r="J538" s="7">
        <v>45560</v>
      </c>
      <c r="K538" s="1" t="s">
        <v>7455</v>
      </c>
    </row>
    <row r="539" spans="1:11" x14ac:dyDescent="0.3">
      <c r="A539" s="1">
        <v>538</v>
      </c>
      <c r="B539" s="1" t="s">
        <v>1588</v>
      </c>
      <c r="C539" s="1" t="s">
        <v>1589</v>
      </c>
      <c r="E539" s="1" t="s">
        <v>73</v>
      </c>
      <c r="F539" s="1" t="s">
        <v>1590</v>
      </c>
      <c r="G539" s="1">
        <v>1</v>
      </c>
      <c r="H539" s="7">
        <v>45560</v>
      </c>
      <c r="I539" s="1" t="s">
        <v>7455</v>
      </c>
      <c r="J539" s="7">
        <v>45560</v>
      </c>
      <c r="K539" s="1" t="s">
        <v>7455</v>
      </c>
    </row>
    <row r="540" spans="1:11" x14ac:dyDescent="0.3">
      <c r="A540" s="1">
        <v>539</v>
      </c>
      <c r="B540" s="1" t="s">
        <v>1591</v>
      </c>
      <c r="C540" s="1" t="s">
        <v>1592</v>
      </c>
      <c r="E540" s="1" t="s">
        <v>73</v>
      </c>
      <c r="F540" s="1" t="s">
        <v>1593</v>
      </c>
      <c r="G540" s="1">
        <v>1</v>
      </c>
      <c r="H540" s="7">
        <v>45560</v>
      </c>
      <c r="I540" s="1" t="s">
        <v>7455</v>
      </c>
      <c r="J540" s="7">
        <v>45560</v>
      </c>
      <c r="K540" s="1" t="s">
        <v>7455</v>
      </c>
    </row>
    <row r="541" spans="1:11" x14ac:dyDescent="0.3">
      <c r="A541" s="1">
        <v>540</v>
      </c>
      <c r="B541" s="1" t="s">
        <v>1594</v>
      </c>
      <c r="C541" s="1" t="s">
        <v>1595</v>
      </c>
      <c r="E541" s="1" t="s">
        <v>52</v>
      </c>
      <c r="G541" s="1">
        <v>1</v>
      </c>
      <c r="H541" s="7">
        <v>45560</v>
      </c>
      <c r="I541" s="1" t="s">
        <v>7455</v>
      </c>
      <c r="J541" s="7">
        <v>45560</v>
      </c>
      <c r="K541" s="1" t="s">
        <v>7455</v>
      </c>
    </row>
    <row r="542" spans="1:11" x14ac:dyDescent="0.3">
      <c r="A542" s="1">
        <v>541</v>
      </c>
      <c r="B542" s="1" t="s">
        <v>1596</v>
      </c>
      <c r="C542" s="1" t="s">
        <v>1597</v>
      </c>
      <c r="F542" s="1" t="s">
        <v>1598</v>
      </c>
      <c r="G542" s="1">
        <v>1</v>
      </c>
      <c r="H542" s="7">
        <v>45560</v>
      </c>
      <c r="I542" s="1" t="s">
        <v>7455</v>
      </c>
      <c r="J542" s="7">
        <v>45560</v>
      </c>
      <c r="K542" s="1" t="s">
        <v>7455</v>
      </c>
    </row>
    <row r="543" spans="1:11" x14ac:dyDescent="0.3">
      <c r="A543" s="1">
        <v>542</v>
      </c>
      <c r="B543" s="1" t="s">
        <v>1599</v>
      </c>
      <c r="C543" s="1" t="s">
        <v>1600</v>
      </c>
      <c r="D543" s="1" t="s">
        <v>1601</v>
      </c>
      <c r="F543" s="1" t="s">
        <v>1602</v>
      </c>
      <c r="G543" s="1">
        <v>1</v>
      </c>
      <c r="H543" s="7">
        <v>45560</v>
      </c>
      <c r="I543" s="1" t="s">
        <v>7455</v>
      </c>
      <c r="J543" s="7">
        <v>45560</v>
      </c>
      <c r="K543" s="1" t="s">
        <v>7455</v>
      </c>
    </row>
    <row r="544" spans="1:11" x14ac:dyDescent="0.3">
      <c r="A544" s="1">
        <v>543</v>
      </c>
      <c r="B544" s="1" t="s">
        <v>1603</v>
      </c>
      <c r="C544" s="1" t="s">
        <v>1604</v>
      </c>
      <c r="F544" s="1" t="s">
        <v>1605</v>
      </c>
      <c r="G544" s="1">
        <v>1</v>
      </c>
      <c r="H544" s="7">
        <v>45560</v>
      </c>
      <c r="I544" s="1" t="s">
        <v>7455</v>
      </c>
      <c r="J544" s="7">
        <v>45560</v>
      </c>
      <c r="K544" s="1" t="s">
        <v>7455</v>
      </c>
    </row>
    <row r="545" spans="1:11" x14ac:dyDescent="0.3">
      <c r="A545" s="1">
        <v>544</v>
      </c>
      <c r="B545" s="1" t="s">
        <v>1606</v>
      </c>
      <c r="C545" s="1" t="s">
        <v>1607</v>
      </c>
      <c r="D545" s="1" t="s">
        <v>1608</v>
      </c>
      <c r="F545" s="1" t="s">
        <v>1609</v>
      </c>
      <c r="G545" s="1">
        <v>1</v>
      </c>
      <c r="H545" s="7">
        <v>45560</v>
      </c>
      <c r="I545" s="1" t="s">
        <v>7455</v>
      </c>
      <c r="J545" s="7">
        <v>45560</v>
      </c>
      <c r="K545" s="1" t="s">
        <v>7455</v>
      </c>
    </row>
    <row r="546" spans="1:11" x14ac:dyDescent="0.3">
      <c r="A546" s="1">
        <v>545</v>
      </c>
      <c r="B546" s="1" t="s">
        <v>1610</v>
      </c>
      <c r="C546" s="1" t="s">
        <v>1611</v>
      </c>
      <c r="F546" s="1" t="s">
        <v>1612</v>
      </c>
      <c r="G546" s="1">
        <v>1</v>
      </c>
      <c r="H546" s="7">
        <v>45560</v>
      </c>
      <c r="I546" s="1" t="s">
        <v>7455</v>
      </c>
      <c r="J546" s="7">
        <v>45560</v>
      </c>
      <c r="K546" s="1" t="s">
        <v>7455</v>
      </c>
    </row>
    <row r="547" spans="1:11" x14ac:dyDescent="0.3">
      <c r="A547" s="1">
        <v>546</v>
      </c>
      <c r="B547" s="1" t="s">
        <v>1613</v>
      </c>
      <c r="C547" s="1" t="s">
        <v>1614</v>
      </c>
      <c r="F547" s="1" t="s">
        <v>1615</v>
      </c>
      <c r="G547" s="1">
        <v>1</v>
      </c>
      <c r="H547" s="7">
        <v>45560</v>
      </c>
      <c r="I547" s="1" t="s">
        <v>7455</v>
      </c>
      <c r="J547" s="7">
        <v>45560</v>
      </c>
      <c r="K547" s="1" t="s">
        <v>7455</v>
      </c>
    </row>
    <row r="548" spans="1:11" x14ac:dyDescent="0.3">
      <c r="A548" s="1">
        <v>547</v>
      </c>
      <c r="B548" s="1" t="s">
        <v>1616</v>
      </c>
      <c r="C548" s="1" t="s">
        <v>1617</v>
      </c>
      <c r="F548" s="1" t="s">
        <v>1618</v>
      </c>
      <c r="G548" s="1">
        <v>1</v>
      </c>
      <c r="H548" s="7">
        <v>45560</v>
      </c>
      <c r="I548" s="1" t="s">
        <v>7455</v>
      </c>
      <c r="J548" s="7">
        <v>45560</v>
      </c>
      <c r="K548" s="1" t="s">
        <v>7455</v>
      </c>
    </row>
    <row r="549" spans="1:11" x14ac:dyDescent="0.3">
      <c r="A549" s="1">
        <v>548</v>
      </c>
      <c r="B549" s="1" t="s">
        <v>1619</v>
      </c>
      <c r="C549" s="1" t="s">
        <v>1620</v>
      </c>
      <c r="F549" s="1" t="s">
        <v>1621</v>
      </c>
      <c r="G549" s="1">
        <v>1</v>
      </c>
      <c r="H549" s="7">
        <v>45560</v>
      </c>
      <c r="I549" s="1" t="s">
        <v>7455</v>
      </c>
      <c r="J549" s="7">
        <v>45560</v>
      </c>
      <c r="K549" s="1" t="s">
        <v>7455</v>
      </c>
    </row>
    <row r="550" spans="1:11" x14ac:dyDescent="0.3">
      <c r="A550" s="1">
        <v>549</v>
      </c>
      <c r="B550" s="1" t="s">
        <v>1622</v>
      </c>
      <c r="C550" s="1" t="s">
        <v>1623</v>
      </c>
      <c r="F550" s="1" t="s">
        <v>1624</v>
      </c>
      <c r="G550" s="1">
        <v>1</v>
      </c>
      <c r="H550" s="7">
        <v>45560</v>
      </c>
      <c r="I550" s="1" t="s">
        <v>7455</v>
      </c>
      <c r="J550" s="7">
        <v>45560</v>
      </c>
      <c r="K550" s="1" t="s">
        <v>7455</v>
      </c>
    </row>
    <row r="551" spans="1:11" x14ac:dyDescent="0.3">
      <c r="A551" s="1">
        <v>550</v>
      </c>
      <c r="B551" s="1" t="s">
        <v>1625</v>
      </c>
      <c r="C551" s="1" t="s">
        <v>1626</v>
      </c>
      <c r="F551" s="1" t="s">
        <v>1627</v>
      </c>
      <c r="G551" s="1">
        <v>1</v>
      </c>
      <c r="H551" s="7">
        <v>45560</v>
      </c>
      <c r="I551" s="1" t="s">
        <v>7455</v>
      </c>
      <c r="J551" s="7">
        <v>45560</v>
      </c>
      <c r="K551" s="1" t="s">
        <v>7455</v>
      </c>
    </row>
    <row r="552" spans="1:11" x14ac:dyDescent="0.3">
      <c r="A552" s="1">
        <v>551</v>
      </c>
      <c r="B552" s="1" t="s">
        <v>1628</v>
      </c>
      <c r="C552" s="1" t="s">
        <v>1629</v>
      </c>
      <c r="D552" s="1" t="s">
        <v>1630</v>
      </c>
      <c r="F552" s="1" t="s">
        <v>1631</v>
      </c>
      <c r="G552" s="1">
        <v>1</v>
      </c>
      <c r="H552" s="7">
        <v>45560</v>
      </c>
      <c r="I552" s="1" t="s">
        <v>7455</v>
      </c>
      <c r="J552" s="7">
        <v>45560</v>
      </c>
      <c r="K552" s="1" t="s">
        <v>7455</v>
      </c>
    </row>
    <row r="553" spans="1:11" x14ac:dyDescent="0.3">
      <c r="A553" s="1">
        <v>552</v>
      </c>
      <c r="B553" s="1" t="s">
        <v>1632</v>
      </c>
      <c r="C553" s="1" t="s">
        <v>1633</v>
      </c>
      <c r="F553" s="1" t="s">
        <v>1634</v>
      </c>
      <c r="G553" s="1">
        <v>1</v>
      </c>
      <c r="H553" s="7">
        <v>45560</v>
      </c>
      <c r="I553" s="1" t="s">
        <v>7455</v>
      </c>
      <c r="J553" s="7">
        <v>45560</v>
      </c>
      <c r="K553" s="1" t="s">
        <v>7455</v>
      </c>
    </row>
    <row r="554" spans="1:11" x14ac:dyDescent="0.3">
      <c r="A554" s="1">
        <v>553</v>
      </c>
      <c r="B554" s="1" t="s">
        <v>1635</v>
      </c>
      <c r="C554" s="1" t="s">
        <v>1636</v>
      </c>
      <c r="F554" s="1" t="s">
        <v>1637</v>
      </c>
      <c r="G554" s="1">
        <v>1</v>
      </c>
      <c r="H554" s="7">
        <v>45560</v>
      </c>
      <c r="I554" s="1" t="s">
        <v>7455</v>
      </c>
      <c r="J554" s="7">
        <v>45560</v>
      </c>
      <c r="K554" s="1" t="s">
        <v>7455</v>
      </c>
    </row>
    <row r="555" spans="1:11" x14ac:dyDescent="0.3">
      <c r="A555" s="1">
        <v>554</v>
      </c>
      <c r="B555" s="1" t="s">
        <v>1638</v>
      </c>
      <c r="C555" s="1" t="s">
        <v>1639</v>
      </c>
      <c r="D555" s="1" t="s">
        <v>1640</v>
      </c>
      <c r="F555" s="1" t="s">
        <v>1641</v>
      </c>
      <c r="G555" s="1">
        <v>1</v>
      </c>
      <c r="H555" s="7">
        <v>45560</v>
      </c>
      <c r="I555" s="1" t="s">
        <v>7455</v>
      </c>
      <c r="J555" s="7">
        <v>45560</v>
      </c>
      <c r="K555" s="1" t="s">
        <v>7455</v>
      </c>
    </row>
    <row r="556" spans="1:11" x14ac:dyDescent="0.3">
      <c r="A556" s="1">
        <v>555</v>
      </c>
      <c r="B556" s="1" t="s">
        <v>1642</v>
      </c>
      <c r="C556" s="1" t="s">
        <v>1643</v>
      </c>
      <c r="F556" s="1" t="s">
        <v>1644</v>
      </c>
      <c r="G556" s="1">
        <v>1</v>
      </c>
      <c r="H556" s="7">
        <v>45560</v>
      </c>
      <c r="I556" s="1" t="s">
        <v>7455</v>
      </c>
      <c r="J556" s="7">
        <v>45560</v>
      </c>
      <c r="K556" s="1" t="s">
        <v>7455</v>
      </c>
    </row>
    <row r="557" spans="1:11" x14ac:dyDescent="0.3">
      <c r="A557" s="1">
        <v>556</v>
      </c>
      <c r="B557" s="1" t="s">
        <v>1645</v>
      </c>
      <c r="C557" s="1" t="s">
        <v>1646</v>
      </c>
      <c r="F557" s="1" t="s">
        <v>1647</v>
      </c>
      <c r="G557" s="1">
        <v>1</v>
      </c>
      <c r="H557" s="7">
        <v>45560</v>
      </c>
      <c r="I557" s="1" t="s">
        <v>7455</v>
      </c>
      <c r="J557" s="7">
        <v>45560</v>
      </c>
      <c r="K557" s="1" t="s">
        <v>7455</v>
      </c>
    </row>
    <row r="558" spans="1:11" x14ac:dyDescent="0.3">
      <c r="A558" s="1">
        <v>557</v>
      </c>
      <c r="B558" s="1" t="s">
        <v>1648</v>
      </c>
      <c r="C558" s="1" t="s">
        <v>1649</v>
      </c>
      <c r="F558" s="1" t="s">
        <v>1650</v>
      </c>
      <c r="G558" s="1">
        <v>1</v>
      </c>
      <c r="H558" s="7">
        <v>45560</v>
      </c>
      <c r="I558" s="1" t="s">
        <v>7455</v>
      </c>
      <c r="J558" s="7">
        <v>45560</v>
      </c>
      <c r="K558" s="1" t="s">
        <v>7455</v>
      </c>
    </row>
    <row r="559" spans="1:11" x14ac:dyDescent="0.3">
      <c r="A559" s="1">
        <v>558</v>
      </c>
      <c r="B559" s="1" t="s">
        <v>1651</v>
      </c>
      <c r="C559" s="1" t="s">
        <v>1652</v>
      </c>
      <c r="F559" s="1" t="s">
        <v>1653</v>
      </c>
      <c r="G559" s="1">
        <v>1</v>
      </c>
      <c r="H559" s="7">
        <v>45560</v>
      </c>
      <c r="I559" s="1" t="s">
        <v>7455</v>
      </c>
      <c r="J559" s="7">
        <v>45560</v>
      </c>
      <c r="K559" s="1" t="s">
        <v>7455</v>
      </c>
    </row>
    <row r="560" spans="1:11" x14ac:dyDescent="0.3">
      <c r="A560" s="1">
        <v>559</v>
      </c>
      <c r="B560" s="1" t="s">
        <v>1654</v>
      </c>
      <c r="C560" s="1" t="s">
        <v>1655</v>
      </c>
      <c r="F560" s="1" t="s">
        <v>1656</v>
      </c>
      <c r="G560" s="1">
        <v>1</v>
      </c>
      <c r="H560" s="7">
        <v>45560</v>
      </c>
      <c r="I560" s="1" t="s">
        <v>7455</v>
      </c>
      <c r="J560" s="7">
        <v>45560</v>
      </c>
      <c r="K560" s="1" t="s">
        <v>7455</v>
      </c>
    </row>
    <row r="561" spans="1:11" x14ac:dyDescent="0.3">
      <c r="A561" s="1">
        <v>560</v>
      </c>
      <c r="B561" s="1" t="s">
        <v>1657</v>
      </c>
      <c r="C561" s="1" t="s">
        <v>1658</v>
      </c>
      <c r="F561" s="1" t="s">
        <v>1659</v>
      </c>
      <c r="G561" s="1">
        <v>1</v>
      </c>
      <c r="H561" s="7">
        <v>45560</v>
      </c>
      <c r="I561" s="1" t="s">
        <v>7455</v>
      </c>
      <c r="J561" s="7">
        <v>45560</v>
      </c>
      <c r="K561" s="1" t="s">
        <v>7455</v>
      </c>
    </row>
    <row r="562" spans="1:11" x14ac:dyDescent="0.3">
      <c r="A562" s="1">
        <v>561</v>
      </c>
      <c r="B562" s="1" t="s">
        <v>1660</v>
      </c>
      <c r="C562" s="1" t="s">
        <v>1661</v>
      </c>
      <c r="F562" s="1" t="s">
        <v>1662</v>
      </c>
      <c r="G562" s="1">
        <v>1</v>
      </c>
      <c r="H562" s="7">
        <v>45560</v>
      </c>
      <c r="I562" s="1" t="s">
        <v>7455</v>
      </c>
      <c r="J562" s="7">
        <v>45560</v>
      </c>
      <c r="K562" s="1" t="s">
        <v>7455</v>
      </c>
    </row>
    <row r="563" spans="1:11" x14ac:dyDescent="0.3">
      <c r="A563" s="1">
        <v>562</v>
      </c>
      <c r="B563" s="1" t="s">
        <v>1663</v>
      </c>
      <c r="C563" s="1" t="s">
        <v>1664</v>
      </c>
      <c r="F563" s="1" t="s">
        <v>1665</v>
      </c>
      <c r="G563" s="1">
        <v>1</v>
      </c>
      <c r="H563" s="7">
        <v>45560</v>
      </c>
      <c r="I563" s="1" t="s">
        <v>7455</v>
      </c>
      <c r="J563" s="7">
        <v>45560</v>
      </c>
      <c r="K563" s="1" t="s">
        <v>7455</v>
      </c>
    </row>
    <row r="564" spans="1:11" x14ac:dyDescent="0.3">
      <c r="A564" s="1">
        <v>563</v>
      </c>
      <c r="B564" s="1" t="s">
        <v>1666</v>
      </c>
      <c r="C564" s="1" t="s">
        <v>1667</v>
      </c>
      <c r="D564" s="1" t="s">
        <v>1668</v>
      </c>
      <c r="F564" s="1" t="s">
        <v>1669</v>
      </c>
      <c r="G564" s="1">
        <v>1</v>
      </c>
      <c r="H564" s="7">
        <v>45560</v>
      </c>
      <c r="I564" s="1" t="s">
        <v>7455</v>
      </c>
      <c r="J564" s="7">
        <v>45560</v>
      </c>
      <c r="K564" s="1" t="s">
        <v>7455</v>
      </c>
    </row>
    <row r="565" spans="1:11" x14ac:dyDescent="0.3">
      <c r="A565" s="1">
        <v>564</v>
      </c>
      <c r="B565" s="1" t="s">
        <v>1670</v>
      </c>
      <c r="C565" s="1" t="s">
        <v>1671</v>
      </c>
      <c r="D565" s="1" t="s">
        <v>1672</v>
      </c>
      <c r="F565" s="1" t="s">
        <v>1673</v>
      </c>
      <c r="G565" s="1">
        <v>1</v>
      </c>
      <c r="H565" s="7">
        <v>45560</v>
      </c>
      <c r="I565" s="1" t="s">
        <v>7455</v>
      </c>
      <c r="J565" s="7">
        <v>45560</v>
      </c>
      <c r="K565" s="1" t="s">
        <v>7455</v>
      </c>
    </row>
    <row r="566" spans="1:11" x14ac:dyDescent="0.3">
      <c r="A566" s="1">
        <v>565</v>
      </c>
      <c r="B566" s="1" t="s">
        <v>1674</v>
      </c>
      <c r="C566" s="1" t="s">
        <v>1675</v>
      </c>
      <c r="D566" s="1" t="s">
        <v>1676</v>
      </c>
      <c r="G566" s="1">
        <v>1</v>
      </c>
      <c r="H566" s="7">
        <v>45560</v>
      </c>
      <c r="I566" s="1" t="s">
        <v>7455</v>
      </c>
      <c r="J566" s="7">
        <v>45560</v>
      </c>
      <c r="K566" s="1" t="s">
        <v>7455</v>
      </c>
    </row>
    <row r="567" spans="1:11" x14ac:dyDescent="0.3">
      <c r="A567" s="1">
        <v>566</v>
      </c>
      <c r="B567" s="1" t="s">
        <v>1677</v>
      </c>
      <c r="C567" s="1" t="s">
        <v>1678</v>
      </c>
      <c r="E567" s="1" t="s">
        <v>52</v>
      </c>
      <c r="G567" s="1">
        <v>1</v>
      </c>
      <c r="H567" s="7">
        <v>45560</v>
      </c>
      <c r="I567" s="1" t="s">
        <v>7455</v>
      </c>
      <c r="J567" s="7">
        <v>45560</v>
      </c>
      <c r="K567" s="1" t="s">
        <v>7455</v>
      </c>
    </row>
    <row r="568" spans="1:11" x14ac:dyDescent="0.3">
      <c r="A568" s="1">
        <v>567</v>
      </c>
      <c r="B568" s="1" t="s">
        <v>1679</v>
      </c>
      <c r="C568" s="1" t="s">
        <v>1680</v>
      </c>
      <c r="D568" s="1" t="s">
        <v>1681</v>
      </c>
      <c r="G568" s="1">
        <v>1</v>
      </c>
      <c r="H568" s="7">
        <v>45560</v>
      </c>
      <c r="I568" s="1" t="s">
        <v>7455</v>
      </c>
      <c r="J568" s="7">
        <v>45560</v>
      </c>
      <c r="K568" s="1" t="s">
        <v>7455</v>
      </c>
    </row>
    <row r="569" spans="1:11" x14ac:dyDescent="0.3">
      <c r="A569" s="1">
        <v>568</v>
      </c>
      <c r="B569" s="1" t="s">
        <v>1682</v>
      </c>
      <c r="C569" s="1" t="s">
        <v>1683</v>
      </c>
      <c r="E569" s="1" t="s">
        <v>52</v>
      </c>
      <c r="G569" s="1">
        <v>1</v>
      </c>
      <c r="H569" s="7">
        <v>45560</v>
      </c>
      <c r="I569" s="1" t="s">
        <v>7455</v>
      </c>
      <c r="J569" s="7">
        <v>45560</v>
      </c>
      <c r="K569" s="1" t="s">
        <v>7455</v>
      </c>
    </row>
    <row r="570" spans="1:11" x14ac:dyDescent="0.3">
      <c r="A570" s="1">
        <v>569</v>
      </c>
      <c r="B570" s="1" t="s">
        <v>1684</v>
      </c>
      <c r="C570" s="1" t="s">
        <v>1685</v>
      </c>
      <c r="E570" s="1" t="s">
        <v>52</v>
      </c>
      <c r="G570" s="1">
        <v>1</v>
      </c>
      <c r="H570" s="7">
        <v>45560</v>
      </c>
      <c r="I570" s="1" t="s">
        <v>7455</v>
      </c>
      <c r="J570" s="7">
        <v>45560</v>
      </c>
      <c r="K570" s="1" t="s">
        <v>7455</v>
      </c>
    </row>
    <row r="571" spans="1:11" x14ac:dyDescent="0.3">
      <c r="A571" s="1">
        <v>570</v>
      </c>
      <c r="B571" s="1" t="s">
        <v>1686</v>
      </c>
      <c r="C571" s="1" t="s">
        <v>1687</v>
      </c>
      <c r="D571" s="1" t="s">
        <v>1688</v>
      </c>
      <c r="G571" s="1">
        <v>1</v>
      </c>
      <c r="H571" s="7">
        <v>45560</v>
      </c>
      <c r="I571" s="1" t="s">
        <v>7455</v>
      </c>
      <c r="J571" s="7">
        <v>45560</v>
      </c>
      <c r="K571" s="1" t="s">
        <v>7455</v>
      </c>
    </row>
    <row r="572" spans="1:11" x14ac:dyDescent="0.3">
      <c r="A572" s="1">
        <v>571</v>
      </c>
      <c r="B572" s="1" t="s">
        <v>1689</v>
      </c>
      <c r="C572" s="1" t="s">
        <v>1690</v>
      </c>
      <c r="F572" s="1" t="s">
        <v>1691</v>
      </c>
      <c r="G572" s="1">
        <v>1</v>
      </c>
      <c r="H572" s="7">
        <v>45560</v>
      </c>
      <c r="I572" s="1" t="s">
        <v>7455</v>
      </c>
      <c r="J572" s="7">
        <v>45560</v>
      </c>
      <c r="K572" s="1" t="s">
        <v>7455</v>
      </c>
    </row>
    <row r="573" spans="1:11" x14ac:dyDescent="0.3">
      <c r="A573" s="1">
        <v>572</v>
      </c>
      <c r="B573" s="1" t="s">
        <v>1692</v>
      </c>
      <c r="C573" s="1" t="s">
        <v>1693</v>
      </c>
      <c r="E573" s="1" t="s">
        <v>52</v>
      </c>
      <c r="G573" s="1">
        <v>1</v>
      </c>
      <c r="H573" s="7">
        <v>45560</v>
      </c>
      <c r="I573" s="1" t="s">
        <v>7455</v>
      </c>
      <c r="J573" s="7">
        <v>45560</v>
      </c>
      <c r="K573" s="1" t="s">
        <v>7455</v>
      </c>
    </row>
    <row r="574" spans="1:11" x14ac:dyDescent="0.3">
      <c r="A574" s="1">
        <v>573</v>
      </c>
      <c r="B574" s="1" t="s">
        <v>1694</v>
      </c>
      <c r="C574" s="1" t="s">
        <v>1695</v>
      </c>
      <c r="E574" s="1" t="s">
        <v>73</v>
      </c>
      <c r="F574" s="1" t="s">
        <v>1696</v>
      </c>
      <c r="G574" s="1">
        <v>1</v>
      </c>
      <c r="H574" s="7">
        <v>45560</v>
      </c>
      <c r="I574" s="1" t="s">
        <v>7455</v>
      </c>
      <c r="J574" s="7">
        <v>45560</v>
      </c>
      <c r="K574" s="1" t="s">
        <v>7455</v>
      </c>
    </row>
    <row r="575" spans="1:11" x14ac:dyDescent="0.3">
      <c r="A575" s="1">
        <v>574</v>
      </c>
      <c r="B575" s="1" t="s">
        <v>1697</v>
      </c>
      <c r="C575" s="1" t="s">
        <v>1698</v>
      </c>
      <c r="E575" s="1" t="s">
        <v>73</v>
      </c>
      <c r="F575" s="1" t="s">
        <v>1699</v>
      </c>
      <c r="G575" s="1">
        <v>1</v>
      </c>
      <c r="H575" s="7">
        <v>45560</v>
      </c>
      <c r="I575" s="1" t="s">
        <v>7455</v>
      </c>
      <c r="J575" s="7">
        <v>45560</v>
      </c>
      <c r="K575" s="1" t="s">
        <v>7455</v>
      </c>
    </row>
    <row r="576" spans="1:11" x14ac:dyDescent="0.3">
      <c r="A576" s="1">
        <v>575</v>
      </c>
      <c r="B576" s="1" t="s">
        <v>1700</v>
      </c>
      <c r="C576" s="1" t="s">
        <v>1701</v>
      </c>
      <c r="E576" s="1" t="s">
        <v>73</v>
      </c>
      <c r="F576" s="1" t="s">
        <v>1702</v>
      </c>
      <c r="G576" s="1">
        <v>1</v>
      </c>
      <c r="H576" s="7">
        <v>45560</v>
      </c>
      <c r="I576" s="1" t="s">
        <v>7455</v>
      </c>
      <c r="J576" s="7">
        <v>45560</v>
      </c>
      <c r="K576" s="1" t="s">
        <v>7455</v>
      </c>
    </row>
    <row r="577" spans="1:11" x14ac:dyDescent="0.3">
      <c r="A577" s="1">
        <v>576</v>
      </c>
      <c r="B577" s="1" t="s">
        <v>1703</v>
      </c>
      <c r="C577" s="1" t="s">
        <v>1704</v>
      </c>
      <c r="F577" s="1" t="s">
        <v>1705</v>
      </c>
      <c r="G577" s="1">
        <v>1</v>
      </c>
      <c r="H577" s="7">
        <v>45560</v>
      </c>
      <c r="I577" s="1" t="s">
        <v>7455</v>
      </c>
      <c r="J577" s="7">
        <v>45560</v>
      </c>
      <c r="K577" s="1" t="s">
        <v>7455</v>
      </c>
    </row>
    <row r="578" spans="1:11" x14ac:dyDescent="0.3">
      <c r="A578" s="1">
        <v>577</v>
      </c>
      <c r="B578" s="1" t="s">
        <v>1706</v>
      </c>
      <c r="C578" s="1" t="s">
        <v>1707</v>
      </c>
      <c r="F578" s="1" t="s">
        <v>1708</v>
      </c>
      <c r="G578" s="1">
        <v>1</v>
      </c>
      <c r="H578" s="7">
        <v>45560</v>
      </c>
      <c r="I578" s="1" t="s">
        <v>7455</v>
      </c>
      <c r="J578" s="7">
        <v>45560</v>
      </c>
      <c r="K578" s="1" t="s">
        <v>7455</v>
      </c>
    </row>
    <row r="579" spans="1:11" x14ac:dyDescent="0.3">
      <c r="A579" s="1">
        <v>578</v>
      </c>
      <c r="B579" s="1" t="s">
        <v>1709</v>
      </c>
      <c r="C579" s="1" t="s">
        <v>1710</v>
      </c>
      <c r="E579" s="1" t="s">
        <v>73</v>
      </c>
      <c r="F579" s="1" t="s">
        <v>1711</v>
      </c>
      <c r="G579" s="1">
        <v>1</v>
      </c>
      <c r="H579" s="7">
        <v>45560</v>
      </c>
      <c r="I579" s="1" t="s">
        <v>7455</v>
      </c>
      <c r="J579" s="7">
        <v>45560</v>
      </c>
      <c r="K579" s="1" t="s">
        <v>7455</v>
      </c>
    </row>
    <row r="580" spans="1:11" x14ac:dyDescent="0.3">
      <c r="A580" s="1">
        <v>579</v>
      </c>
      <c r="B580" s="1" t="s">
        <v>1712</v>
      </c>
      <c r="C580" s="1" t="s">
        <v>1713</v>
      </c>
      <c r="E580" s="1" t="s">
        <v>73</v>
      </c>
      <c r="F580" s="1" t="s">
        <v>1714</v>
      </c>
      <c r="G580" s="1">
        <v>1</v>
      </c>
      <c r="H580" s="7">
        <v>45560</v>
      </c>
      <c r="I580" s="1" t="s">
        <v>7455</v>
      </c>
      <c r="J580" s="7">
        <v>45560</v>
      </c>
      <c r="K580" s="1" t="s">
        <v>7455</v>
      </c>
    </row>
    <row r="581" spans="1:11" x14ac:dyDescent="0.3">
      <c r="A581" s="1">
        <v>580</v>
      </c>
      <c r="B581" s="1" t="s">
        <v>1715</v>
      </c>
      <c r="C581" s="1" t="s">
        <v>1716</v>
      </c>
      <c r="F581" s="1" t="s">
        <v>1717</v>
      </c>
      <c r="G581" s="1">
        <v>1</v>
      </c>
      <c r="H581" s="7">
        <v>45560</v>
      </c>
      <c r="I581" s="1" t="s">
        <v>7455</v>
      </c>
      <c r="J581" s="7">
        <v>45560</v>
      </c>
      <c r="K581" s="1" t="s">
        <v>7455</v>
      </c>
    </row>
    <row r="582" spans="1:11" x14ac:dyDescent="0.3">
      <c r="A582" s="1">
        <v>581</v>
      </c>
      <c r="B582" s="1" t="s">
        <v>1718</v>
      </c>
      <c r="C582" s="1" t="s">
        <v>1719</v>
      </c>
      <c r="D582" s="1" t="s">
        <v>1720</v>
      </c>
      <c r="F582" s="1" t="s">
        <v>1721</v>
      </c>
      <c r="G582" s="1">
        <v>1</v>
      </c>
      <c r="H582" s="7">
        <v>45560</v>
      </c>
      <c r="I582" s="1" t="s">
        <v>7455</v>
      </c>
      <c r="J582" s="7">
        <v>45560</v>
      </c>
      <c r="K582" s="1" t="s">
        <v>7455</v>
      </c>
    </row>
    <row r="583" spans="1:11" x14ac:dyDescent="0.3">
      <c r="A583" s="1">
        <v>582</v>
      </c>
      <c r="B583" s="1" t="s">
        <v>1722</v>
      </c>
      <c r="C583" s="1" t="s">
        <v>1723</v>
      </c>
      <c r="E583" s="1" t="s">
        <v>52</v>
      </c>
      <c r="G583" s="1">
        <v>1</v>
      </c>
      <c r="H583" s="7">
        <v>45560</v>
      </c>
      <c r="I583" s="1" t="s">
        <v>7455</v>
      </c>
      <c r="J583" s="7">
        <v>45560</v>
      </c>
      <c r="K583" s="1" t="s">
        <v>7455</v>
      </c>
    </row>
    <row r="584" spans="1:11" x14ac:dyDescent="0.3">
      <c r="A584" s="1">
        <v>583</v>
      </c>
      <c r="B584" s="1" t="s">
        <v>1724</v>
      </c>
      <c r="C584" s="1" t="s">
        <v>1725</v>
      </c>
      <c r="E584" s="1" t="s">
        <v>52</v>
      </c>
      <c r="G584" s="1">
        <v>1</v>
      </c>
      <c r="H584" s="7">
        <v>45560</v>
      </c>
      <c r="I584" s="1" t="s">
        <v>7455</v>
      </c>
      <c r="J584" s="7">
        <v>45560</v>
      </c>
      <c r="K584" s="1" t="s">
        <v>7455</v>
      </c>
    </row>
    <row r="585" spans="1:11" x14ac:dyDescent="0.3">
      <c r="A585" s="1">
        <v>584</v>
      </c>
      <c r="B585" s="1" t="s">
        <v>1726</v>
      </c>
      <c r="C585" s="1" t="s">
        <v>1727</v>
      </c>
      <c r="F585" s="1" t="s">
        <v>1728</v>
      </c>
      <c r="G585" s="1">
        <v>1</v>
      </c>
      <c r="H585" s="7">
        <v>45560</v>
      </c>
      <c r="I585" s="1" t="s">
        <v>7455</v>
      </c>
      <c r="J585" s="7">
        <v>45560</v>
      </c>
      <c r="K585" s="1" t="s">
        <v>7455</v>
      </c>
    </row>
    <row r="586" spans="1:11" x14ac:dyDescent="0.3">
      <c r="A586" s="1">
        <v>585</v>
      </c>
      <c r="B586" s="1" t="s">
        <v>1729</v>
      </c>
      <c r="C586" s="1" t="s">
        <v>1730</v>
      </c>
      <c r="F586" s="1" t="s">
        <v>1731</v>
      </c>
      <c r="G586" s="1">
        <v>1</v>
      </c>
      <c r="H586" s="7">
        <v>45560</v>
      </c>
      <c r="I586" s="1" t="s">
        <v>7455</v>
      </c>
      <c r="J586" s="7">
        <v>45560</v>
      </c>
      <c r="K586" s="1" t="s">
        <v>7455</v>
      </c>
    </row>
    <row r="587" spans="1:11" x14ac:dyDescent="0.3">
      <c r="A587" s="1">
        <v>586</v>
      </c>
      <c r="B587" s="1" t="s">
        <v>1732</v>
      </c>
      <c r="C587" s="1" t="s">
        <v>1733</v>
      </c>
      <c r="F587" s="1" t="s">
        <v>1734</v>
      </c>
      <c r="G587" s="1">
        <v>1</v>
      </c>
      <c r="H587" s="7">
        <v>45560</v>
      </c>
      <c r="I587" s="1" t="s">
        <v>7455</v>
      </c>
      <c r="J587" s="7">
        <v>45560</v>
      </c>
      <c r="K587" s="1" t="s">
        <v>7455</v>
      </c>
    </row>
    <row r="588" spans="1:11" x14ac:dyDescent="0.3">
      <c r="A588" s="1">
        <v>587</v>
      </c>
      <c r="B588" s="1" t="s">
        <v>1735</v>
      </c>
      <c r="C588" s="1" t="s">
        <v>1736</v>
      </c>
      <c r="F588" s="1" t="s">
        <v>1737</v>
      </c>
      <c r="G588" s="1">
        <v>1</v>
      </c>
      <c r="H588" s="7">
        <v>45560</v>
      </c>
      <c r="I588" s="1" t="s">
        <v>7455</v>
      </c>
      <c r="J588" s="7">
        <v>45560</v>
      </c>
      <c r="K588" s="1" t="s">
        <v>7455</v>
      </c>
    </row>
    <row r="589" spans="1:11" x14ac:dyDescent="0.3">
      <c r="A589" s="1">
        <v>588</v>
      </c>
      <c r="B589" s="1" t="s">
        <v>1738</v>
      </c>
      <c r="C589" s="1" t="s">
        <v>1739</v>
      </c>
      <c r="D589" s="1" t="s">
        <v>1740</v>
      </c>
      <c r="F589" s="1" t="s">
        <v>1741</v>
      </c>
      <c r="G589" s="1">
        <v>1</v>
      </c>
      <c r="H589" s="7">
        <v>45560</v>
      </c>
      <c r="I589" s="1" t="s">
        <v>7455</v>
      </c>
      <c r="J589" s="7">
        <v>45560</v>
      </c>
      <c r="K589" s="1" t="s">
        <v>7455</v>
      </c>
    </row>
    <row r="590" spans="1:11" x14ac:dyDescent="0.3">
      <c r="A590" s="1">
        <v>589</v>
      </c>
      <c r="B590" s="1" t="s">
        <v>1742</v>
      </c>
      <c r="C590" s="1" t="s">
        <v>1743</v>
      </c>
      <c r="F590" s="1" t="s">
        <v>1744</v>
      </c>
      <c r="G590" s="1">
        <v>1</v>
      </c>
      <c r="H590" s="7">
        <v>45560</v>
      </c>
      <c r="I590" s="1" t="s">
        <v>7455</v>
      </c>
      <c r="J590" s="7">
        <v>45560</v>
      </c>
      <c r="K590" s="1" t="s">
        <v>7455</v>
      </c>
    </row>
    <row r="591" spans="1:11" x14ac:dyDescent="0.3">
      <c r="A591" s="1">
        <v>590</v>
      </c>
      <c r="B591" s="1" t="s">
        <v>1745</v>
      </c>
      <c r="C591" s="1" t="s">
        <v>1746</v>
      </c>
      <c r="F591" s="1" t="s">
        <v>1747</v>
      </c>
      <c r="G591" s="1">
        <v>1</v>
      </c>
      <c r="H591" s="7">
        <v>45560</v>
      </c>
      <c r="I591" s="1" t="s">
        <v>7455</v>
      </c>
      <c r="J591" s="7">
        <v>45560</v>
      </c>
      <c r="K591" s="1" t="s">
        <v>7455</v>
      </c>
    </row>
    <row r="592" spans="1:11" x14ac:dyDescent="0.3">
      <c r="A592" s="1">
        <v>591</v>
      </c>
      <c r="B592" s="1" t="s">
        <v>1748</v>
      </c>
      <c r="C592" s="1" t="s">
        <v>1749</v>
      </c>
      <c r="F592" s="1" t="s">
        <v>1750</v>
      </c>
      <c r="G592" s="1">
        <v>1</v>
      </c>
      <c r="H592" s="7">
        <v>45560</v>
      </c>
      <c r="I592" s="1" t="s">
        <v>7455</v>
      </c>
      <c r="J592" s="7">
        <v>45560</v>
      </c>
      <c r="K592" s="1" t="s">
        <v>7455</v>
      </c>
    </row>
    <row r="593" spans="1:11" x14ac:dyDescent="0.3">
      <c r="A593" s="1">
        <v>592</v>
      </c>
      <c r="B593" s="1" t="s">
        <v>1751</v>
      </c>
      <c r="C593" s="1" t="s">
        <v>1752</v>
      </c>
      <c r="F593" s="1" t="s">
        <v>1753</v>
      </c>
      <c r="G593" s="1">
        <v>1</v>
      </c>
      <c r="H593" s="7">
        <v>45560</v>
      </c>
      <c r="I593" s="1" t="s">
        <v>7455</v>
      </c>
      <c r="J593" s="7">
        <v>45560</v>
      </c>
      <c r="K593" s="1" t="s">
        <v>7455</v>
      </c>
    </row>
    <row r="594" spans="1:11" x14ac:dyDescent="0.3">
      <c r="A594" s="1">
        <v>593</v>
      </c>
      <c r="B594" s="1" t="s">
        <v>1754</v>
      </c>
      <c r="C594" s="1" t="s">
        <v>1755</v>
      </c>
      <c r="E594" s="1" t="s">
        <v>73</v>
      </c>
      <c r="F594" s="1" t="s">
        <v>1756</v>
      </c>
      <c r="G594" s="1">
        <v>1</v>
      </c>
      <c r="H594" s="7">
        <v>45560</v>
      </c>
      <c r="I594" s="1" t="s">
        <v>7455</v>
      </c>
      <c r="J594" s="7">
        <v>45560</v>
      </c>
      <c r="K594" s="1" t="s">
        <v>7455</v>
      </c>
    </row>
    <row r="595" spans="1:11" x14ac:dyDescent="0.3">
      <c r="A595" s="1">
        <v>594</v>
      </c>
      <c r="B595" s="1" t="s">
        <v>1757</v>
      </c>
      <c r="C595" s="1" t="s">
        <v>1758</v>
      </c>
      <c r="E595" s="1" t="s">
        <v>52</v>
      </c>
      <c r="G595" s="1">
        <v>1</v>
      </c>
      <c r="H595" s="7">
        <v>45560</v>
      </c>
      <c r="I595" s="1" t="s">
        <v>7455</v>
      </c>
      <c r="J595" s="7">
        <v>45560</v>
      </c>
      <c r="K595" s="1" t="s">
        <v>7455</v>
      </c>
    </row>
    <row r="596" spans="1:11" x14ac:dyDescent="0.3">
      <c r="A596" s="1">
        <v>595</v>
      </c>
      <c r="B596" s="1" t="s">
        <v>1759</v>
      </c>
      <c r="C596" s="1" t="s">
        <v>1760</v>
      </c>
      <c r="F596" s="1" t="s">
        <v>1761</v>
      </c>
      <c r="G596" s="1">
        <v>1</v>
      </c>
      <c r="H596" s="7">
        <v>45560</v>
      </c>
      <c r="I596" s="1" t="s">
        <v>7455</v>
      </c>
      <c r="J596" s="7">
        <v>45560</v>
      </c>
      <c r="K596" s="1" t="s">
        <v>7455</v>
      </c>
    </row>
    <row r="597" spans="1:11" x14ac:dyDescent="0.3">
      <c r="A597" s="1">
        <v>596</v>
      </c>
      <c r="B597" s="1" t="s">
        <v>1762</v>
      </c>
      <c r="C597" s="1" t="s">
        <v>1763</v>
      </c>
      <c r="E597" s="1" t="s">
        <v>52</v>
      </c>
      <c r="G597" s="1">
        <v>1</v>
      </c>
      <c r="H597" s="7">
        <v>45560</v>
      </c>
      <c r="I597" s="1" t="s">
        <v>7455</v>
      </c>
      <c r="J597" s="7">
        <v>45560</v>
      </c>
      <c r="K597" s="1" t="s">
        <v>7455</v>
      </c>
    </row>
    <row r="598" spans="1:11" x14ac:dyDescent="0.3">
      <c r="A598" s="1">
        <v>597</v>
      </c>
      <c r="B598" s="1" t="s">
        <v>1764</v>
      </c>
      <c r="C598" s="1" t="s">
        <v>1765</v>
      </c>
      <c r="F598" s="1" t="s">
        <v>1766</v>
      </c>
      <c r="G598" s="1">
        <v>1</v>
      </c>
      <c r="H598" s="7">
        <v>45560</v>
      </c>
      <c r="I598" s="1" t="s">
        <v>7455</v>
      </c>
      <c r="J598" s="7">
        <v>45560</v>
      </c>
      <c r="K598" s="1" t="s">
        <v>7455</v>
      </c>
    </row>
    <row r="599" spans="1:11" x14ac:dyDescent="0.3">
      <c r="A599" s="1">
        <v>598</v>
      </c>
      <c r="B599" s="1" t="s">
        <v>1767</v>
      </c>
      <c r="C599" s="1" t="s">
        <v>1768</v>
      </c>
      <c r="F599" s="1" t="s">
        <v>1769</v>
      </c>
      <c r="G599" s="1">
        <v>1</v>
      </c>
      <c r="H599" s="7">
        <v>45560</v>
      </c>
      <c r="I599" s="1" t="s">
        <v>7455</v>
      </c>
      <c r="J599" s="7">
        <v>45560</v>
      </c>
      <c r="K599" s="1" t="s">
        <v>7455</v>
      </c>
    </row>
    <row r="600" spans="1:11" x14ac:dyDescent="0.3">
      <c r="A600" s="1">
        <v>599</v>
      </c>
      <c r="B600" s="1" t="s">
        <v>1770</v>
      </c>
      <c r="C600" s="1" t="s">
        <v>1771</v>
      </c>
      <c r="F600" s="1" t="s">
        <v>1772</v>
      </c>
      <c r="G600" s="1">
        <v>1</v>
      </c>
      <c r="H600" s="7">
        <v>45560</v>
      </c>
      <c r="I600" s="1" t="s">
        <v>7455</v>
      </c>
      <c r="J600" s="7">
        <v>45560</v>
      </c>
      <c r="K600" s="1" t="s">
        <v>7455</v>
      </c>
    </row>
    <row r="601" spans="1:11" x14ac:dyDescent="0.3">
      <c r="A601" s="1">
        <v>600</v>
      </c>
      <c r="B601" s="1" t="s">
        <v>1773</v>
      </c>
      <c r="C601" s="1" t="s">
        <v>1774</v>
      </c>
      <c r="E601" s="1" t="s">
        <v>52</v>
      </c>
      <c r="G601" s="1">
        <v>1</v>
      </c>
      <c r="H601" s="7">
        <v>45560</v>
      </c>
      <c r="I601" s="1" t="s">
        <v>7455</v>
      </c>
      <c r="J601" s="7">
        <v>45560</v>
      </c>
      <c r="K601" s="1" t="s">
        <v>7455</v>
      </c>
    </row>
    <row r="602" spans="1:11" x14ac:dyDescent="0.3">
      <c r="A602" s="1">
        <v>601</v>
      </c>
      <c r="B602" s="1" t="s">
        <v>1775</v>
      </c>
      <c r="C602" s="1" t="s">
        <v>1776</v>
      </c>
      <c r="E602" s="1" t="s">
        <v>52</v>
      </c>
      <c r="G602" s="1">
        <v>1</v>
      </c>
      <c r="H602" s="7">
        <v>45560</v>
      </c>
      <c r="I602" s="1" t="s">
        <v>7455</v>
      </c>
      <c r="J602" s="7">
        <v>45560</v>
      </c>
      <c r="K602" s="1" t="s">
        <v>7455</v>
      </c>
    </row>
    <row r="603" spans="1:11" x14ac:dyDescent="0.3">
      <c r="A603" s="1">
        <v>602</v>
      </c>
      <c r="B603" s="1" t="s">
        <v>1777</v>
      </c>
      <c r="C603" s="1" t="s">
        <v>1778</v>
      </c>
      <c r="E603" s="1" t="s">
        <v>52</v>
      </c>
      <c r="G603" s="1">
        <v>1</v>
      </c>
      <c r="H603" s="7">
        <v>45560</v>
      </c>
      <c r="I603" s="1" t="s">
        <v>7455</v>
      </c>
      <c r="J603" s="7">
        <v>45560</v>
      </c>
      <c r="K603" s="1" t="s">
        <v>7455</v>
      </c>
    </row>
    <row r="604" spans="1:11" x14ac:dyDescent="0.3">
      <c r="A604" s="1">
        <v>603</v>
      </c>
      <c r="B604" s="1" t="s">
        <v>1779</v>
      </c>
      <c r="C604" s="1" t="s">
        <v>1780</v>
      </c>
      <c r="F604" s="1" t="s">
        <v>1781</v>
      </c>
      <c r="G604" s="1">
        <v>1</v>
      </c>
      <c r="H604" s="7">
        <v>45560</v>
      </c>
      <c r="I604" s="1" t="s">
        <v>7455</v>
      </c>
      <c r="J604" s="7">
        <v>45560</v>
      </c>
      <c r="K604" s="1" t="s">
        <v>7455</v>
      </c>
    </row>
    <row r="605" spans="1:11" x14ac:dyDescent="0.3">
      <c r="A605" s="1">
        <v>604</v>
      </c>
      <c r="B605" s="1" t="s">
        <v>1782</v>
      </c>
      <c r="C605" s="1" t="s">
        <v>1783</v>
      </c>
      <c r="D605" s="1" t="s">
        <v>1784</v>
      </c>
      <c r="G605" s="1">
        <v>1</v>
      </c>
      <c r="H605" s="7">
        <v>45560</v>
      </c>
      <c r="I605" s="1" t="s">
        <v>7455</v>
      </c>
      <c r="J605" s="7">
        <v>45560</v>
      </c>
      <c r="K605" s="1" t="s">
        <v>7455</v>
      </c>
    </row>
    <row r="606" spans="1:11" x14ac:dyDescent="0.3">
      <c r="A606" s="1">
        <v>605</v>
      </c>
      <c r="B606" s="1" t="s">
        <v>1785</v>
      </c>
      <c r="C606" s="1" t="s">
        <v>1786</v>
      </c>
      <c r="D606" s="1" t="s">
        <v>1787</v>
      </c>
      <c r="F606" s="1" t="s">
        <v>1788</v>
      </c>
      <c r="G606" s="1">
        <v>1</v>
      </c>
      <c r="H606" s="7">
        <v>45560</v>
      </c>
      <c r="I606" s="1" t="s">
        <v>7455</v>
      </c>
      <c r="J606" s="7">
        <v>45560</v>
      </c>
      <c r="K606" s="1" t="s">
        <v>7455</v>
      </c>
    </row>
    <row r="607" spans="1:11" x14ac:dyDescent="0.3">
      <c r="A607" s="1">
        <v>606</v>
      </c>
      <c r="B607" s="1" t="s">
        <v>1789</v>
      </c>
      <c r="C607" s="1" t="s">
        <v>1790</v>
      </c>
      <c r="D607" s="1" t="s">
        <v>1791</v>
      </c>
      <c r="G607" s="1">
        <v>1</v>
      </c>
      <c r="H607" s="7">
        <v>45560</v>
      </c>
      <c r="I607" s="1" t="s">
        <v>7455</v>
      </c>
      <c r="J607" s="7">
        <v>45560</v>
      </c>
      <c r="K607" s="1" t="s">
        <v>7455</v>
      </c>
    </row>
    <row r="608" spans="1:11" x14ac:dyDescent="0.3">
      <c r="A608" s="1">
        <v>607</v>
      </c>
      <c r="B608" s="1" t="s">
        <v>1792</v>
      </c>
      <c r="C608" s="1" t="s">
        <v>1793</v>
      </c>
      <c r="E608" s="1" t="s">
        <v>52</v>
      </c>
      <c r="G608" s="1">
        <v>1</v>
      </c>
      <c r="H608" s="7">
        <v>45560</v>
      </c>
      <c r="I608" s="1" t="s">
        <v>7455</v>
      </c>
      <c r="J608" s="7">
        <v>45560</v>
      </c>
      <c r="K608" s="1" t="s">
        <v>7455</v>
      </c>
    </row>
    <row r="609" spans="1:11" x14ac:dyDescent="0.3">
      <c r="A609" s="1">
        <v>608</v>
      </c>
      <c r="B609" s="1" t="s">
        <v>1794</v>
      </c>
      <c r="C609" s="1" t="s">
        <v>1795</v>
      </c>
      <c r="D609" s="1" t="s">
        <v>1796</v>
      </c>
      <c r="F609" s="1" t="s">
        <v>1797</v>
      </c>
      <c r="G609" s="1">
        <v>1</v>
      </c>
      <c r="H609" s="7">
        <v>45560</v>
      </c>
      <c r="I609" s="1" t="s">
        <v>7455</v>
      </c>
      <c r="J609" s="7">
        <v>45560</v>
      </c>
      <c r="K609" s="1" t="s">
        <v>7455</v>
      </c>
    </row>
    <row r="610" spans="1:11" x14ac:dyDescent="0.3">
      <c r="A610" s="1">
        <v>609</v>
      </c>
      <c r="B610" s="1" t="s">
        <v>1798</v>
      </c>
      <c r="C610" s="1" t="s">
        <v>1799</v>
      </c>
      <c r="E610" s="1" t="s">
        <v>52</v>
      </c>
      <c r="G610" s="1">
        <v>1</v>
      </c>
      <c r="H610" s="7">
        <v>45560</v>
      </c>
      <c r="I610" s="1" t="s">
        <v>7455</v>
      </c>
      <c r="J610" s="7">
        <v>45560</v>
      </c>
      <c r="K610" s="1" t="s">
        <v>7455</v>
      </c>
    </row>
    <row r="611" spans="1:11" x14ac:dyDescent="0.3">
      <c r="A611" s="1">
        <v>610</v>
      </c>
      <c r="B611" s="1" t="s">
        <v>1800</v>
      </c>
      <c r="C611" s="1" t="s">
        <v>1801</v>
      </c>
      <c r="D611" s="1" t="s">
        <v>1802</v>
      </c>
      <c r="G611" s="1">
        <v>1</v>
      </c>
      <c r="H611" s="7">
        <v>45560</v>
      </c>
      <c r="I611" s="1" t="s">
        <v>7455</v>
      </c>
      <c r="J611" s="7">
        <v>45560</v>
      </c>
      <c r="K611" s="1" t="s">
        <v>7455</v>
      </c>
    </row>
    <row r="612" spans="1:11" x14ac:dyDescent="0.3">
      <c r="A612" s="1">
        <v>611</v>
      </c>
      <c r="B612" s="1" t="s">
        <v>1803</v>
      </c>
      <c r="C612" s="1" t="s">
        <v>1804</v>
      </c>
      <c r="F612" s="1" t="s">
        <v>1805</v>
      </c>
      <c r="G612" s="1">
        <v>1</v>
      </c>
      <c r="H612" s="7">
        <v>45560</v>
      </c>
      <c r="I612" s="1" t="s">
        <v>7455</v>
      </c>
      <c r="J612" s="7">
        <v>45560</v>
      </c>
      <c r="K612" s="1" t="s">
        <v>7455</v>
      </c>
    </row>
    <row r="613" spans="1:11" x14ac:dyDescent="0.3">
      <c r="A613" s="1">
        <v>612</v>
      </c>
      <c r="B613" s="1" t="s">
        <v>1806</v>
      </c>
      <c r="C613" s="1" t="s">
        <v>1807</v>
      </c>
      <c r="E613" s="1" t="s">
        <v>52</v>
      </c>
      <c r="G613" s="1">
        <v>1</v>
      </c>
      <c r="H613" s="7">
        <v>45560</v>
      </c>
      <c r="I613" s="1" t="s">
        <v>7455</v>
      </c>
      <c r="J613" s="7">
        <v>45560</v>
      </c>
      <c r="K613" s="1" t="s">
        <v>7455</v>
      </c>
    </row>
    <row r="614" spans="1:11" x14ac:dyDescent="0.3">
      <c r="A614" s="1">
        <v>613</v>
      </c>
      <c r="B614" s="1" t="s">
        <v>1808</v>
      </c>
      <c r="C614" s="1" t="s">
        <v>1809</v>
      </c>
      <c r="F614" s="1" t="s">
        <v>1810</v>
      </c>
      <c r="G614" s="1">
        <v>1</v>
      </c>
      <c r="H614" s="7">
        <v>45560</v>
      </c>
      <c r="I614" s="1" t="s">
        <v>7455</v>
      </c>
      <c r="J614" s="7">
        <v>45560</v>
      </c>
      <c r="K614" s="1" t="s">
        <v>7455</v>
      </c>
    </row>
    <row r="615" spans="1:11" x14ac:dyDescent="0.3">
      <c r="A615" s="1">
        <v>614</v>
      </c>
      <c r="B615" s="1" t="s">
        <v>1811</v>
      </c>
      <c r="C615" s="1" t="s">
        <v>1812</v>
      </c>
      <c r="F615" s="1" t="s">
        <v>1813</v>
      </c>
      <c r="G615" s="1">
        <v>1</v>
      </c>
      <c r="H615" s="7">
        <v>45560</v>
      </c>
      <c r="I615" s="1" t="s">
        <v>7455</v>
      </c>
      <c r="J615" s="7">
        <v>45560</v>
      </c>
      <c r="K615" s="1" t="s">
        <v>7455</v>
      </c>
    </row>
    <row r="616" spans="1:11" x14ac:dyDescent="0.3">
      <c r="A616" s="1">
        <v>615</v>
      </c>
      <c r="B616" s="1" t="s">
        <v>1814</v>
      </c>
      <c r="C616" s="1" t="s">
        <v>1815</v>
      </c>
      <c r="F616" s="1" t="s">
        <v>1816</v>
      </c>
      <c r="G616" s="1">
        <v>1</v>
      </c>
      <c r="H616" s="7">
        <v>45560</v>
      </c>
      <c r="I616" s="1" t="s">
        <v>7455</v>
      </c>
      <c r="J616" s="7">
        <v>45560</v>
      </c>
      <c r="K616" s="1" t="s">
        <v>7455</v>
      </c>
    </row>
    <row r="617" spans="1:11" x14ac:dyDescent="0.3">
      <c r="A617" s="1">
        <v>616</v>
      </c>
      <c r="B617" s="1" t="s">
        <v>1817</v>
      </c>
      <c r="C617" s="1" t="s">
        <v>1818</v>
      </c>
      <c r="D617" s="1" t="s">
        <v>1819</v>
      </c>
      <c r="F617" s="1" t="s">
        <v>1820</v>
      </c>
      <c r="G617" s="1">
        <v>1</v>
      </c>
      <c r="H617" s="7">
        <v>45560</v>
      </c>
      <c r="I617" s="1" t="s">
        <v>7455</v>
      </c>
      <c r="J617" s="7">
        <v>45560</v>
      </c>
      <c r="K617" s="1" t="s">
        <v>7455</v>
      </c>
    </row>
    <row r="618" spans="1:11" x14ac:dyDescent="0.3">
      <c r="A618" s="1">
        <v>617</v>
      </c>
      <c r="B618" s="1" t="s">
        <v>1821</v>
      </c>
      <c r="C618" s="1" t="s">
        <v>1822</v>
      </c>
      <c r="D618" s="1" t="s">
        <v>1823</v>
      </c>
      <c r="G618" s="1">
        <v>1</v>
      </c>
      <c r="H618" s="7">
        <v>45560</v>
      </c>
      <c r="I618" s="1" t="s">
        <v>7455</v>
      </c>
      <c r="J618" s="7">
        <v>45560</v>
      </c>
      <c r="K618" s="1" t="s">
        <v>7455</v>
      </c>
    </row>
    <row r="619" spans="1:11" x14ac:dyDescent="0.3">
      <c r="A619" s="1">
        <v>618</v>
      </c>
      <c r="B619" s="1" t="s">
        <v>1824</v>
      </c>
      <c r="C619" s="1" t="s">
        <v>1825</v>
      </c>
      <c r="D619" s="1" t="s">
        <v>1819</v>
      </c>
      <c r="F619" s="1" t="s">
        <v>1826</v>
      </c>
      <c r="G619" s="1">
        <v>1</v>
      </c>
      <c r="H619" s="7">
        <v>45560</v>
      </c>
      <c r="I619" s="1" t="s">
        <v>7455</v>
      </c>
      <c r="J619" s="7">
        <v>45560</v>
      </c>
      <c r="K619" s="1" t="s">
        <v>7455</v>
      </c>
    </row>
    <row r="620" spans="1:11" x14ac:dyDescent="0.3">
      <c r="A620" s="1">
        <v>619</v>
      </c>
      <c r="B620" s="1" t="s">
        <v>1827</v>
      </c>
      <c r="C620" s="1" t="s">
        <v>1828</v>
      </c>
      <c r="D620" s="1" t="s">
        <v>1829</v>
      </c>
      <c r="F620" s="1" t="s">
        <v>1830</v>
      </c>
      <c r="G620" s="1">
        <v>1</v>
      </c>
      <c r="H620" s="7">
        <v>45560</v>
      </c>
      <c r="I620" s="1" t="s">
        <v>7455</v>
      </c>
      <c r="J620" s="7">
        <v>45560</v>
      </c>
      <c r="K620" s="1" t="s">
        <v>7455</v>
      </c>
    </row>
    <row r="621" spans="1:11" x14ac:dyDescent="0.3">
      <c r="A621" s="1">
        <v>620</v>
      </c>
      <c r="B621" s="1" t="s">
        <v>1831</v>
      </c>
      <c r="C621" s="1" t="s">
        <v>1832</v>
      </c>
      <c r="F621" s="1" t="s">
        <v>1833</v>
      </c>
      <c r="G621" s="1">
        <v>1</v>
      </c>
      <c r="H621" s="7">
        <v>45560</v>
      </c>
      <c r="I621" s="1" t="s">
        <v>7455</v>
      </c>
      <c r="J621" s="7">
        <v>45560</v>
      </c>
      <c r="K621" s="1" t="s">
        <v>7455</v>
      </c>
    </row>
    <row r="622" spans="1:11" x14ac:dyDescent="0.3">
      <c r="A622" s="1">
        <v>621</v>
      </c>
      <c r="B622" s="1" t="s">
        <v>1834</v>
      </c>
      <c r="C622" s="1" t="s">
        <v>1835</v>
      </c>
      <c r="D622" s="1" t="s">
        <v>1836</v>
      </c>
      <c r="G622" s="1">
        <v>1</v>
      </c>
      <c r="H622" s="7">
        <v>45560</v>
      </c>
      <c r="I622" s="1" t="s">
        <v>7455</v>
      </c>
      <c r="J622" s="7">
        <v>45560</v>
      </c>
      <c r="K622" s="1" t="s">
        <v>7455</v>
      </c>
    </row>
    <row r="623" spans="1:11" x14ac:dyDescent="0.3">
      <c r="A623" s="1">
        <v>622</v>
      </c>
      <c r="B623" s="1" t="s">
        <v>1837</v>
      </c>
      <c r="C623" s="1" t="s">
        <v>1838</v>
      </c>
      <c r="D623" s="1" t="s">
        <v>1839</v>
      </c>
      <c r="G623" s="1">
        <v>1</v>
      </c>
      <c r="H623" s="7">
        <v>45560</v>
      </c>
      <c r="I623" s="1" t="s">
        <v>7455</v>
      </c>
      <c r="J623" s="7">
        <v>45560</v>
      </c>
      <c r="K623" s="1" t="s">
        <v>7455</v>
      </c>
    </row>
    <row r="624" spans="1:11" x14ac:dyDescent="0.3">
      <c r="A624" s="1">
        <v>623</v>
      </c>
      <c r="B624" s="1" t="s">
        <v>1840</v>
      </c>
      <c r="C624" s="1" t="s">
        <v>1841</v>
      </c>
      <c r="D624" s="1" t="s">
        <v>1842</v>
      </c>
      <c r="G624" s="1">
        <v>1</v>
      </c>
      <c r="H624" s="7">
        <v>45560</v>
      </c>
      <c r="I624" s="1" t="s">
        <v>7455</v>
      </c>
      <c r="J624" s="7">
        <v>45560</v>
      </c>
      <c r="K624" s="1" t="s">
        <v>7455</v>
      </c>
    </row>
    <row r="625" spans="1:11" x14ac:dyDescent="0.3">
      <c r="A625" s="1">
        <v>624</v>
      </c>
      <c r="B625" s="1" t="s">
        <v>1843</v>
      </c>
      <c r="C625" s="1" t="s">
        <v>1844</v>
      </c>
      <c r="E625" s="1" t="s">
        <v>52</v>
      </c>
      <c r="G625" s="1">
        <v>1</v>
      </c>
      <c r="H625" s="7">
        <v>45560</v>
      </c>
      <c r="I625" s="1" t="s">
        <v>7455</v>
      </c>
      <c r="J625" s="7">
        <v>45560</v>
      </c>
      <c r="K625" s="1" t="s">
        <v>7455</v>
      </c>
    </row>
    <row r="626" spans="1:11" x14ac:dyDescent="0.3">
      <c r="A626" s="1">
        <v>625</v>
      </c>
      <c r="B626" s="1" t="s">
        <v>1845</v>
      </c>
      <c r="C626" s="1" t="s">
        <v>1846</v>
      </c>
      <c r="D626" s="1" t="s">
        <v>1847</v>
      </c>
      <c r="G626" s="1">
        <v>1</v>
      </c>
      <c r="H626" s="7">
        <v>45560</v>
      </c>
      <c r="I626" s="1" t="s">
        <v>7455</v>
      </c>
      <c r="J626" s="7">
        <v>45560</v>
      </c>
      <c r="K626" s="1" t="s">
        <v>7455</v>
      </c>
    </row>
    <row r="627" spans="1:11" x14ac:dyDescent="0.3">
      <c r="A627" s="1">
        <v>626</v>
      </c>
      <c r="B627" s="1" t="s">
        <v>1848</v>
      </c>
      <c r="C627" s="1" t="s">
        <v>1849</v>
      </c>
      <c r="D627" s="1" t="s">
        <v>1850</v>
      </c>
      <c r="G627" s="1">
        <v>1</v>
      </c>
      <c r="H627" s="7">
        <v>45560</v>
      </c>
      <c r="I627" s="1" t="s">
        <v>7455</v>
      </c>
      <c r="J627" s="7">
        <v>45560</v>
      </c>
      <c r="K627" s="1" t="s">
        <v>7455</v>
      </c>
    </row>
    <row r="628" spans="1:11" x14ac:dyDescent="0.3">
      <c r="A628" s="1">
        <v>627</v>
      </c>
      <c r="B628" s="1" t="s">
        <v>1851</v>
      </c>
      <c r="C628" s="1" t="s">
        <v>1852</v>
      </c>
      <c r="D628" s="1" t="s">
        <v>1853</v>
      </c>
      <c r="G628" s="1">
        <v>1</v>
      </c>
      <c r="H628" s="7">
        <v>45560</v>
      </c>
      <c r="I628" s="1" t="s">
        <v>7455</v>
      </c>
      <c r="J628" s="7">
        <v>45560</v>
      </c>
      <c r="K628" s="1" t="s">
        <v>7455</v>
      </c>
    </row>
    <row r="629" spans="1:11" x14ac:dyDescent="0.3">
      <c r="A629" s="1">
        <v>628</v>
      </c>
      <c r="B629" s="1" t="s">
        <v>1854</v>
      </c>
      <c r="C629" s="1" t="s">
        <v>1855</v>
      </c>
      <c r="E629" s="1" t="s">
        <v>52</v>
      </c>
      <c r="G629" s="1">
        <v>1</v>
      </c>
      <c r="H629" s="7">
        <v>45560</v>
      </c>
      <c r="I629" s="1" t="s">
        <v>7455</v>
      </c>
      <c r="J629" s="7">
        <v>45560</v>
      </c>
      <c r="K629" s="1" t="s">
        <v>7455</v>
      </c>
    </row>
    <row r="630" spans="1:11" x14ac:dyDescent="0.3">
      <c r="A630" s="1">
        <v>629</v>
      </c>
      <c r="B630" s="1" t="s">
        <v>1856</v>
      </c>
      <c r="C630" s="1" t="s">
        <v>1857</v>
      </c>
      <c r="E630" s="1" t="s">
        <v>52</v>
      </c>
      <c r="G630" s="1">
        <v>1</v>
      </c>
      <c r="H630" s="7">
        <v>45560</v>
      </c>
      <c r="I630" s="1" t="s">
        <v>7455</v>
      </c>
      <c r="J630" s="7">
        <v>45560</v>
      </c>
      <c r="K630" s="1" t="s">
        <v>7455</v>
      </c>
    </row>
    <row r="631" spans="1:11" x14ac:dyDescent="0.3">
      <c r="A631" s="1">
        <v>630</v>
      </c>
      <c r="B631" s="1" t="s">
        <v>1858</v>
      </c>
      <c r="C631" s="1" t="s">
        <v>1859</v>
      </c>
      <c r="D631" s="1" t="s">
        <v>1860</v>
      </c>
      <c r="G631" s="1">
        <v>1</v>
      </c>
      <c r="H631" s="7">
        <v>45560</v>
      </c>
      <c r="I631" s="1" t="s">
        <v>7455</v>
      </c>
      <c r="J631" s="7">
        <v>45560</v>
      </c>
      <c r="K631" s="1" t="s">
        <v>7455</v>
      </c>
    </row>
    <row r="632" spans="1:11" x14ac:dyDescent="0.3">
      <c r="A632" s="1">
        <v>631</v>
      </c>
      <c r="B632" s="1" t="s">
        <v>1861</v>
      </c>
      <c r="C632" s="1" t="s">
        <v>1862</v>
      </c>
      <c r="D632" s="1" t="s">
        <v>1863</v>
      </c>
      <c r="F632" s="1" t="s">
        <v>1864</v>
      </c>
      <c r="G632" s="1">
        <v>1</v>
      </c>
      <c r="H632" s="7">
        <v>45560</v>
      </c>
      <c r="I632" s="1" t="s">
        <v>7455</v>
      </c>
      <c r="J632" s="7">
        <v>45560</v>
      </c>
      <c r="K632" s="1" t="s">
        <v>7455</v>
      </c>
    </row>
    <row r="633" spans="1:11" x14ac:dyDescent="0.3">
      <c r="A633" s="1">
        <v>632</v>
      </c>
      <c r="B633" s="1" t="s">
        <v>1865</v>
      </c>
      <c r="C633" s="1" t="s">
        <v>1866</v>
      </c>
      <c r="E633" s="1" t="s">
        <v>73</v>
      </c>
      <c r="F633" s="1" t="s">
        <v>1867</v>
      </c>
      <c r="G633" s="1">
        <v>1</v>
      </c>
      <c r="H633" s="7">
        <v>45560</v>
      </c>
      <c r="I633" s="1" t="s">
        <v>7455</v>
      </c>
      <c r="J633" s="7">
        <v>45560</v>
      </c>
      <c r="K633" s="1" t="s">
        <v>7455</v>
      </c>
    </row>
    <row r="634" spans="1:11" x14ac:dyDescent="0.3">
      <c r="A634" s="1">
        <v>633</v>
      </c>
      <c r="B634" s="1" t="s">
        <v>1868</v>
      </c>
      <c r="C634" s="1" t="s">
        <v>1869</v>
      </c>
      <c r="D634" s="1" t="s">
        <v>1870</v>
      </c>
      <c r="G634" s="1">
        <v>1</v>
      </c>
      <c r="H634" s="7">
        <v>45560</v>
      </c>
      <c r="I634" s="1" t="s">
        <v>7455</v>
      </c>
      <c r="J634" s="7">
        <v>45560</v>
      </c>
      <c r="K634" s="1" t="s">
        <v>7455</v>
      </c>
    </row>
    <row r="635" spans="1:11" x14ac:dyDescent="0.3">
      <c r="A635" s="1">
        <v>634</v>
      </c>
      <c r="B635" s="1" t="s">
        <v>1871</v>
      </c>
      <c r="C635" s="1" t="s">
        <v>1872</v>
      </c>
      <c r="E635" s="1" t="s">
        <v>73</v>
      </c>
      <c r="F635" s="1" t="s">
        <v>1873</v>
      </c>
      <c r="G635" s="1">
        <v>1</v>
      </c>
      <c r="H635" s="7">
        <v>45560</v>
      </c>
      <c r="I635" s="1" t="s">
        <v>7455</v>
      </c>
      <c r="J635" s="7">
        <v>45560</v>
      </c>
      <c r="K635" s="1" t="s">
        <v>7455</v>
      </c>
    </row>
    <row r="636" spans="1:11" x14ac:dyDescent="0.3">
      <c r="A636" s="1">
        <v>635</v>
      </c>
      <c r="B636" s="1" t="s">
        <v>1874</v>
      </c>
      <c r="C636" s="1" t="s">
        <v>1875</v>
      </c>
      <c r="E636" s="1" t="s">
        <v>52</v>
      </c>
      <c r="G636" s="1">
        <v>1</v>
      </c>
      <c r="H636" s="7">
        <v>45560</v>
      </c>
      <c r="I636" s="1" t="s">
        <v>7455</v>
      </c>
      <c r="J636" s="7">
        <v>45560</v>
      </c>
      <c r="K636" s="1" t="s">
        <v>7455</v>
      </c>
    </row>
    <row r="637" spans="1:11" x14ac:dyDescent="0.3">
      <c r="A637" s="1">
        <v>636</v>
      </c>
      <c r="B637" s="1" t="s">
        <v>1876</v>
      </c>
      <c r="C637" s="1" t="s">
        <v>1877</v>
      </c>
      <c r="D637" s="1" t="s">
        <v>1878</v>
      </c>
      <c r="F637" s="1" t="s">
        <v>1879</v>
      </c>
      <c r="G637" s="1">
        <v>1</v>
      </c>
      <c r="H637" s="7">
        <v>45560</v>
      </c>
      <c r="I637" s="1" t="s">
        <v>7455</v>
      </c>
      <c r="J637" s="7">
        <v>45560</v>
      </c>
      <c r="K637" s="1" t="s">
        <v>7455</v>
      </c>
    </row>
    <row r="638" spans="1:11" x14ac:dyDescent="0.3">
      <c r="A638" s="1">
        <v>637</v>
      </c>
      <c r="B638" s="1" t="s">
        <v>1880</v>
      </c>
      <c r="C638" s="1" t="s">
        <v>1881</v>
      </c>
      <c r="D638" s="1" t="s">
        <v>1882</v>
      </c>
      <c r="G638" s="1">
        <v>1</v>
      </c>
      <c r="H638" s="7">
        <v>45560</v>
      </c>
      <c r="I638" s="1" t="s">
        <v>7455</v>
      </c>
      <c r="J638" s="7">
        <v>45560</v>
      </c>
      <c r="K638" s="1" t="s">
        <v>7455</v>
      </c>
    </row>
    <row r="639" spans="1:11" x14ac:dyDescent="0.3">
      <c r="A639" s="1">
        <v>638</v>
      </c>
      <c r="B639" s="1" t="s">
        <v>1883</v>
      </c>
      <c r="C639" s="1" t="s">
        <v>1884</v>
      </c>
      <c r="D639" s="1" t="s">
        <v>1885</v>
      </c>
      <c r="F639" s="1" t="s">
        <v>1886</v>
      </c>
      <c r="G639" s="1">
        <v>1</v>
      </c>
      <c r="H639" s="7">
        <v>45560</v>
      </c>
      <c r="I639" s="1" t="s">
        <v>7455</v>
      </c>
      <c r="J639" s="7">
        <v>45560</v>
      </c>
      <c r="K639" s="1" t="s">
        <v>7455</v>
      </c>
    </row>
    <row r="640" spans="1:11" x14ac:dyDescent="0.3">
      <c r="A640" s="1">
        <v>639</v>
      </c>
      <c r="B640" s="1" t="s">
        <v>1887</v>
      </c>
      <c r="C640" s="1" t="s">
        <v>1888</v>
      </c>
      <c r="D640" s="1" t="s">
        <v>1889</v>
      </c>
      <c r="F640" s="1" t="s">
        <v>1890</v>
      </c>
      <c r="G640" s="1">
        <v>1</v>
      </c>
      <c r="H640" s="7">
        <v>45560</v>
      </c>
      <c r="I640" s="1" t="s">
        <v>7455</v>
      </c>
      <c r="J640" s="7">
        <v>45560</v>
      </c>
      <c r="K640" s="1" t="s">
        <v>7455</v>
      </c>
    </row>
    <row r="641" spans="1:11" x14ac:dyDescent="0.3">
      <c r="A641" s="1">
        <v>640</v>
      </c>
      <c r="B641" s="1" t="s">
        <v>1891</v>
      </c>
      <c r="C641" s="1" t="s">
        <v>1892</v>
      </c>
      <c r="D641" s="1" t="s">
        <v>1893</v>
      </c>
      <c r="F641" s="1" t="s">
        <v>1894</v>
      </c>
      <c r="G641" s="1">
        <v>1</v>
      </c>
      <c r="H641" s="7">
        <v>45560</v>
      </c>
      <c r="I641" s="1" t="s">
        <v>7455</v>
      </c>
      <c r="J641" s="7">
        <v>45560</v>
      </c>
      <c r="K641" s="1" t="s">
        <v>7455</v>
      </c>
    </row>
    <row r="642" spans="1:11" x14ac:dyDescent="0.3">
      <c r="A642" s="1">
        <v>641</v>
      </c>
      <c r="B642" s="1" t="s">
        <v>1895</v>
      </c>
      <c r="C642" s="1" t="s">
        <v>1896</v>
      </c>
      <c r="D642" s="1" t="s">
        <v>1897</v>
      </c>
      <c r="F642" s="1" t="s">
        <v>1898</v>
      </c>
      <c r="G642" s="1">
        <v>1</v>
      </c>
      <c r="H642" s="7">
        <v>45560</v>
      </c>
      <c r="I642" s="1" t="s">
        <v>7455</v>
      </c>
      <c r="J642" s="7">
        <v>45560</v>
      </c>
      <c r="K642" s="1" t="s">
        <v>7455</v>
      </c>
    </row>
    <row r="643" spans="1:11" x14ac:dyDescent="0.3">
      <c r="A643" s="1">
        <v>642</v>
      </c>
      <c r="B643" s="1" t="s">
        <v>1899</v>
      </c>
      <c r="C643" s="1" t="s">
        <v>1900</v>
      </c>
      <c r="D643" s="1" t="s">
        <v>1901</v>
      </c>
      <c r="F643" s="1" t="s">
        <v>1902</v>
      </c>
      <c r="G643" s="1">
        <v>1</v>
      </c>
      <c r="H643" s="7">
        <v>45560</v>
      </c>
      <c r="I643" s="1" t="s">
        <v>7455</v>
      </c>
      <c r="J643" s="7">
        <v>45560</v>
      </c>
      <c r="K643" s="1" t="s">
        <v>7455</v>
      </c>
    </row>
    <row r="644" spans="1:11" x14ac:dyDescent="0.3">
      <c r="A644" s="1">
        <v>643</v>
      </c>
      <c r="B644" s="1" t="s">
        <v>1903</v>
      </c>
      <c r="C644" s="1" t="s">
        <v>1904</v>
      </c>
      <c r="D644" s="1" t="s">
        <v>1905</v>
      </c>
      <c r="E644" s="1" t="s">
        <v>73</v>
      </c>
      <c r="G644" s="1">
        <v>1</v>
      </c>
      <c r="H644" s="7">
        <v>45560</v>
      </c>
      <c r="I644" s="1" t="s">
        <v>7455</v>
      </c>
      <c r="J644" s="7">
        <v>45560</v>
      </c>
      <c r="K644" s="1" t="s">
        <v>7455</v>
      </c>
    </row>
    <row r="645" spans="1:11" x14ac:dyDescent="0.3">
      <c r="A645" s="1">
        <v>644</v>
      </c>
      <c r="B645" s="1" t="s">
        <v>1906</v>
      </c>
      <c r="C645" s="1" t="s">
        <v>1907</v>
      </c>
      <c r="D645" s="1" t="s">
        <v>1908</v>
      </c>
      <c r="G645" s="1">
        <v>1</v>
      </c>
      <c r="H645" s="7">
        <v>45560</v>
      </c>
      <c r="I645" s="1" t="s">
        <v>7455</v>
      </c>
      <c r="J645" s="7">
        <v>45560</v>
      </c>
      <c r="K645" s="1" t="s">
        <v>7455</v>
      </c>
    </row>
    <row r="646" spans="1:11" x14ac:dyDescent="0.3">
      <c r="A646" s="1">
        <v>645</v>
      </c>
      <c r="B646" s="1" t="s">
        <v>1909</v>
      </c>
      <c r="C646" s="1" t="s">
        <v>1910</v>
      </c>
      <c r="F646" s="1" t="s">
        <v>1911</v>
      </c>
      <c r="G646" s="1">
        <v>1</v>
      </c>
      <c r="H646" s="7">
        <v>45560</v>
      </c>
      <c r="I646" s="1" t="s">
        <v>7455</v>
      </c>
      <c r="J646" s="7">
        <v>45560</v>
      </c>
      <c r="K646" s="1" t="s">
        <v>7455</v>
      </c>
    </row>
    <row r="647" spans="1:11" x14ac:dyDescent="0.3">
      <c r="A647" s="1">
        <v>646</v>
      </c>
      <c r="B647" s="1" t="s">
        <v>1912</v>
      </c>
      <c r="C647" s="1" t="s">
        <v>1913</v>
      </c>
      <c r="F647" s="1" t="s">
        <v>1914</v>
      </c>
      <c r="G647" s="1">
        <v>1</v>
      </c>
      <c r="H647" s="7">
        <v>45560</v>
      </c>
      <c r="I647" s="1" t="s">
        <v>7455</v>
      </c>
      <c r="J647" s="7">
        <v>45560</v>
      </c>
      <c r="K647" s="1" t="s">
        <v>7455</v>
      </c>
    </row>
    <row r="648" spans="1:11" x14ac:dyDescent="0.3">
      <c r="A648" s="1">
        <v>647</v>
      </c>
      <c r="B648" s="1" t="s">
        <v>1915</v>
      </c>
      <c r="C648" s="1" t="s">
        <v>1916</v>
      </c>
      <c r="D648" s="1" t="s">
        <v>1917</v>
      </c>
      <c r="F648" s="1" t="s">
        <v>177</v>
      </c>
      <c r="G648" s="1">
        <v>1</v>
      </c>
      <c r="H648" s="7">
        <v>45560</v>
      </c>
      <c r="I648" s="1" t="s">
        <v>7455</v>
      </c>
      <c r="J648" s="7">
        <v>45560</v>
      </c>
      <c r="K648" s="1" t="s">
        <v>7455</v>
      </c>
    </row>
    <row r="649" spans="1:11" x14ac:dyDescent="0.3">
      <c r="A649" s="1">
        <v>648</v>
      </c>
      <c r="B649" s="1" t="s">
        <v>1918</v>
      </c>
      <c r="C649" s="1" t="s">
        <v>1919</v>
      </c>
      <c r="D649" s="1" t="s">
        <v>1920</v>
      </c>
      <c r="F649" s="1" t="s">
        <v>1921</v>
      </c>
      <c r="G649" s="1">
        <v>1</v>
      </c>
      <c r="H649" s="7">
        <v>45560</v>
      </c>
      <c r="I649" s="1" t="s">
        <v>7455</v>
      </c>
      <c r="J649" s="7">
        <v>45560</v>
      </c>
      <c r="K649" s="1" t="s">
        <v>7455</v>
      </c>
    </row>
    <row r="650" spans="1:11" x14ac:dyDescent="0.3">
      <c r="A650" s="1">
        <v>649</v>
      </c>
      <c r="B650" s="1" t="s">
        <v>1922</v>
      </c>
      <c r="C650" s="1" t="s">
        <v>1923</v>
      </c>
      <c r="D650" s="1" t="s">
        <v>1924</v>
      </c>
      <c r="F650" s="1" t="s">
        <v>1925</v>
      </c>
      <c r="G650" s="1">
        <v>1</v>
      </c>
      <c r="H650" s="7">
        <v>45560</v>
      </c>
      <c r="I650" s="1" t="s">
        <v>7455</v>
      </c>
      <c r="J650" s="7">
        <v>45560</v>
      </c>
      <c r="K650" s="1" t="s">
        <v>7455</v>
      </c>
    </row>
    <row r="651" spans="1:11" x14ac:dyDescent="0.3">
      <c r="A651" s="1">
        <v>650</v>
      </c>
      <c r="B651" s="1" t="s">
        <v>1926</v>
      </c>
      <c r="C651" s="1" t="s">
        <v>1927</v>
      </c>
      <c r="D651" s="1" t="s">
        <v>1928</v>
      </c>
      <c r="G651" s="1">
        <v>1</v>
      </c>
      <c r="H651" s="7">
        <v>45560</v>
      </c>
      <c r="I651" s="1" t="s">
        <v>7455</v>
      </c>
      <c r="J651" s="7">
        <v>45560</v>
      </c>
      <c r="K651" s="1" t="s">
        <v>7455</v>
      </c>
    </row>
    <row r="652" spans="1:11" x14ac:dyDescent="0.3">
      <c r="A652" s="1">
        <v>651</v>
      </c>
      <c r="B652" s="1" t="s">
        <v>1929</v>
      </c>
      <c r="C652" s="1" t="s">
        <v>1930</v>
      </c>
      <c r="D652" s="1" t="s">
        <v>1931</v>
      </c>
      <c r="F652" s="1" t="s">
        <v>1932</v>
      </c>
      <c r="G652" s="1">
        <v>1</v>
      </c>
      <c r="H652" s="7">
        <v>45560</v>
      </c>
      <c r="I652" s="1" t="s">
        <v>7455</v>
      </c>
      <c r="J652" s="7">
        <v>45560</v>
      </c>
      <c r="K652" s="1" t="s">
        <v>7455</v>
      </c>
    </row>
    <row r="653" spans="1:11" x14ac:dyDescent="0.3">
      <c r="A653" s="1">
        <v>652</v>
      </c>
      <c r="B653" s="1" t="s">
        <v>1933</v>
      </c>
      <c r="C653" s="1" t="s">
        <v>1934</v>
      </c>
      <c r="D653" s="1" t="s">
        <v>1935</v>
      </c>
      <c r="G653" s="1">
        <v>1</v>
      </c>
      <c r="H653" s="7">
        <v>45560</v>
      </c>
      <c r="I653" s="1" t="s">
        <v>7455</v>
      </c>
      <c r="J653" s="7">
        <v>45560</v>
      </c>
      <c r="K653" s="1" t="s">
        <v>7455</v>
      </c>
    </row>
    <row r="654" spans="1:11" x14ac:dyDescent="0.3">
      <c r="A654" s="1">
        <v>653</v>
      </c>
      <c r="B654" s="1" t="s">
        <v>1936</v>
      </c>
      <c r="C654" s="1" t="s">
        <v>1937</v>
      </c>
      <c r="D654" s="1" t="s">
        <v>1938</v>
      </c>
      <c r="G654" s="1">
        <v>1</v>
      </c>
      <c r="H654" s="7">
        <v>45560</v>
      </c>
      <c r="I654" s="1" t="s">
        <v>7455</v>
      </c>
      <c r="J654" s="7">
        <v>45560</v>
      </c>
      <c r="K654" s="1" t="s">
        <v>7455</v>
      </c>
    </row>
    <row r="655" spans="1:11" x14ac:dyDescent="0.3">
      <c r="A655" s="1">
        <v>654</v>
      </c>
      <c r="B655" s="1" t="s">
        <v>1939</v>
      </c>
      <c r="C655" s="1" t="s">
        <v>1940</v>
      </c>
      <c r="D655" s="1" t="s">
        <v>1941</v>
      </c>
      <c r="G655" s="1">
        <v>1</v>
      </c>
      <c r="H655" s="7">
        <v>45560</v>
      </c>
      <c r="I655" s="1" t="s">
        <v>7455</v>
      </c>
      <c r="J655" s="7">
        <v>45560</v>
      </c>
      <c r="K655" s="1" t="s">
        <v>7455</v>
      </c>
    </row>
    <row r="656" spans="1:11" x14ac:dyDescent="0.3">
      <c r="A656" s="1">
        <v>655</v>
      </c>
      <c r="B656" s="1" t="s">
        <v>1942</v>
      </c>
      <c r="C656" s="1" t="s">
        <v>1943</v>
      </c>
      <c r="D656" s="1" t="s">
        <v>1944</v>
      </c>
      <c r="G656" s="1">
        <v>1</v>
      </c>
      <c r="H656" s="7">
        <v>45560</v>
      </c>
      <c r="I656" s="1" t="s">
        <v>7455</v>
      </c>
      <c r="J656" s="7">
        <v>45560</v>
      </c>
      <c r="K656" s="1" t="s">
        <v>7455</v>
      </c>
    </row>
    <row r="657" spans="1:11" x14ac:dyDescent="0.3">
      <c r="A657" s="1">
        <v>656</v>
      </c>
      <c r="B657" s="1" t="s">
        <v>1945</v>
      </c>
      <c r="C657" s="1" t="s">
        <v>1946</v>
      </c>
      <c r="D657" s="1" t="s">
        <v>1947</v>
      </c>
      <c r="G657" s="1">
        <v>1</v>
      </c>
      <c r="H657" s="7">
        <v>45560</v>
      </c>
      <c r="I657" s="1" t="s">
        <v>7455</v>
      </c>
      <c r="J657" s="7">
        <v>45560</v>
      </c>
      <c r="K657" s="1" t="s">
        <v>7455</v>
      </c>
    </row>
    <row r="658" spans="1:11" x14ac:dyDescent="0.3">
      <c r="A658" s="1">
        <v>657</v>
      </c>
      <c r="B658" s="1" t="s">
        <v>1948</v>
      </c>
      <c r="C658" s="1" t="s">
        <v>1949</v>
      </c>
      <c r="D658" s="1" t="s">
        <v>1860</v>
      </c>
      <c r="G658" s="1">
        <v>1</v>
      </c>
      <c r="H658" s="7">
        <v>45560</v>
      </c>
      <c r="I658" s="1" t="s">
        <v>7455</v>
      </c>
      <c r="J658" s="7">
        <v>45560</v>
      </c>
      <c r="K658" s="1" t="s">
        <v>7455</v>
      </c>
    </row>
    <row r="659" spans="1:11" x14ac:dyDescent="0.3">
      <c r="A659" s="1">
        <v>658</v>
      </c>
      <c r="B659" s="1" t="s">
        <v>1950</v>
      </c>
      <c r="C659" s="1" t="s">
        <v>1951</v>
      </c>
      <c r="E659" s="1" t="s">
        <v>52</v>
      </c>
      <c r="G659" s="1">
        <v>1</v>
      </c>
      <c r="H659" s="7">
        <v>45560</v>
      </c>
      <c r="I659" s="1" t="s">
        <v>7455</v>
      </c>
      <c r="J659" s="7">
        <v>45560</v>
      </c>
      <c r="K659" s="1" t="s">
        <v>7455</v>
      </c>
    </row>
    <row r="660" spans="1:11" x14ac:dyDescent="0.3">
      <c r="A660" s="1">
        <v>659</v>
      </c>
      <c r="B660" s="1" t="s">
        <v>1952</v>
      </c>
      <c r="C660" s="1" t="s">
        <v>1953</v>
      </c>
      <c r="D660" s="1" t="s">
        <v>1954</v>
      </c>
      <c r="G660" s="1">
        <v>1</v>
      </c>
      <c r="H660" s="7">
        <v>45560</v>
      </c>
      <c r="I660" s="1" t="s">
        <v>7455</v>
      </c>
      <c r="J660" s="7">
        <v>45560</v>
      </c>
      <c r="K660" s="1" t="s">
        <v>7455</v>
      </c>
    </row>
    <row r="661" spans="1:11" x14ac:dyDescent="0.3">
      <c r="A661" s="1">
        <v>660</v>
      </c>
      <c r="B661" s="1" t="s">
        <v>1955</v>
      </c>
      <c r="C661" s="1" t="s">
        <v>1956</v>
      </c>
      <c r="D661" s="1" t="s">
        <v>1957</v>
      </c>
      <c r="F661" s="1" t="s">
        <v>1958</v>
      </c>
      <c r="G661" s="1">
        <v>1</v>
      </c>
      <c r="H661" s="7">
        <v>45560</v>
      </c>
      <c r="I661" s="1" t="s">
        <v>7455</v>
      </c>
      <c r="J661" s="7">
        <v>45560</v>
      </c>
      <c r="K661" s="1" t="s">
        <v>7455</v>
      </c>
    </row>
    <row r="662" spans="1:11" x14ac:dyDescent="0.3">
      <c r="A662" s="1">
        <v>661</v>
      </c>
      <c r="B662" s="1" t="s">
        <v>1959</v>
      </c>
      <c r="C662" s="1" t="s">
        <v>1960</v>
      </c>
      <c r="D662" s="1" t="s">
        <v>1961</v>
      </c>
      <c r="F662" s="1" t="s">
        <v>1962</v>
      </c>
      <c r="G662" s="1">
        <v>1</v>
      </c>
      <c r="H662" s="7">
        <v>45560</v>
      </c>
      <c r="I662" s="1" t="s">
        <v>7455</v>
      </c>
      <c r="J662" s="7">
        <v>45560</v>
      </c>
      <c r="K662" s="1" t="s">
        <v>7455</v>
      </c>
    </row>
    <row r="663" spans="1:11" x14ac:dyDescent="0.3">
      <c r="A663" s="1">
        <v>662</v>
      </c>
      <c r="B663" s="1" t="s">
        <v>1963</v>
      </c>
      <c r="C663" s="1" t="s">
        <v>1964</v>
      </c>
      <c r="D663" s="1" t="s">
        <v>1965</v>
      </c>
      <c r="G663" s="1">
        <v>1</v>
      </c>
      <c r="H663" s="7">
        <v>45560</v>
      </c>
      <c r="I663" s="1" t="s">
        <v>7455</v>
      </c>
      <c r="J663" s="7">
        <v>45560</v>
      </c>
      <c r="K663" s="1" t="s">
        <v>7455</v>
      </c>
    </row>
    <row r="664" spans="1:11" x14ac:dyDescent="0.3">
      <c r="A664" s="1">
        <v>663</v>
      </c>
      <c r="B664" s="1" t="s">
        <v>1966</v>
      </c>
      <c r="C664" s="1" t="s">
        <v>1967</v>
      </c>
      <c r="D664" s="1" t="s">
        <v>1968</v>
      </c>
      <c r="F664" s="1" t="s">
        <v>1969</v>
      </c>
      <c r="G664" s="1">
        <v>1</v>
      </c>
      <c r="H664" s="7">
        <v>45560</v>
      </c>
      <c r="I664" s="1" t="s">
        <v>7455</v>
      </c>
      <c r="J664" s="7">
        <v>45560</v>
      </c>
      <c r="K664" s="1" t="s">
        <v>7455</v>
      </c>
    </row>
    <row r="665" spans="1:11" x14ac:dyDescent="0.3">
      <c r="A665" s="1">
        <v>664</v>
      </c>
      <c r="B665" s="1" t="s">
        <v>1970</v>
      </c>
      <c r="C665" s="1" t="s">
        <v>1971</v>
      </c>
      <c r="D665" s="1" t="s">
        <v>1972</v>
      </c>
      <c r="F665" s="1" t="s">
        <v>1973</v>
      </c>
      <c r="G665" s="1">
        <v>1</v>
      </c>
      <c r="H665" s="7">
        <v>45560</v>
      </c>
      <c r="I665" s="1" t="s">
        <v>7455</v>
      </c>
      <c r="J665" s="7">
        <v>45560</v>
      </c>
      <c r="K665" s="1" t="s">
        <v>7455</v>
      </c>
    </row>
    <row r="666" spans="1:11" x14ac:dyDescent="0.3">
      <c r="A666" s="1">
        <v>665</v>
      </c>
      <c r="B666" s="1" t="s">
        <v>1974</v>
      </c>
      <c r="C666" s="1" t="s">
        <v>1975</v>
      </c>
      <c r="D666" s="1" t="s">
        <v>1976</v>
      </c>
      <c r="F666" s="1" t="s">
        <v>1977</v>
      </c>
      <c r="G666" s="1">
        <v>1</v>
      </c>
      <c r="H666" s="7">
        <v>45560</v>
      </c>
      <c r="I666" s="1" t="s">
        <v>7455</v>
      </c>
      <c r="J666" s="7">
        <v>45560</v>
      </c>
      <c r="K666" s="1" t="s">
        <v>7455</v>
      </c>
    </row>
    <row r="667" spans="1:11" x14ac:dyDescent="0.3">
      <c r="A667" s="1">
        <v>666</v>
      </c>
      <c r="B667" s="1" t="s">
        <v>1978</v>
      </c>
      <c r="C667" s="1" t="s">
        <v>1979</v>
      </c>
      <c r="D667" s="1" t="s">
        <v>1980</v>
      </c>
      <c r="G667" s="1">
        <v>1</v>
      </c>
      <c r="H667" s="7">
        <v>45560</v>
      </c>
      <c r="I667" s="1" t="s">
        <v>7455</v>
      </c>
      <c r="J667" s="7">
        <v>45560</v>
      </c>
      <c r="K667" s="1" t="s">
        <v>7455</v>
      </c>
    </row>
    <row r="668" spans="1:11" x14ac:dyDescent="0.3">
      <c r="A668" s="1">
        <v>667</v>
      </c>
      <c r="B668" s="1" t="s">
        <v>1981</v>
      </c>
      <c r="C668" s="1" t="s">
        <v>1982</v>
      </c>
      <c r="D668" s="1" t="s">
        <v>1983</v>
      </c>
      <c r="G668" s="1">
        <v>1</v>
      </c>
      <c r="H668" s="7">
        <v>45560</v>
      </c>
      <c r="I668" s="1" t="s">
        <v>7455</v>
      </c>
      <c r="J668" s="7">
        <v>45560</v>
      </c>
      <c r="K668" s="1" t="s">
        <v>7455</v>
      </c>
    </row>
    <row r="669" spans="1:11" x14ac:dyDescent="0.3">
      <c r="A669" s="1">
        <v>668</v>
      </c>
      <c r="B669" s="1" t="s">
        <v>1984</v>
      </c>
      <c r="C669" s="1" t="s">
        <v>1985</v>
      </c>
      <c r="D669" s="1" t="s">
        <v>1986</v>
      </c>
      <c r="F669" s="1" t="s">
        <v>1987</v>
      </c>
      <c r="G669" s="1">
        <v>1</v>
      </c>
      <c r="H669" s="7">
        <v>45560</v>
      </c>
      <c r="I669" s="1" t="s">
        <v>7455</v>
      </c>
      <c r="J669" s="7">
        <v>45560</v>
      </c>
      <c r="K669" s="1" t="s">
        <v>7455</v>
      </c>
    </row>
    <row r="670" spans="1:11" x14ac:dyDescent="0.3">
      <c r="A670" s="1">
        <v>669</v>
      </c>
      <c r="B670" s="1" t="s">
        <v>1988</v>
      </c>
      <c r="C670" s="1" t="s">
        <v>1989</v>
      </c>
      <c r="D670" s="1" t="s">
        <v>1990</v>
      </c>
      <c r="G670" s="1">
        <v>1</v>
      </c>
      <c r="H670" s="7">
        <v>45560</v>
      </c>
      <c r="I670" s="1" t="s">
        <v>7455</v>
      </c>
      <c r="J670" s="7">
        <v>45560</v>
      </c>
      <c r="K670" s="1" t="s">
        <v>7455</v>
      </c>
    </row>
    <row r="671" spans="1:11" x14ac:dyDescent="0.3">
      <c r="A671" s="1">
        <v>670</v>
      </c>
      <c r="B671" s="1" t="s">
        <v>1991</v>
      </c>
      <c r="C671" s="1" t="s">
        <v>1992</v>
      </c>
      <c r="D671" s="1" t="s">
        <v>1993</v>
      </c>
      <c r="F671" s="1" t="s">
        <v>1994</v>
      </c>
      <c r="G671" s="1">
        <v>1</v>
      </c>
      <c r="H671" s="7">
        <v>45560</v>
      </c>
      <c r="I671" s="1" t="s">
        <v>7455</v>
      </c>
      <c r="J671" s="7">
        <v>45560</v>
      </c>
      <c r="K671" s="1" t="s">
        <v>7455</v>
      </c>
    </row>
    <row r="672" spans="1:11" x14ac:dyDescent="0.3">
      <c r="A672" s="1">
        <v>671</v>
      </c>
      <c r="B672" s="1" t="s">
        <v>1995</v>
      </c>
      <c r="C672" s="1" t="s">
        <v>1996</v>
      </c>
      <c r="F672" s="1" t="s">
        <v>1997</v>
      </c>
      <c r="G672" s="1">
        <v>1</v>
      </c>
      <c r="H672" s="7">
        <v>45560</v>
      </c>
      <c r="I672" s="1" t="s">
        <v>7455</v>
      </c>
      <c r="J672" s="7">
        <v>45560</v>
      </c>
      <c r="K672" s="1" t="s">
        <v>7455</v>
      </c>
    </row>
    <row r="673" spans="1:11" x14ac:dyDescent="0.3">
      <c r="A673" s="1">
        <v>672</v>
      </c>
      <c r="B673" s="1" t="s">
        <v>1998</v>
      </c>
      <c r="C673" s="1" t="s">
        <v>1999</v>
      </c>
      <c r="F673" s="1" t="s">
        <v>2000</v>
      </c>
      <c r="G673" s="1">
        <v>1</v>
      </c>
      <c r="H673" s="7">
        <v>45560</v>
      </c>
      <c r="I673" s="1" t="s">
        <v>7455</v>
      </c>
      <c r="J673" s="7">
        <v>45560</v>
      </c>
      <c r="K673" s="1" t="s">
        <v>7455</v>
      </c>
    </row>
    <row r="674" spans="1:11" x14ac:dyDescent="0.3">
      <c r="A674" s="1">
        <v>673</v>
      </c>
      <c r="B674" s="1" t="s">
        <v>2001</v>
      </c>
      <c r="C674" s="1" t="s">
        <v>2002</v>
      </c>
      <c r="D674" s="1" t="s">
        <v>2003</v>
      </c>
      <c r="F674" s="1" t="s">
        <v>2004</v>
      </c>
      <c r="G674" s="1">
        <v>1</v>
      </c>
      <c r="H674" s="7">
        <v>45560</v>
      </c>
      <c r="I674" s="1" t="s">
        <v>7455</v>
      </c>
      <c r="J674" s="7">
        <v>45560</v>
      </c>
      <c r="K674" s="1" t="s">
        <v>7455</v>
      </c>
    </row>
    <row r="675" spans="1:11" x14ac:dyDescent="0.3">
      <c r="A675" s="1">
        <v>674</v>
      </c>
      <c r="B675" s="1" t="s">
        <v>2005</v>
      </c>
      <c r="C675" s="1" t="s">
        <v>2006</v>
      </c>
      <c r="D675" s="1" t="s">
        <v>2007</v>
      </c>
      <c r="F675" s="1" t="s">
        <v>1997</v>
      </c>
      <c r="G675" s="1">
        <v>1</v>
      </c>
      <c r="H675" s="7">
        <v>45560</v>
      </c>
      <c r="I675" s="1" t="s">
        <v>7455</v>
      </c>
      <c r="J675" s="7">
        <v>45560</v>
      </c>
      <c r="K675" s="1" t="s">
        <v>7455</v>
      </c>
    </row>
    <row r="676" spans="1:11" x14ac:dyDescent="0.3">
      <c r="A676" s="1">
        <v>675</v>
      </c>
      <c r="B676" s="1" t="s">
        <v>2008</v>
      </c>
      <c r="C676" s="1" t="s">
        <v>2009</v>
      </c>
      <c r="F676" s="1" t="s">
        <v>1001</v>
      </c>
      <c r="G676" s="1">
        <v>1</v>
      </c>
      <c r="H676" s="7">
        <v>45560</v>
      </c>
      <c r="I676" s="1" t="s">
        <v>7455</v>
      </c>
      <c r="J676" s="7">
        <v>45560</v>
      </c>
      <c r="K676" s="1" t="s">
        <v>7455</v>
      </c>
    </row>
    <row r="677" spans="1:11" x14ac:dyDescent="0.3">
      <c r="A677" s="1">
        <v>676</v>
      </c>
      <c r="B677" s="1" t="s">
        <v>2010</v>
      </c>
      <c r="C677" s="1" t="s">
        <v>2011</v>
      </c>
      <c r="D677" s="1" t="s">
        <v>2012</v>
      </c>
      <c r="F677" s="1" t="s">
        <v>2013</v>
      </c>
      <c r="G677" s="1">
        <v>1</v>
      </c>
      <c r="H677" s="7">
        <v>45560</v>
      </c>
      <c r="I677" s="1" t="s">
        <v>7455</v>
      </c>
      <c r="J677" s="7">
        <v>45560</v>
      </c>
      <c r="K677" s="1" t="s">
        <v>7455</v>
      </c>
    </row>
    <row r="678" spans="1:11" x14ac:dyDescent="0.3">
      <c r="A678" s="1">
        <v>677</v>
      </c>
      <c r="B678" s="1" t="s">
        <v>2014</v>
      </c>
      <c r="C678" s="1" t="s">
        <v>2015</v>
      </c>
      <c r="D678" s="1" t="s">
        <v>2016</v>
      </c>
      <c r="F678" s="1" t="s">
        <v>2017</v>
      </c>
      <c r="G678" s="1">
        <v>1</v>
      </c>
      <c r="H678" s="7">
        <v>45560</v>
      </c>
      <c r="I678" s="1" t="s">
        <v>7455</v>
      </c>
      <c r="J678" s="7">
        <v>45560</v>
      </c>
      <c r="K678" s="1" t="s">
        <v>7455</v>
      </c>
    </row>
    <row r="679" spans="1:11" x14ac:dyDescent="0.3">
      <c r="A679" s="1">
        <v>678</v>
      </c>
      <c r="B679" s="1" t="s">
        <v>2018</v>
      </c>
      <c r="C679" s="1" t="s">
        <v>2019</v>
      </c>
      <c r="D679" s="1" t="s">
        <v>2020</v>
      </c>
      <c r="G679" s="1">
        <v>1</v>
      </c>
      <c r="H679" s="7">
        <v>45560</v>
      </c>
      <c r="I679" s="1" t="s">
        <v>7455</v>
      </c>
      <c r="J679" s="7">
        <v>45560</v>
      </c>
      <c r="K679" s="1" t="s">
        <v>7455</v>
      </c>
    </row>
    <row r="680" spans="1:11" x14ac:dyDescent="0.3">
      <c r="A680" s="1">
        <v>679</v>
      </c>
      <c r="B680" s="1" t="s">
        <v>2021</v>
      </c>
      <c r="C680" s="1" t="s">
        <v>2022</v>
      </c>
      <c r="D680" s="1" t="s">
        <v>2023</v>
      </c>
      <c r="G680" s="1">
        <v>1</v>
      </c>
      <c r="H680" s="7">
        <v>45560</v>
      </c>
      <c r="I680" s="1" t="s">
        <v>7455</v>
      </c>
      <c r="J680" s="7">
        <v>45560</v>
      </c>
      <c r="K680" s="1" t="s">
        <v>7455</v>
      </c>
    </row>
    <row r="681" spans="1:11" x14ac:dyDescent="0.3">
      <c r="A681" s="1">
        <v>680</v>
      </c>
      <c r="B681" s="1" t="s">
        <v>2024</v>
      </c>
      <c r="C681" s="1" t="s">
        <v>2025</v>
      </c>
      <c r="D681" s="1" t="s">
        <v>2026</v>
      </c>
      <c r="E681" s="1" t="s">
        <v>52</v>
      </c>
      <c r="G681" s="1">
        <v>1</v>
      </c>
      <c r="H681" s="7">
        <v>45560</v>
      </c>
      <c r="I681" s="1" t="s">
        <v>7455</v>
      </c>
      <c r="J681" s="7">
        <v>45560</v>
      </c>
      <c r="K681" s="1" t="s">
        <v>7455</v>
      </c>
    </row>
    <row r="682" spans="1:11" x14ac:dyDescent="0.3">
      <c r="A682" s="1">
        <v>681</v>
      </c>
      <c r="B682" s="1" t="s">
        <v>2027</v>
      </c>
      <c r="C682" s="1" t="s">
        <v>2028</v>
      </c>
      <c r="D682" s="1" t="s">
        <v>2029</v>
      </c>
      <c r="G682" s="1">
        <v>1</v>
      </c>
      <c r="H682" s="7">
        <v>45560</v>
      </c>
      <c r="I682" s="1" t="s">
        <v>7455</v>
      </c>
      <c r="J682" s="7">
        <v>45560</v>
      </c>
      <c r="K682" s="1" t="s">
        <v>7455</v>
      </c>
    </row>
    <row r="683" spans="1:11" x14ac:dyDescent="0.3">
      <c r="A683" s="1">
        <v>682</v>
      </c>
      <c r="B683" s="1" t="s">
        <v>2030</v>
      </c>
      <c r="C683" s="1" t="s">
        <v>2031</v>
      </c>
      <c r="D683" s="1" t="s">
        <v>2032</v>
      </c>
      <c r="G683" s="1">
        <v>1</v>
      </c>
      <c r="H683" s="7">
        <v>45560</v>
      </c>
      <c r="I683" s="1" t="s">
        <v>7455</v>
      </c>
      <c r="J683" s="7">
        <v>45560</v>
      </c>
      <c r="K683" s="1" t="s">
        <v>7455</v>
      </c>
    </row>
    <row r="684" spans="1:11" x14ac:dyDescent="0.3">
      <c r="A684" s="1">
        <v>683</v>
      </c>
      <c r="B684" s="1" t="s">
        <v>2033</v>
      </c>
      <c r="C684" s="1" t="s">
        <v>2034</v>
      </c>
      <c r="D684" s="1" t="s">
        <v>2035</v>
      </c>
      <c r="G684" s="1">
        <v>1</v>
      </c>
      <c r="H684" s="7">
        <v>45560</v>
      </c>
      <c r="I684" s="1" t="s">
        <v>7455</v>
      </c>
      <c r="J684" s="7">
        <v>45560</v>
      </c>
      <c r="K684" s="1" t="s">
        <v>7455</v>
      </c>
    </row>
    <row r="685" spans="1:11" x14ac:dyDescent="0.3">
      <c r="A685" s="1">
        <v>684</v>
      </c>
      <c r="B685" s="1" t="s">
        <v>2036</v>
      </c>
      <c r="C685" s="1" t="s">
        <v>2037</v>
      </c>
      <c r="D685" s="1" t="s">
        <v>2038</v>
      </c>
      <c r="G685" s="1">
        <v>1</v>
      </c>
      <c r="H685" s="7">
        <v>45560</v>
      </c>
      <c r="I685" s="1" t="s">
        <v>7455</v>
      </c>
      <c r="J685" s="7">
        <v>45560</v>
      </c>
      <c r="K685" s="1" t="s">
        <v>7455</v>
      </c>
    </row>
    <row r="686" spans="1:11" x14ac:dyDescent="0.3">
      <c r="A686" s="1">
        <v>685</v>
      </c>
      <c r="B686" s="1" t="s">
        <v>2039</v>
      </c>
      <c r="C686" s="1" t="s">
        <v>2040</v>
      </c>
      <c r="D686" s="1" t="s">
        <v>2041</v>
      </c>
      <c r="G686" s="1">
        <v>1</v>
      </c>
      <c r="H686" s="7">
        <v>45560</v>
      </c>
      <c r="I686" s="1" t="s">
        <v>7455</v>
      </c>
      <c r="J686" s="7">
        <v>45560</v>
      </c>
      <c r="K686" s="1" t="s">
        <v>7455</v>
      </c>
    </row>
    <row r="687" spans="1:11" x14ac:dyDescent="0.3">
      <c r="A687" s="1">
        <v>686</v>
      </c>
      <c r="B687" s="1" t="s">
        <v>2042</v>
      </c>
      <c r="C687" s="1" t="s">
        <v>2043</v>
      </c>
      <c r="D687" s="1" t="s">
        <v>2044</v>
      </c>
      <c r="G687" s="1">
        <v>1</v>
      </c>
      <c r="H687" s="7">
        <v>45560</v>
      </c>
      <c r="I687" s="1" t="s">
        <v>7455</v>
      </c>
      <c r="J687" s="7">
        <v>45560</v>
      </c>
      <c r="K687" s="1" t="s">
        <v>7455</v>
      </c>
    </row>
    <row r="688" spans="1:11" x14ac:dyDescent="0.3">
      <c r="A688" s="1">
        <v>687</v>
      </c>
      <c r="B688" s="1" t="s">
        <v>2045</v>
      </c>
      <c r="C688" s="1" t="s">
        <v>2046</v>
      </c>
      <c r="D688" s="1" t="s">
        <v>2047</v>
      </c>
      <c r="G688" s="1">
        <v>1</v>
      </c>
      <c r="H688" s="7">
        <v>45560</v>
      </c>
      <c r="I688" s="1" t="s">
        <v>7455</v>
      </c>
      <c r="J688" s="7">
        <v>45560</v>
      </c>
      <c r="K688" s="1" t="s">
        <v>7455</v>
      </c>
    </row>
    <row r="689" spans="1:11" x14ac:dyDescent="0.3">
      <c r="A689" s="1">
        <v>688</v>
      </c>
      <c r="B689" s="1" t="s">
        <v>2048</v>
      </c>
      <c r="C689" s="1" t="s">
        <v>2049</v>
      </c>
      <c r="D689" s="1" t="s">
        <v>2050</v>
      </c>
      <c r="G689" s="1">
        <v>1</v>
      </c>
      <c r="H689" s="7">
        <v>45560</v>
      </c>
      <c r="I689" s="1" t="s">
        <v>7455</v>
      </c>
      <c r="J689" s="7">
        <v>45560</v>
      </c>
      <c r="K689" s="1" t="s">
        <v>7455</v>
      </c>
    </row>
    <row r="690" spans="1:11" x14ac:dyDescent="0.3">
      <c r="A690" s="1">
        <v>689</v>
      </c>
      <c r="B690" s="1" t="s">
        <v>2051</v>
      </c>
      <c r="C690" s="1" t="s">
        <v>2052</v>
      </c>
      <c r="D690" s="1" t="s">
        <v>2053</v>
      </c>
      <c r="F690" s="1" t="s">
        <v>2054</v>
      </c>
      <c r="G690" s="1">
        <v>1</v>
      </c>
      <c r="H690" s="7">
        <v>45560</v>
      </c>
      <c r="I690" s="1" t="s">
        <v>7455</v>
      </c>
      <c r="J690" s="7">
        <v>45560</v>
      </c>
      <c r="K690" s="1" t="s">
        <v>7455</v>
      </c>
    </row>
    <row r="691" spans="1:11" x14ac:dyDescent="0.3">
      <c r="A691" s="1">
        <v>690</v>
      </c>
      <c r="B691" s="1" t="s">
        <v>2055</v>
      </c>
      <c r="C691" s="1" t="s">
        <v>2056</v>
      </c>
      <c r="D691" s="1" t="s">
        <v>2057</v>
      </c>
      <c r="F691" s="1" t="s">
        <v>2058</v>
      </c>
      <c r="G691" s="1">
        <v>1</v>
      </c>
      <c r="H691" s="7">
        <v>45560</v>
      </c>
      <c r="I691" s="1" t="s">
        <v>7455</v>
      </c>
      <c r="J691" s="7">
        <v>45560</v>
      </c>
      <c r="K691" s="1" t="s">
        <v>7455</v>
      </c>
    </row>
    <row r="692" spans="1:11" x14ac:dyDescent="0.3">
      <c r="A692" s="1">
        <v>691</v>
      </c>
      <c r="B692" s="1" t="s">
        <v>2059</v>
      </c>
      <c r="C692" s="1" t="s">
        <v>2060</v>
      </c>
      <c r="D692" s="1" t="s">
        <v>2057</v>
      </c>
      <c r="F692" s="1" t="s">
        <v>2061</v>
      </c>
      <c r="G692" s="1">
        <v>1</v>
      </c>
      <c r="H692" s="7">
        <v>45560</v>
      </c>
      <c r="I692" s="1" t="s">
        <v>7455</v>
      </c>
      <c r="J692" s="7">
        <v>45560</v>
      </c>
      <c r="K692" s="1" t="s">
        <v>7455</v>
      </c>
    </row>
    <row r="693" spans="1:11" x14ac:dyDescent="0.3">
      <c r="A693" s="1">
        <v>692</v>
      </c>
      <c r="B693" s="1" t="s">
        <v>2062</v>
      </c>
      <c r="C693" s="1" t="s">
        <v>2063</v>
      </c>
      <c r="D693" s="1" t="s">
        <v>2057</v>
      </c>
      <c r="F693" s="1" t="s">
        <v>2064</v>
      </c>
      <c r="G693" s="1">
        <v>1</v>
      </c>
      <c r="H693" s="7">
        <v>45560</v>
      </c>
      <c r="I693" s="1" t="s">
        <v>7455</v>
      </c>
      <c r="J693" s="7">
        <v>45560</v>
      </c>
      <c r="K693" s="1" t="s">
        <v>7455</v>
      </c>
    </row>
    <row r="694" spans="1:11" x14ac:dyDescent="0.3">
      <c r="A694" s="1">
        <v>693</v>
      </c>
      <c r="B694" s="1" t="s">
        <v>2065</v>
      </c>
      <c r="C694" s="1" t="s">
        <v>2066</v>
      </c>
      <c r="D694" s="1" t="s">
        <v>2067</v>
      </c>
      <c r="F694" s="1" t="s">
        <v>2068</v>
      </c>
      <c r="G694" s="1">
        <v>1</v>
      </c>
      <c r="H694" s="7">
        <v>45560</v>
      </c>
      <c r="I694" s="1" t="s">
        <v>7455</v>
      </c>
      <c r="J694" s="7">
        <v>45560</v>
      </c>
      <c r="K694" s="1" t="s">
        <v>7455</v>
      </c>
    </row>
    <row r="695" spans="1:11" x14ac:dyDescent="0.3">
      <c r="A695" s="1">
        <v>694</v>
      </c>
      <c r="B695" s="1" t="s">
        <v>2069</v>
      </c>
      <c r="C695" s="1" t="s">
        <v>2070</v>
      </c>
      <c r="D695" s="1" t="s">
        <v>2071</v>
      </c>
      <c r="F695" s="1" t="s">
        <v>2072</v>
      </c>
      <c r="G695" s="1">
        <v>1</v>
      </c>
      <c r="H695" s="7">
        <v>45560</v>
      </c>
      <c r="I695" s="1" t="s">
        <v>7455</v>
      </c>
      <c r="J695" s="7">
        <v>45560</v>
      </c>
      <c r="K695" s="1" t="s">
        <v>7455</v>
      </c>
    </row>
    <row r="696" spans="1:11" x14ac:dyDescent="0.3">
      <c r="A696" s="1">
        <v>695</v>
      </c>
      <c r="B696" s="1" t="s">
        <v>2073</v>
      </c>
      <c r="C696" s="1" t="s">
        <v>2074</v>
      </c>
      <c r="D696" s="1" t="s">
        <v>2075</v>
      </c>
      <c r="F696" s="1" t="s">
        <v>2076</v>
      </c>
      <c r="G696" s="1">
        <v>1</v>
      </c>
      <c r="H696" s="7">
        <v>45560</v>
      </c>
      <c r="I696" s="1" t="s">
        <v>7455</v>
      </c>
      <c r="J696" s="7">
        <v>45560</v>
      </c>
      <c r="K696" s="1" t="s">
        <v>7455</v>
      </c>
    </row>
    <row r="697" spans="1:11" x14ac:dyDescent="0.3">
      <c r="A697" s="1">
        <v>696</v>
      </c>
      <c r="B697" s="1" t="s">
        <v>2077</v>
      </c>
      <c r="C697" s="1" t="s">
        <v>2078</v>
      </c>
      <c r="D697" s="1" t="s">
        <v>2079</v>
      </c>
      <c r="F697" s="1" t="s">
        <v>2080</v>
      </c>
      <c r="G697" s="1">
        <v>1</v>
      </c>
      <c r="H697" s="7">
        <v>45560</v>
      </c>
      <c r="I697" s="1" t="s">
        <v>7455</v>
      </c>
      <c r="J697" s="7">
        <v>45560</v>
      </c>
      <c r="K697" s="1" t="s">
        <v>7455</v>
      </c>
    </row>
    <row r="698" spans="1:11" x14ac:dyDescent="0.3">
      <c r="A698" s="1">
        <v>697</v>
      </c>
      <c r="B698" s="1" t="s">
        <v>2081</v>
      </c>
      <c r="C698" s="1" t="s">
        <v>2082</v>
      </c>
      <c r="D698" s="1" t="s">
        <v>2083</v>
      </c>
      <c r="F698" s="1" t="s">
        <v>2084</v>
      </c>
      <c r="G698" s="1">
        <v>1</v>
      </c>
      <c r="H698" s="7">
        <v>45560</v>
      </c>
      <c r="I698" s="1" t="s">
        <v>7455</v>
      </c>
      <c r="J698" s="7">
        <v>45560</v>
      </c>
      <c r="K698" s="1" t="s">
        <v>7455</v>
      </c>
    </row>
    <row r="699" spans="1:11" x14ac:dyDescent="0.3">
      <c r="A699" s="1">
        <v>698</v>
      </c>
      <c r="B699" s="1" t="s">
        <v>2085</v>
      </c>
      <c r="C699" s="1" t="s">
        <v>2086</v>
      </c>
      <c r="D699" s="1" t="s">
        <v>2087</v>
      </c>
      <c r="F699" s="1" t="s">
        <v>2088</v>
      </c>
      <c r="G699" s="1">
        <v>1</v>
      </c>
      <c r="H699" s="7">
        <v>45560</v>
      </c>
      <c r="I699" s="1" t="s">
        <v>7455</v>
      </c>
      <c r="J699" s="7">
        <v>45560</v>
      </c>
      <c r="K699" s="1" t="s">
        <v>7455</v>
      </c>
    </row>
    <row r="700" spans="1:11" x14ac:dyDescent="0.3">
      <c r="A700" s="1">
        <v>699</v>
      </c>
      <c r="B700" s="1" t="s">
        <v>2089</v>
      </c>
      <c r="C700" s="1" t="s">
        <v>2090</v>
      </c>
      <c r="D700" s="1" t="s">
        <v>2091</v>
      </c>
      <c r="F700" s="1" t="s">
        <v>2092</v>
      </c>
      <c r="G700" s="1">
        <v>1</v>
      </c>
      <c r="H700" s="7">
        <v>45560</v>
      </c>
      <c r="I700" s="1" t="s">
        <v>7455</v>
      </c>
      <c r="J700" s="7">
        <v>45560</v>
      </c>
      <c r="K700" s="1" t="s">
        <v>7455</v>
      </c>
    </row>
    <row r="701" spans="1:11" x14ac:dyDescent="0.3">
      <c r="A701" s="1">
        <v>700</v>
      </c>
      <c r="B701" s="1" t="s">
        <v>2093</v>
      </c>
      <c r="C701" s="1" t="s">
        <v>2094</v>
      </c>
      <c r="D701" s="1" t="s">
        <v>2095</v>
      </c>
      <c r="F701" s="1" t="s">
        <v>2096</v>
      </c>
      <c r="G701" s="1">
        <v>1</v>
      </c>
      <c r="H701" s="7">
        <v>45560</v>
      </c>
      <c r="I701" s="1" t="s">
        <v>7455</v>
      </c>
      <c r="J701" s="7">
        <v>45560</v>
      </c>
      <c r="K701" s="1" t="s">
        <v>7455</v>
      </c>
    </row>
    <row r="702" spans="1:11" x14ac:dyDescent="0.3">
      <c r="A702" s="1">
        <v>701</v>
      </c>
      <c r="B702" s="1" t="s">
        <v>2097</v>
      </c>
      <c r="C702" s="1" t="s">
        <v>2098</v>
      </c>
      <c r="D702" s="1" t="s">
        <v>2099</v>
      </c>
      <c r="F702" s="1" t="s">
        <v>2100</v>
      </c>
      <c r="G702" s="1">
        <v>1</v>
      </c>
      <c r="H702" s="7">
        <v>45560</v>
      </c>
      <c r="I702" s="1" t="s">
        <v>7455</v>
      </c>
      <c r="J702" s="7">
        <v>45560</v>
      </c>
      <c r="K702" s="1" t="s">
        <v>7455</v>
      </c>
    </row>
    <row r="703" spans="1:11" x14ac:dyDescent="0.3">
      <c r="A703" s="1">
        <v>702</v>
      </c>
      <c r="B703" s="1" t="s">
        <v>2101</v>
      </c>
      <c r="C703" s="1" t="s">
        <v>2102</v>
      </c>
      <c r="D703" s="1" t="s">
        <v>2103</v>
      </c>
      <c r="F703" s="1" t="s">
        <v>2104</v>
      </c>
      <c r="G703" s="1">
        <v>1</v>
      </c>
      <c r="H703" s="7">
        <v>45560</v>
      </c>
      <c r="I703" s="1" t="s">
        <v>7455</v>
      </c>
      <c r="J703" s="7">
        <v>45560</v>
      </c>
      <c r="K703" s="1" t="s">
        <v>7455</v>
      </c>
    </row>
    <row r="704" spans="1:11" x14ac:dyDescent="0.3">
      <c r="A704" s="1">
        <v>703</v>
      </c>
      <c r="B704" s="1" t="s">
        <v>2105</v>
      </c>
      <c r="C704" s="1" t="s">
        <v>2106</v>
      </c>
      <c r="D704" s="1" t="s">
        <v>2107</v>
      </c>
      <c r="F704" s="1" t="s">
        <v>2108</v>
      </c>
      <c r="G704" s="1">
        <v>1</v>
      </c>
      <c r="H704" s="7">
        <v>45560</v>
      </c>
      <c r="I704" s="1" t="s">
        <v>7455</v>
      </c>
      <c r="J704" s="7">
        <v>45560</v>
      </c>
      <c r="K704" s="1" t="s">
        <v>7455</v>
      </c>
    </row>
    <row r="705" spans="1:11" x14ac:dyDescent="0.3">
      <c r="A705" s="1">
        <v>704</v>
      </c>
      <c r="B705" s="1" t="s">
        <v>2109</v>
      </c>
      <c r="C705" s="1" t="s">
        <v>2110</v>
      </c>
      <c r="D705" s="1" t="s">
        <v>2111</v>
      </c>
      <c r="F705" s="1" t="s">
        <v>2112</v>
      </c>
      <c r="G705" s="1">
        <v>1</v>
      </c>
      <c r="H705" s="7">
        <v>45560</v>
      </c>
      <c r="I705" s="1" t="s">
        <v>7455</v>
      </c>
      <c r="J705" s="7">
        <v>45560</v>
      </c>
      <c r="K705" s="1" t="s">
        <v>7455</v>
      </c>
    </row>
    <row r="706" spans="1:11" x14ac:dyDescent="0.3">
      <c r="A706" s="1">
        <v>705</v>
      </c>
      <c r="B706" s="1" t="s">
        <v>2113</v>
      </c>
      <c r="C706" s="1" t="s">
        <v>2114</v>
      </c>
      <c r="D706" s="1" t="s">
        <v>2115</v>
      </c>
      <c r="F706" s="1" t="s">
        <v>2116</v>
      </c>
      <c r="G706" s="1">
        <v>1</v>
      </c>
      <c r="H706" s="7">
        <v>45560</v>
      </c>
      <c r="I706" s="1" t="s">
        <v>7455</v>
      </c>
      <c r="J706" s="7">
        <v>45560</v>
      </c>
      <c r="K706" s="1" t="s">
        <v>7455</v>
      </c>
    </row>
    <row r="707" spans="1:11" x14ac:dyDescent="0.3">
      <c r="A707" s="1">
        <v>706</v>
      </c>
      <c r="B707" s="1" t="s">
        <v>2117</v>
      </c>
      <c r="C707" s="1" t="s">
        <v>2118</v>
      </c>
      <c r="D707" s="1" t="s">
        <v>2119</v>
      </c>
      <c r="F707" s="1" t="s">
        <v>2120</v>
      </c>
      <c r="G707" s="1">
        <v>1</v>
      </c>
      <c r="H707" s="7">
        <v>45560</v>
      </c>
      <c r="I707" s="1" t="s">
        <v>7455</v>
      </c>
      <c r="J707" s="7">
        <v>45560</v>
      </c>
      <c r="K707" s="1" t="s">
        <v>7455</v>
      </c>
    </row>
    <row r="708" spans="1:11" x14ac:dyDescent="0.3">
      <c r="A708" s="1">
        <v>707</v>
      </c>
      <c r="B708" s="1" t="s">
        <v>2121</v>
      </c>
      <c r="C708" s="1" t="s">
        <v>2122</v>
      </c>
      <c r="D708" s="1" t="s">
        <v>2123</v>
      </c>
      <c r="F708" s="1" t="s">
        <v>2124</v>
      </c>
      <c r="G708" s="1">
        <v>1</v>
      </c>
      <c r="H708" s="7">
        <v>45560</v>
      </c>
      <c r="I708" s="1" t="s">
        <v>7455</v>
      </c>
      <c r="J708" s="7">
        <v>45560</v>
      </c>
      <c r="K708" s="1" t="s">
        <v>7455</v>
      </c>
    </row>
    <row r="709" spans="1:11" x14ac:dyDescent="0.3">
      <c r="A709" s="1">
        <v>708</v>
      </c>
      <c r="B709" s="1" t="s">
        <v>2125</v>
      </c>
      <c r="C709" s="1" t="s">
        <v>2126</v>
      </c>
      <c r="D709" s="1" t="s">
        <v>2127</v>
      </c>
      <c r="F709" s="1" t="s">
        <v>2128</v>
      </c>
      <c r="G709" s="1">
        <v>1</v>
      </c>
      <c r="H709" s="7">
        <v>45560</v>
      </c>
      <c r="I709" s="1" t="s">
        <v>7455</v>
      </c>
      <c r="J709" s="7">
        <v>45560</v>
      </c>
      <c r="K709" s="1" t="s">
        <v>7455</v>
      </c>
    </row>
    <row r="710" spans="1:11" x14ac:dyDescent="0.3">
      <c r="A710" s="1">
        <v>709</v>
      </c>
      <c r="B710" s="1" t="s">
        <v>2129</v>
      </c>
      <c r="C710" s="1" t="s">
        <v>2130</v>
      </c>
      <c r="D710" s="1" t="s">
        <v>2131</v>
      </c>
      <c r="F710" s="1" t="s">
        <v>2132</v>
      </c>
      <c r="G710" s="1">
        <v>1</v>
      </c>
      <c r="H710" s="7">
        <v>45560</v>
      </c>
      <c r="I710" s="1" t="s">
        <v>7455</v>
      </c>
      <c r="J710" s="7">
        <v>45560</v>
      </c>
      <c r="K710" s="1" t="s">
        <v>7455</v>
      </c>
    </row>
    <row r="711" spans="1:11" x14ac:dyDescent="0.3">
      <c r="A711" s="1">
        <v>710</v>
      </c>
      <c r="B711" s="1" t="s">
        <v>2133</v>
      </c>
      <c r="C711" s="1" t="s">
        <v>2134</v>
      </c>
      <c r="D711" s="1" t="s">
        <v>2135</v>
      </c>
      <c r="F711" s="1" t="s">
        <v>2136</v>
      </c>
      <c r="G711" s="1">
        <v>1</v>
      </c>
      <c r="H711" s="7">
        <v>45560</v>
      </c>
      <c r="I711" s="1" t="s">
        <v>7455</v>
      </c>
      <c r="J711" s="7">
        <v>45560</v>
      </c>
      <c r="K711" s="1" t="s">
        <v>7455</v>
      </c>
    </row>
    <row r="712" spans="1:11" x14ac:dyDescent="0.3">
      <c r="A712" s="1">
        <v>711</v>
      </c>
      <c r="B712" s="1" t="s">
        <v>2137</v>
      </c>
      <c r="C712" s="1" t="s">
        <v>2138</v>
      </c>
      <c r="D712" s="1" t="s">
        <v>2079</v>
      </c>
      <c r="F712" s="1" t="s">
        <v>2139</v>
      </c>
      <c r="G712" s="1">
        <v>1</v>
      </c>
      <c r="H712" s="7">
        <v>45560</v>
      </c>
      <c r="I712" s="1" t="s">
        <v>7455</v>
      </c>
      <c r="J712" s="7">
        <v>45560</v>
      </c>
      <c r="K712" s="1" t="s">
        <v>7455</v>
      </c>
    </row>
    <row r="713" spans="1:11" x14ac:dyDescent="0.3">
      <c r="A713" s="1">
        <v>712</v>
      </c>
      <c r="B713" s="1" t="s">
        <v>2140</v>
      </c>
      <c r="C713" s="1" t="s">
        <v>2141</v>
      </c>
      <c r="D713" s="1" t="s">
        <v>2142</v>
      </c>
      <c r="F713" s="1" t="s">
        <v>2143</v>
      </c>
      <c r="G713" s="1">
        <v>1</v>
      </c>
      <c r="H713" s="7">
        <v>45560</v>
      </c>
      <c r="I713" s="1" t="s">
        <v>7455</v>
      </c>
      <c r="J713" s="7">
        <v>45560</v>
      </c>
      <c r="K713" s="1" t="s">
        <v>7455</v>
      </c>
    </row>
    <row r="714" spans="1:11" x14ac:dyDescent="0.3">
      <c r="A714" s="1">
        <v>713</v>
      </c>
      <c r="B714" s="1" t="s">
        <v>2144</v>
      </c>
      <c r="C714" s="1" t="s">
        <v>2145</v>
      </c>
      <c r="D714" s="1" t="s">
        <v>2146</v>
      </c>
      <c r="F714" s="1" t="s">
        <v>2147</v>
      </c>
      <c r="G714" s="1">
        <v>1</v>
      </c>
      <c r="H714" s="7">
        <v>45560</v>
      </c>
      <c r="I714" s="1" t="s">
        <v>7455</v>
      </c>
      <c r="J714" s="7">
        <v>45560</v>
      </c>
      <c r="K714" s="1" t="s">
        <v>7455</v>
      </c>
    </row>
    <row r="715" spans="1:11" x14ac:dyDescent="0.3">
      <c r="A715" s="1">
        <v>714</v>
      </c>
      <c r="B715" s="1" t="s">
        <v>2148</v>
      </c>
      <c r="C715" s="1" t="s">
        <v>2149</v>
      </c>
      <c r="D715" s="1" t="s">
        <v>2150</v>
      </c>
      <c r="F715" s="1" t="s">
        <v>2151</v>
      </c>
      <c r="G715" s="1">
        <v>1</v>
      </c>
      <c r="H715" s="7">
        <v>45560</v>
      </c>
      <c r="I715" s="1" t="s">
        <v>7455</v>
      </c>
      <c r="J715" s="7">
        <v>45560</v>
      </c>
      <c r="K715" s="1" t="s">
        <v>7455</v>
      </c>
    </row>
    <row r="716" spans="1:11" x14ac:dyDescent="0.3">
      <c r="A716" s="1">
        <v>715</v>
      </c>
      <c r="B716" s="1" t="s">
        <v>2152</v>
      </c>
      <c r="C716" s="1" t="s">
        <v>2153</v>
      </c>
      <c r="D716" s="1" t="s">
        <v>2154</v>
      </c>
      <c r="F716" s="1" t="s">
        <v>2155</v>
      </c>
      <c r="G716" s="1">
        <v>1</v>
      </c>
      <c r="H716" s="7">
        <v>45560</v>
      </c>
      <c r="I716" s="1" t="s">
        <v>7455</v>
      </c>
      <c r="J716" s="7">
        <v>45560</v>
      </c>
      <c r="K716" s="1" t="s">
        <v>7455</v>
      </c>
    </row>
    <row r="717" spans="1:11" x14ac:dyDescent="0.3">
      <c r="A717" s="1">
        <v>716</v>
      </c>
      <c r="B717" s="1" t="s">
        <v>2156</v>
      </c>
      <c r="C717" s="1" t="s">
        <v>2157</v>
      </c>
      <c r="D717" s="1" t="s">
        <v>2158</v>
      </c>
      <c r="F717" s="1" t="s">
        <v>2159</v>
      </c>
      <c r="G717" s="1">
        <v>1</v>
      </c>
      <c r="H717" s="7">
        <v>45560</v>
      </c>
      <c r="I717" s="1" t="s">
        <v>7455</v>
      </c>
      <c r="J717" s="7">
        <v>45560</v>
      </c>
      <c r="K717" s="1" t="s">
        <v>7455</v>
      </c>
    </row>
    <row r="718" spans="1:11" x14ac:dyDescent="0.3">
      <c r="A718" s="1">
        <v>717</v>
      </c>
      <c r="B718" s="1" t="s">
        <v>2160</v>
      </c>
      <c r="C718" s="1" t="s">
        <v>2161</v>
      </c>
      <c r="D718" s="1" t="s">
        <v>2146</v>
      </c>
      <c r="F718" s="1" t="s">
        <v>2162</v>
      </c>
      <c r="G718" s="1">
        <v>1</v>
      </c>
      <c r="H718" s="7">
        <v>45560</v>
      </c>
      <c r="I718" s="1" t="s">
        <v>7455</v>
      </c>
      <c r="J718" s="7">
        <v>45560</v>
      </c>
      <c r="K718" s="1" t="s">
        <v>7455</v>
      </c>
    </row>
    <row r="719" spans="1:11" x14ac:dyDescent="0.3">
      <c r="A719" s="1">
        <v>718</v>
      </c>
      <c r="B719" s="1" t="s">
        <v>2163</v>
      </c>
      <c r="C719" s="1" t="s">
        <v>2164</v>
      </c>
      <c r="D719" s="1" t="s">
        <v>2142</v>
      </c>
      <c r="F719" s="1" t="s">
        <v>2165</v>
      </c>
      <c r="G719" s="1">
        <v>1</v>
      </c>
      <c r="H719" s="7">
        <v>45560</v>
      </c>
      <c r="I719" s="1" t="s">
        <v>7455</v>
      </c>
      <c r="J719" s="7">
        <v>45560</v>
      </c>
      <c r="K719" s="1" t="s">
        <v>7455</v>
      </c>
    </row>
    <row r="720" spans="1:11" x14ac:dyDescent="0.3">
      <c r="A720" s="1">
        <v>719</v>
      </c>
      <c r="B720" s="1" t="s">
        <v>2166</v>
      </c>
      <c r="C720" s="1" t="s">
        <v>2167</v>
      </c>
      <c r="D720" s="1" t="s">
        <v>2168</v>
      </c>
      <c r="F720" s="1" t="s">
        <v>2169</v>
      </c>
      <c r="G720" s="1">
        <v>1</v>
      </c>
      <c r="H720" s="7">
        <v>45560</v>
      </c>
      <c r="I720" s="1" t="s">
        <v>7455</v>
      </c>
      <c r="J720" s="7">
        <v>45560</v>
      </c>
      <c r="K720" s="1" t="s">
        <v>7455</v>
      </c>
    </row>
    <row r="721" spans="1:11" x14ac:dyDescent="0.3">
      <c r="A721" s="1">
        <v>720</v>
      </c>
      <c r="B721" s="1" t="s">
        <v>2170</v>
      </c>
      <c r="C721" s="1" t="s">
        <v>2171</v>
      </c>
      <c r="D721" s="1" t="s">
        <v>2172</v>
      </c>
      <c r="F721" s="1" t="s">
        <v>2173</v>
      </c>
      <c r="G721" s="1">
        <v>1</v>
      </c>
      <c r="H721" s="7">
        <v>45560</v>
      </c>
      <c r="I721" s="1" t="s">
        <v>7455</v>
      </c>
      <c r="J721" s="7">
        <v>45560</v>
      </c>
      <c r="K721" s="1" t="s">
        <v>7455</v>
      </c>
    </row>
    <row r="722" spans="1:11" x14ac:dyDescent="0.3">
      <c r="A722" s="1">
        <v>721</v>
      </c>
      <c r="B722" s="1" t="s">
        <v>2174</v>
      </c>
      <c r="C722" s="1" t="s">
        <v>2175</v>
      </c>
      <c r="F722" s="1" t="s">
        <v>2176</v>
      </c>
      <c r="G722" s="1">
        <v>1</v>
      </c>
      <c r="H722" s="7">
        <v>45560</v>
      </c>
      <c r="I722" s="1" t="s">
        <v>7455</v>
      </c>
      <c r="J722" s="7">
        <v>45560</v>
      </c>
      <c r="K722" s="1" t="s">
        <v>7455</v>
      </c>
    </row>
    <row r="723" spans="1:11" x14ac:dyDescent="0.3">
      <c r="A723" s="1">
        <v>722</v>
      </c>
      <c r="B723" s="1" t="s">
        <v>2177</v>
      </c>
      <c r="C723" s="1" t="s">
        <v>2178</v>
      </c>
      <c r="F723" s="1" t="s">
        <v>2179</v>
      </c>
      <c r="G723" s="1">
        <v>1</v>
      </c>
      <c r="H723" s="7">
        <v>45560</v>
      </c>
      <c r="I723" s="1" t="s">
        <v>7455</v>
      </c>
      <c r="J723" s="7">
        <v>45560</v>
      </c>
      <c r="K723" s="1" t="s">
        <v>7455</v>
      </c>
    </row>
    <row r="724" spans="1:11" x14ac:dyDescent="0.3">
      <c r="A724" s="1">
        <v>723</v>
      </c>
      <c r="B724" s="1" t="s">
        <v>2180</v>
      </c>
      <c r="C724" s="1" t="s">
        <v>2181</v>
      </c>
      <c r="F724" s="1" t="s">
        <v>2182</v>
      </c>
      <c r="G724" s="1">
        <v>1</v>
      </c>
      <c r="H724" s="7">
        <v>45560</v>
      </c>
      <c r="I724" s="1" t="s">
        <v>7455</v>
      </c>
      <c r="J724" s="7">
        <v>45560</v>
      </c>
      <c r="K724" s="1" t="s">
        <v>7455</v>
      </c>
    </row>
    <row r="725" spans="1:11" x14ac:dyDescent="0.3">
      <c r="A725" s="1">
        <v>724</v>
      </c>
      <c r="B725" s="1" t="s">
        <v>2183</v>
      </c>
      <c r="C725" s="1" t="s">
        <v>2184</v>
      </c>
      <c r="F725" s="1" t="s">
        <v>2185</v>
      </c>
      <c r="G725" s="1">
        <v>1</v>
      </c>
      <c r="H725" s="7">
        <v>45560</v>
      </c>
      <c r="I725" s="1" t="s">
        <v>7455</v>
      </c>
      <c r="J725" s="7">
        <v>45560</v>
      </c>
      <c r="K725" s="1" t="s">
        <v>7455</v>
      </c>
    </row>
    <row r="726" spans="1:11" x14ac:dyDescent="0.3">
      <c r="A726" s="1">
        <v>725</v>
      </c>
      <c r="B726" s="1" t="s">
        <v>2186</v>
      </c>
      <c r="C726" s="1" t="s">
        <v>2187</v>
      </c>
      <c r="F726" s="1" t="s">
        <v>2188</v>
      </c>
      <c r="G726" s="1">
        <v>1</v>
      </c>
      <c r="H726" s="7">
        <v>45560</v>
      </c>
      <c r="I726" s="1" t="s">
        <v>7455</v>
      </c>
      <c r="J726" s="7">
        <v>45560</v>
      </c>
      <c r="K726" s="1" t="s">
        <v>7455</v>
      </c>
    </row>
    <row r="727" spans="1:11" x14ac:dyDescent="0.3">
      <c r="A727" s="1">
        <v>726</v>
      </c>
      <c r="B727" s="1" t="s">
        <v>2189</v>
      </c>
      <c r="C727" s="1" t="s">
        <v>2190</v>
      </c>
      <c r="F727" s="1" t="s">
        <v>2191</v>
      </c>
      <c r="G727" s="1">
        <v>1</v>
      </c>
      <c r="H727" s="7">
        <v>45560</v>
      </c>
      <c r="I727" s="1" t="s">
        <v>7455</v>
      </c>
      <c r="J727" s="7">
        <v>45560</v>
      </c>
      <c r="K727" s="1" t="s">
        <v>7455</v>
      </c>
    </row>
    <row r="728" spans="1:11" x14ac:dyDescent="0.3">
      <c r="A728" s="1">
        <v>727</v>
      </c>
      <c r="B728" s="1" t="s">
        <v>2192</v>
      </c>
      <c r="C728" s="1" t="s">
        <v>2193</v>
      </c>
      <c r="F728" s="1" t="s">
        <v>2194</v>
      </c>
      <c r="G728" s="1">
        <v>1</v>
      </c>
      <c r="H728" s="7">
        <v>45560</v>
      </c>
      <c r="I728" s="1" t="s">
        <v>7455</v>
      </c>
      <c r="J728" s="7">
        <v>45560</v>
      </c>
      <c r="K728" s="1" t="s">
        <v>7455</v>
      </c>
    </row>
    <row r="729" spans="1:11" x14ac:dyDescent="0.3">
      <c r="A729" s="1">
        <v>728</v>
      </c>
      <c r="B729" s="1" t="s">
        <v>2195</v>
      </c>
      <c r="C729" s="1" t="s">
        <v>2196</v>
      </c>
      <c r="F729" s="1" t="s">
        <v>2197</v>
      </c>
      <c r="G729" s="1">
        <v>1</v>
      </c>
      <c r="H729" s="7">
        <v>45560</v>
      </c>
      <c r="I729" s="1" t="s">
        <v>7455</v>
      </c>
      <c r="J729" s="7">
        <v>45560</v>
      </c>
      <c r="K729" s="1" t="s">
        <v>7455</v>
      </c>
    </row>
    <row r="730" spans="1:11" x14ac:dyDescent="0.3">
      <c r="A730" s="1">
        <v>729</v>
      </c>
      <c r="B730" s="1" t="s">
        <v>2198</v>
      </c>
      <c r="C730" s="1" t="s">
        <v>2199</v>
      </c>
      <c r="F730" s="1" t="s">
        <v>2200</v>
      </c>
      <c r="G730" s="1">
        <v>1</v>
      </c>
      <c r="H730" s="7">
        <v>45560</v>
      </c>
      <c r="I730" s="1" t="s">
        <v>7455</v>
      </c>
      <c r="J730" s="7">
        <v>45560</v>
      </c>
      <c r="K730" s="1" t="s">
        <v>7455</v>
      </c>
    </row>
    <row r="731" spans="1:11" x14ac:dyDescent="0.3">
      <c r="A731" s="1">
        <v>730</v>
      </c>
      <c r="B731" s="1" t="s">
        <v>2201</v>
      </c>
      <c r="C731" s="1" t="s">
        <v>2202</v>
      </c>
      <c r="F731" s="1" t="s">
        <v>2203</v>
      </c>
      <c r="G731" s="1">
        <v>1</v>
      </c>
      <c r="H731" s="7">
        <v>45560</v>
      </c>
      <c r="I731" s="1" t="s">
        <v>7455</v>
      </c>
      <c r="J731" s="7">
        <v>45560</v>
      </c>
      <c r="K731" s="1" t="s">
        <v>7455</v>
      </c>
    </row>
    <row r="732" spans="1:11" x14ac:dyDescent="0.3">
      <c r="A732" s="1">
        <v>731</v>
      </c>
      <c r="B732" s="1" t="s">
        <v>2204</v>
      </c>
      <c r="C732" s="1" t="s">
        <v>2205</v>
      </c>
      <c r="D732" s="1" t="s">
        <v>2206</v>
      </c>
      <c r="G732" s="1">
        <v>1</v>
      </c>
      <c r="H732" s="7">
        <v>45560</v>
      </c>
      <c r="I732" s="1" t="s">
        <v>7455</v>
      </c>
      <c r="J732" s="7">
        <v>45560</v>
      </c>
      <c r="K732" s="1" t="s">
        <v>7455</v>
      </c>
    </row>
    <row r="733" spans="1:11" x14ac:dyDescent="0.3">
      <c r="A733" s="1">
        <v>732</v>
      </c>
      <c r="B733" s="1" t="s">
        <v>2207</v>
      </c>
      <c r="C733" s="1" t="s">
        <v>2208</v>
      </c>
      <c r="D733" s="1" t="s">
        <v>2209</v>
      </c>
      <c r="G733" s="1">
        <v>1</v>
      </c>
      <c r="H733" s="7">
        <v>45560</v>
      </c>
      <c r="I733" s="1" t="s">
        <v>7455</v>
      </c>
      <c r="J733" s="7">
        <v>45560</v>
      </c>
      <c r="K733" s="1" t="s">
        <v>7455</v>
      </c>
    </row>
    <row r="734" spans="1:11" x14ac:dyDescent="0.3">
      <c r="A734" s="1">
        <v>733</v>
      </c>
      <c r="B734" s="1" t="s">
        <v>2210</v>
      </c>
      <c r="C734" s="1" t="s">
        <v>2211</v>
      </c>
      <c r="E734" s="1" t="s">
        <v>52</v>
      </c>
      <c r="G734" s="1">
        <v>1</v>
      </c>
      <c r="H734" s="7">
        <v>45560</v>
      </c>
      <c r="I734" s="1" t="s">
        <v>7455</v>
      </c>
      <c r="J734" s="7">
        <v>45560</v>
      </c>
      <c r="K734" s="1" t="s">
        <v>7455</v>
      </c>
    </row>
    <row r="735" spans="1:11" x14ac:dyDescent="0.3">
      <c r="A735" s="1">
        <v>734</v>
      </c>
      <c r="B735" s="1" t="s">
        <v>2212</v>
      </c>
      <c r="C735" s="1" t="s">
        <v>2213</v>
      </c>
      <c r="D735" s="1" t="s">
        <v>2214</v>
      </c>
      <c r="G735" s="1">
        <v>1</v>
      </c>
      <c r="H735" s="7">
        <v>45560</v>
      </c>
      <c r="I735" s="1" t="s">
        <v>7455</v>
      </c>
      <c r="J735" s="7">
        <v>45560</v>
      </c>
      <c r="K735" s="1" t="s">
        <v>7455</v>
      </c>
    </row>
    <row r="736" spans="1:11" x14ac:dyDescent="0.3">
      <c r="A736" s="1">
        <v>735</v>
      </c>
      <c r="B736" s="1" t="s">
        <v>2215</v>
      </c>
      <c r="C736" s="1" t="s">
        <v>2216</v>
      </c>
      <c r="D736" s="1" t="s">
        <v>2217</v>
      </c>
      <c r="F736" s="1" t="s">
        <v>2218</v>
      </c>
      <c r="G736" s="1">
        <v>1</v>
      </c>
      <c r="H736" s="7">
        <v>45560</v>
      </c>
      <c r="I736" s="1" t="s">
        <v>7455</v>
      </c>
      <c r="J736" s="7">
        <v>45560</v>
      </c>
      <c r="K736" s="1" t="s">
        <v>7455</v>
      </c>
    </row>
    <row r="737" spans="1:11" x14ac:dyDescent="0.3">
      <c r="A737" s="1">
        <v>736</v>
      </c>
      <c r="B737" s="1" t="s">
        <v>2219</v>
      </c>
      <c r="C737" s="1" t="s">
        <v>2220</v>
      </c>
      <c r="F737" s="1" t="s">
        <v>2221</v>
      </c>
      <c r="G737" s="1">
        <v>1</v>
      </c>
      <c r="H737" s="7">
        <v>45560</v>
      </c>
      <c r="I737" s="1" t="s">
        <v>7455</v>
      </c>
      <c r="J737" s="7">
        <v>45560</v>
      </c>
      <c r="K737" s="1" t="s">
        <v>7455</v>
      </c>
    </row>
    <row r="738" spans="1:11" x14ac:dyDescent="0.3">
      <c r="A738" s="1">
        <v>737</v>
      </c>
      <c r="B738" s="1" t="s">
        <v>2222</v>
      </c>
      <c r="C738" s="1" t="s">
        <v>2223</v>
      </c>
      <c r="F738" s="1" t="s">
        <v>2224</v>
      </c>
      <c r="G738" s="1">
        <v>1</v>
      </c>
      <c r="H738" s="7">
        <v>45560</v>
      </c>
      <c r="I738" s="1" t="s">
        <v>7455</v>
      </c>
      <c r="J738" s="7">
        <v>45560</v>
      </c>
      <c r="K738" s="1" t="s">
        <v>7455</v>
      </c>
    </row>
    <row r="739" spans="1:11" x14ac:dyDescent="0.3">
      <c r="A739" s="1">
        <v>738</v>
      </c>
      <c r="B739" s="1" t="s">
        <v>2225</v>
      </c>
      <c r="C739" s="1" t="s">
        <v>2226</v>
      </c>
      <c r="F739" s="1" t="s">
        <v>2227</v>
      </c>
      <c r="G739" s="1">
        <v>1</v>
      </c>
      <c r="H739" s="7">
        <v>45560</v>
      </c>
      <c r="I739" s="1" t="s">
        <v>7455</v>
      </c>
      <c r="J739" s="7">
        <v>45560</v>
      </c>
      <c r="K739" s="1" t="s">
        <v>7455</v>
      </c>
    </row>
    <row r="740" spans="1:11" x14ac:dyDescent="0.3">
      <c r="A740" s="1">
        <v>739</v>
      </c>
      <c r="B740" s="1" t="s">
        <v>2228</v>
      </c>
      <c r="C740" s="1" t="s">
        <v>2229</v>
      </c>
      <c r="F740" s="1" t="s">
        <v>2230</v>
      </c>
      <c r="G740" s="1">
        <v>1</v>
      </c>
      <c r="H740" s="7">
        <v>45560</v>
      </c>
      <c r="I740" s="1" t="s">
        <v>7455</v>
      </c>
      <c r="J740" s="7">
        <v>45560</v>
      </c>
      <c r="K740" s="1" t="s">
        <v>7455</v>
      </c>
    </row>
    <row r="741" spans="1:11" x14ac:dyDescent="0.3">
      <c r="A741" s="1">
        <v>740</v>
      </c>
      <c r="B741" s="1" t="s">
        <v>2231</v>
      </c>
      <c r="C741" s="1" t="s">
        <v>2232</v>
      </c>
      <c r="F741" s="1" t="s">
        <v>2233</v>
      </c>
      <c r="G741" s="1">
        <v>1</v>
      </c>
      <c r="H741" s="7">
        <v>45560</v>
      </c>
      <c r="I741" s="1" t="s">
        <v>7455</v>
      </c>
      <c r="J741" s="7">
        <v>45560</v>
      </c>
      <c r="K741" s="1" t="s">
        <v>7455</v>
      </c>
    </row>
    <row r="742" spans="1:11" x14ac:dyDescent="0.3">
      <c r="A742" s="1">
        <v>741</v>
      </c>
      <c r="B742" s="1" t="s">
        <v>2234</v>
      </c>
      <c r="C742" s="1" t="s">
        <v>2235</v>
      </c>
      <c r="F742" s="1" t="s">
        <v>2236</v>
      </c>
      <c r="G742" s="1">
        <v>1</v>
      </c>
      <c r="H742" s="7">
        <v>45560</v>
      </c>
      <c r="I742" s="1" t="s">
        <v>7455</v>
      </c>
      <c r="J742" s="7">
        <v>45560</v>
      </c>
      <c r="K742" s="1" t="s">
        <v>7455</v>
      </c>
    </row>
    <row r="743" spans="1:11" x14ac:dyDescent="0.3">
      <c r="A743" s="1">
        <v>742</v>
      </c>
      <c r="B743" s="1" t="s">
        <v>2237</v>
      </c>
      <c r="C743" s="1" t="s">
        <v>2238</v>
      </c>
      <c r="F743" s="1" t="s">
        <v>2239</v>
      </c>
      <c r="G743" s="1">
        <v>1</v>
      </c>
      <c r="H743" s="7">
        <v>45560</v>
      </c>
      <c r="I743" s="1" t="s">
        <v>7455</v>
      </c>
      <c r="J743" s="7">
        <v>45560</v>
      </c>
      <c r="K743" s="1" t="s">
        <v>7455</v>
      </c>
    </row>
    <row r="744" spans="1:11" x14ac:dyDescent="0.3">
      <c r="A744" s="1">
        <v>743</v>
      </c>
      <c r="B744" s="1" t="s">
        <v>2240</v>
      </c>
      <c r="C744" s="1" t="s">
        <v>2241</v>
      </c>
      <c r="E744" s="1" t="s">
        <v>52</v>
      </c>
      <c r="G744" s="1">
        <v>1</v>
      </c>
      <c r="H744" s="7">
        <v>45560</v>
      </c>
      <c r="I744" s="1" t="s">
        <v>7455</v>
      </c>
      <c r="J744" s="7">
        <v>45560</v>
      </c>
      <c r="K744" s="1" t="s">
        <v>7455</v>
      </c>
    </row>
    <row r="745" spans="1:11" x14ac:dyDescent="0.3">
      <c r="A745" s="1">
        <v>744</v>
      </c>
      <c r="B745" s="1" t="s">
        <v>2242</v>
      </c>
      <c r="C745" s="1" t="s">
        <v>2243</v>
      </c>
      <c r="F745" s="1" t="s">
        <v>2244</v>
      </c>
      <c r="G745" s="1">
        <v>1</v>
      </c>
      <c r="H745" s="7">
        <v>45560</v>
      </c>
      <c r="I745" s="1" t="s">
        <v>7455</v>
      </c>
      <c r="J745" s="7">
        <v>45560</v>
      </c>
      <c r="K745" s="1" t="s">
        <v>7455</v>
      </c>
    </row>
    <row r="746" spans="1:11" x14ac:dyDescent="0.3">
      <c r="A746" s="1">
        <v>745</v>
      </c>
      <c r="B746" s="1" t="s">
        <v>2245</v>
      </c>
      <c r="C746" s="1" t="s">
        <v>2246</v>
      </c>
      <c r="F746" s="1" t="s">
        <v>2247</v>
      </c>
      <c r="G746" s="1">
        <v>1</v>
      </c>
      <c r="H746" s="7">
        <v>45560</v>
      </c>
      <c r="I746" s="1" t="s">
        <v>7455</v>
      </c>
      <c r="J746" s="7">
        <v>45560</v>
      </c>
      <c r="K746" s="1" t="s">
        <v>7455</v>
      </c>
    </row>
    <row r="747" spans="1:11" x14ac:dyDescent="0.3">
      <c r="A747" s="1">
        <v>746</v>
      </c>
      <c r="B747" s="1" t="s">
        <v>2248</v>
      </c>
      <c r="C747" s="1" t="s">
        <v>2249</v>
      </c>
      <c r="F747" s="1" t="s">
        <v>2250</v>
      </c>
      <c r="G747" s="1">
        <v>1</v>
      </c>
      <c r="H747" s="7">
        <v>45560</v>
      </c>
      <c r="I747" s="1" t="s">
        <v>7455</v>
      </c>
      <c r="J747" s="7">
        <v>45560</v>
      </c>
      <c r="K747" s="1" t="s">
        <v>7455</v>
      </c>
    </row>
    <row r="748" spans="1:11" x14ac:dyDescent="0.3">
      <c r="A748" s="1">
        <v>747</v>
      </c>
      <c r="B748" s="1" t="s">
        <v>2251</v>
      </c>
      <c r="C748" s="1" t="s">
        <v>2252</v>
      </c>
      <c r="D748" s="1" t="s">
        <v>2253</v>
      </c>
      <c r="F748" s="1" t="s">
        <v>2254</v>
      </c>
      <c r="G748" s="1">
        <v>1</v>
      </c>
      <c r="H748" s="7">
        <v>45560</v>
      </c>
      <c r="I748" s="1" t="s">
        <v>7455</v>
      </c>
      <c r="J748" s="7">
        <v>45560</v>
      </c>
      <c r="K748" s="1" t="s">
        <v>7455</v>
      </c>
    </row>
    <row r="749" spans="1:11" x14ac:dyDescent="0.3">
      <c r="A749" s="1">
        <v>748</v>
      </c>
      <c r="B749" s="1" t="s">
        <v>2255</v>
      </c>
      <c r="C749" s="1" t="s">
        <v>2256</v>
      </c>
      <c r="F749" s="1" t="s">
        <v>2257</v>
      </c>
      <c r="G749" s="1">
        <v>1</v>
      </c>
      <c r="H749" s="7">
        <v>45560</v>
      </c>
      <c r="I749" s="1" t="s">
        <v>7455</v>
      </c>
      <c r="J749" s="7">
        <v>45560</v>
      </c>
      <c r="K749" s="1" t="s">
        <v>7455</v>
      </c>
    </row>
    <row r="750" spans="1:11" x14ac:dyDescent="0.3">
      <c r="A750" s="1">
        <v>749</v>
      </c>
      <c r="B750" s="1" t="s">
        <v>2258</v>
      </c>
      <c r="C750" s="1" t="s">
        <v>2259</v>
      </c>
      <c r="F750" s="1" t="s">
        <v>2260</v>
      </c>
      <c r="G750" s="1">
        <v>1</v>
      </c>
      <c r="H750" s="7">
        <v>45560</v>
      </c>
      <c r="I750" s="1" t="s">
        <v>7455</v>
      </c>
      <c r="J750" s="7">
        <v>45560</v>
      </c>
      <c r="K750" s="1" t="s">
        <v>7455</v>
      </c>
    </row>
    <row r="751" spans="1:11" x14ac:dyDescent="0.3">
      <c r="A751" s="1">
        <v>750</v>
      </c>
      <c r="B751" s="1" t="s">
        <v>2261</v>
      </c>
      <c r="C751" s="1" t="s">
        <v>2262</v>
      </c>
      <c r="F751" s="1" t="s">
        <v>2263</v>
      </c>
      <c r="G751" s="1">
        <v>1</v>
      </c>
      <c r="H751" s="7">
        <v>45560</v>
      </c>
      <c r="I751" s="1" t="s">
        <v>7455</v>
      </c>
      <c r="J751" s="7">
        <v>45560</v>
      </c>
      <c r="K751" s="1" t="s">
        <v>7455</v>
      </c>
    </row>
    <row r="752" spans="1:11" x14ac:dyDescent="0.3">
      <c r="A752" s="1">
        <v>751</v>
      </c>
      <c r="B752" s="1" t="s">
        <v>2264</v>
      </c>
      <c r="C752" s="1" t="s">
        <v>2265</v>
      </c>
      <c r="F752" s="1" t="s">
        <v>2266</v>
      </c>
      <c r="G752" s="1">
        <v>1</v>
      </c>
      <c r="H752" s="7">
        <v>45560</v>
      </c>
      <c r="I752" s="1" t="s">
        <v>7455</v>
      </c>
      <c r="J752" s="7">
        <v>45560</v>
      </c>
      <c r="K752" s="1" t="s">
        <v>7455</v>
      </c>
    </row>
    <row r="753" spans="1:11" x14ac:dyDescent="0.3">
      <c r="A753" s="1">
        <v>752</v>
      </c>
      <c r="B753" s="1" t="s">
        <v>2267</v>
      </c>
      <c r="C753" s="1" t="s">
        <v>2268</v>
      </c>
      <c r="F753" s="1" t="s">
        <v>2269</v>
      </c>
      <c r="G753" s="1">
        <v>1</v>
      </c>
      <c r="H753" s="7">
        <v>45560</v>
      </c>
      <c r="I753" s="1" t="s">
        <v>7455</v>
      </c>
      <c r="J753" s="7">
        <v>45560</v>
      </c>
      <c r="K753" s="1" t="s">
        <v>7455</v>
      </c>
    </row>
    <row r="754" spans="1:11" x14ac:dyDescent="0.3">
      <c r="A754" s="1">
        <v>753</v>
      </c>
      <c r="B754" s="1" t="s">
        <v>2270</v>
      </c>
      <c r="C754" s="1" t="s">
        <v>2271</v>
      </c>
      <c r="F754" s="1" t="s">
        <v>2272</v>
      </c>
      <c r="G754" s="1">
        <v>1</v>
      </c>
      <c r="H754" s="7">
        <v>45560</v>
      </c>
      <c r="I754" s="1" t="s">
        <v>7455</v>
      </c>
      <c r="J754" s="7">
        <v>45560</v>
      </c>
      <c r="K754" s="1" t="s">
        <v>7455</v>
      </c>
    </row>
    <row r="755" spans="1:11" x14ac:dyDescent="0.3">
      <c r="A755" s="1">
        <v>754</v>
      </c>
      <c r="B755" s="1" t="s">
        <v>2273</v>
      </c>
      <c r="C755" s="1" t="s">
        <v>2274</v>
      </c>
      <c r="F755" s="1" t="s">
        <v>2275</v>
      </c>
      <c r="G755" s="1">
        <v>1</v>
      </c>
      <c r="H755" s="7">
        <v>45560</v>
      </c>
      <c r="I755" s="1" t="s">
        <v>7455</v>
      </c>
      <c r="J755" s="7">
        <v>45560</v>
      </c>
      <c r="K755" s="1" t="s">
        <v>7455</v>
      </c>
    </row>
    <row r="756" spans="1:11" x14ac:dyDescent="0.3">
      <c r="A756" s="1">
        <v>755</v>
      </c>
      <c r="B756" s="1" t="s">
        <v>2276</v>
      </c>
      <c r="C756" s="1" t="s">
        <v>2277</v>
      </c>
      <c r="F756" s="1" t="s">
        <v>2278</v>
      </c>
      <c r="G756" s="1">
        <v>1</v>
      </c>
      <c r="H756" s="7">
        <v>45560</v>
      </c>
      <c r="I756" s="1" t="s">
        <v>7455</v>
      </c>
      <c r="J756" s="7">
        <v>45560</v>
      </c>
      <c r="K756" s="1" t="s">
        <v>7455</v>
      </c>
    </row>
    <row r="757" spans="1:11" x14ac:dyDescent="0.3">
      <c r="A757" s="1">
        <v>756</v>
      </c>
      <c r="B757" s="1" t="s">
        <v>2279</v>
      </c>
      <c r="C757" s="1" t="s">
        <v>2280</v>
      </c>
      <c r="F757" s="1" t="s">
        <v>2281</v>
      </c>
      <c r="G757" s="1">
        <v>1</v>
      </c>
      <c r="H757" s="7">
        <v>45560</v>
      </c>
      <c r="I757" s="1" t="s">
        <v>7455</v>
      </c>
      <c r="J757" s="7">
        <v>45560</v>
      </c>
      <c r="K757" s="1" t="s">
        <v>7455</v>
      </c>
    </row>
    <row r="758" spans="1:11" x14ac:dyDescent="0.3">
      <c r="A758" s="1">
        <v>757</v>
      </c>
      <c r="B758" s="1" t="s">
        <v>2282</v>
      </c>
      <c r="C758" s="1" t="s">
        <v>2283</v>
      </c>
      <c r="F758" s="1" t="s">
        <v>2284</v>
      </c>
      <c r="G758" s="1">
        <v>1</v>
      </c>
      <c r="H758" s="7">
        <v>45560</v>
      </c>
      <c r="I758" s="1" t="s">
        <v>7455</v>
      </c>
      <c r="J758" s="7">
        <v>45560</v>
      </c>
      <c r="K758" s="1" t="s">
        <v>7455</v>
      </c>
    </row>
    <row r="759" spans="1:11" x14ac:dyDescent="0.3">
      <c r="A759" s="1">
        <v>758</v>
      </c>
      <c r="B759" s="1" t="s">
        <v>2285</v>
      </c>
      <c r="C759" s="1" t="s">
        <v>2286</v>
      </c>
      <c r="F759" s="1" t="s">
        <v>2287</v>
      </c>
      <c r="G759" s="1">
        <v>1</v>
      </c>
      <c r="H759" s="7">
        <v>45560</v>
      </c>
      <c r="I759" s="1" t="s">
        <v>7455</v>
      </c>
      <c r="J759" s="7">
        <v>45560</v>
      </c>
      <c r="K759" s="1" t="s">
        <v>7455</v>
      </c>
    </row>
    <row r="760" spans="1:11" x14ac:dyDescent="0.3">
      <c r="A760" s="1">
        <v>759</v>
      </c>
      <c r="B760" s="1" t="s">
        <v>2288</v>
      </c>
      <c r="C760" s="1" t="s">
        <v>2289</v>
      </c>
      <c r="F760" s="1" t="s">
        <v>2290</v>
      </c>
      <c r="G760" s="1">
        <v>1</v>
      </c>
      <c r="H760" s="7">
        <v>45560</v>
      </c>
      <c r="I760" s="1" t="s">
        <v>7455</v>
      </c>
      <c r="J760" s="7">
        <v>45560</v>
      </c>
      <c r="K760" s="1" t="s">
        <v>7455</v>
      </c>
    </row>
    <row r="761" spans="1:11" x14ac:dyDescent="0.3">
      <c r="A761" s="1">
        <v>760</v>
      </c>
      <c r="B761" s="1" t="s">
        <v>2291</v>
      </c>
      <c r="C761" s="1" t="s">
        <v>2292</v>
      </c>
      <c r="F761" s="1" t="s">
        <v>2293</v>
      </c>
      <c r="G761" s="1">
        <v>1</v>
      </c>
      <c r="H761" s="7">
        <v>45560</v>
      </c>
      <c r="I761" s="1" t="s">
        <v>7455</v>
      </c>
      <c r="J761" s="7">
        <v>45560</v>
      </c>
      <c r="K761" s="1" t="s">
        <v>7455</v>
      </c>
    </row>
    <row r="762" spans="1:11" x14ac:dyDescent="0.3">
      <c r="A762" s="1">
        <v>761</v>
      </c>
      <c r="B762" s="1" t="s">
        <v>2294</v>
      </c>
      <c r="C762" s="1" t="s">
        <v>2295</v>
      </c>
      <c r="F762" s="1" t="s">
        <v>2296</v>
      </c>
      <c r="G762" s="1">
        <v>1</v>
      </c>
      <c r="H762" s="7">
        <v>45560</v>
      </c>
      <c r="I762" s="1" t="s">
        <v>7455</v>
      </c>
      <c r="J762" s="7">
        <v>45560</v>
      </c>
      <c r="K762" s="1" t="s">
        <v>7455</v>
      </c>
    </row>
    <row r="763" spans="1:11" x14ac:dyDescent="0.3">
      <c r="A763" s="1">
        <v>762</v>
      </c>
      <c r="B763" s="1" t="s">
        <v>2297</v>
      </c>
      <c r="C763" s="1" t="s">
        <v>2298</v>
      </c>
      <c r="F763" s="1" t="s">
        <v>2299</v>
      </c>
      <c r="G763" s="1">
        <v>1</v>
      </c>
      <c r="H763" s="7">
        <v>45560</v>
      </c>
      <c r="I763" s="1" t="s">
        <v>7455</v>
      </c>
      <c r="J763" s="7">
        <v>45560</v>
      </c>
      <c r="K763" s="1" t="s">
        <v>7455</v>
      </c>
    </row>
    <row r="764" spans="1:11" x14ac:dyDescent="0.3">
      <c r="A764" s="1">
        <v>763</v>
      </c>
      <c r="B764" s="1" t="s">
        <v>2300</v>
      </c>
      <c r="C764" s="1" t="s">
        <v>2301</v>
      </c>
      <c r="F764" s="1" t="s">
        <v>2302</v>
      </c>
      <c r="G764" s="1">
        <v>1</v>
      </c>
      <c r="H764" s="7">
        <v>45560</v>
      </c>
      <c r="I764" s="1" t="s">
        <v>7455</v>
      </c>
      <c r="J764" s="7">
        <v>45560</v>
      </c>
      <c r="K764" s="1" t="s">
        <v>7455</v>
      </c>
    </row>
    <row r="765" spans="1:11" x14ac:dyDescent="0.3">
      <c r="A765" s="1">
        <v>764</v>
      </c>
      <c r="B765" s="1" t="s">
        <v>2303</v>
      </c>
      <c r="C765" s="1" t="s">
        <v>2304</v>
      </c>
      <c r="F765" s="1" t="s">
        <v>2305</v>
      </c>
      <c r="G765" s="1">
        <v>1</v>
      </c>
      <c r="H765" s="7">
        <v>45560</v>
      </c>
      <c r="I765" s="1" t="s">
        <v>7455</v>
      </c>
      <c r="J765" s="7">
        <v>45560</v>
      </c>
      <c r="K765" s="1" t="s">
        <v>7455</v>
      </c>
    </row>
    <row r="766" spans="1:11" x14ac:dyDescent="0.3">
      <c r="A766" s="1">
        <v>765</v>
      </c>
      <c r="B766" s="1" t="s">
        <v>2306</v>
      </c>
      <c r="C766" s="1" t="s">
        <v>2307</v>
      </c>
      <c r="F766" s="1" t="s">
        <v>2308</v>
      </c>
      <c r="G766" s="1">
        <v>1</v>
      </c>
      <c r="H766" s="7">
        <v>45560</v>
      </c>
      <c r="I766" s="1" t="s">
        <v>7455</v>
      </c>
      <c r="J766" s="7">
        <v>45560</v>
      </c>
      <c r="K766" s="1" t="s">
        <v>7455</v>
      </c>
    </row>
    <row r="767" spans="1:11" x14ac:dyDescent="0.3">
      <c r="A767" s="1">
        <v>766</v>
      </c>
      <c r="B767" s="1" t="s">
        <v>2309</v>
      </c>
      <c r="C767" s="1" t="s">
        <v>2310</v>
      </c>
      <c r="F767" s="1" t="s">
        <v>2311</v>
      </c>
      <c r="G767" s="1">
        <v>1</v>
      </c>
      <c r="H767" s="7">
        <v>45560</v>
      </c>
      <c r="I767" s="1" t="s">
        <v>7455</v>
      </c>
      <c r="J767" s="7">
        <v>45560</v>
      </c>
      <c r="K767" s="1" t="s">
        <v>7455</v>
      </c>
    </row>
    <row r="768" spans="1:11" x14ac:dyDescent="0.3">
      <c r="A768" s="1">
        <v>767</v>
      </c>
      <c r="B768" s="1" t="s">
        <v>2312</v>
      </c>
      <c r="C768" s="1" t="s">
        <v>2313</v>
      </c>
      <c r="F768" s="1" t="s">
        <v>2314</v>
      </c>
      <c r="G768" s="1">
        <v>1</v>
      </c>
      <c r="H768" s="7">
        <v>45560</v>
      </c>
      <c r="I768" s="1" t="s">
        <v>7455</v>
      </c>
      <c r="J768" s="7">
        <v>45560</v>
      </c>
      <c r="K768" s="1" t="s">
        <v>7455</v>
      </c>
    </row>
    <row r="769" spans="1:11" x14ac:dyDescent="0.3">
      <c r="A769" s="1">
        <v>768</v>
      </c>
      <c r="B769" s="1" t="s">
        <v>2315</v>
      </c>
      <c r="C769" s="1" t="s">
        <v>2316</v>
      </c>
      <c r="F769" s="1" t="s">
        <v>2317</v>
      </c>
      <c r="G769" s="1">
        <v>1</v>
      </c>
      <c r="H769" s="7">
        <v>45560</v>
      </c>
      <c r="I769" s="1" t="s">
        <v>7455</v>
      </c>
      <c r="J769" s="7">
        <v>45560</v>
      </c>
      <c r="K769" s="1" t="s">
        <v>7455</v>
      </c>
    </row>
    <row r="770" spans="1:11" x14ac:dyDescent="0.3">
      <c r="A770" s="1">
        <v>769</v>
      </c>
      <c r="B770" s="1" t="s">
        <v>2318</v>
      </c>
      <c r="C770" s="1" t="s">
        <v>2319</v>
      </c>
      <c r="F770" s="1" t="s">
        <v>2320</v>
      </c>
      <c r="G770" s="1">
        <v>1</v>
      </c>
      <c r="H770" s="7">
        <v>45560</v>
      </c>
      <c r="I770" s="1" t="s">
        <v>7455</v>
      </c>
      <c r="J770" s="7">
        <v>45560</v>
      </c>
      <c r="K770" s="1" t="s">
        <v>7455</v>
      </c>
    </row>
    <row r="771" spans="1:11" x14ac:dyDescent="0.3">
      <c r="A771" s="1">
        <v>770</v>
      </c>
      <c r="B771" s="1" t="s">
        <v>2321</v>
      </c>
      <c r="C771" s="1" t="s">
        <v>2322</v>
      </c>
      <c r="F771" s="1" t="s">
        <v>2323</v>
      </c>
      <c r="G771" s="1">
        <v>1</v>
      </c>
      <c r="H771" s="7">
        <v>45560</v>
      </c>
      <c r="I771" s="1" t="s">
        <v>7455</v>
      </c>
      <c r="J771" s="7">
        <v>45560</v>
      </c>
      <c r="K771" s="1" t="s">
        <v>7455</v>
      </c>
    </row>
    <row r="772" spans="1:11" x14ac:dyDescent="0.3">
      <c r="A772" s="1">
        <v>771</v>
      </c>
      <c r="B772" s="1" t="s">
        <v>2324</v>
      </c>
      <c r="C772" s="1" t="s">
        <v>2325</v>
      </c>
      <c r="F772" s="1" t="s">
        <v>2326</v>
      </c>
      <c r="G772" s="1">
        <v>1</v>
      </c>
      <c r="H772" s="7">
        <v>45560</v>
      </c>
      <c r="I772" s="1" t="s">
        <v>7455</v>
      </c>
      <c r="J772" s="7">
        <v>45560</v>
      </c>
      <c r="K772" s="1" t="s">
        <v>7455</v>
      </c>
    </row>
    <row r="773" spans="1:11" x14ac:dyDescent="0.3">
      <c r="A773" s="1">
        <v>772</v>
      </c>
      <c r="B773" s="1" t="s">
        <v>2327</v>
      </c>
      <c r="C773" s="1" t="s">
        <v>2328</v>
      </c>
      <c r="F773" s="1" t="s">
        <v>2329</v>
      </c>
      <c r="G773" s="1">
        <v>1</v>
      </c>
      <c r="H773" s="7">
        <v>45560</v>
      </c>
      <c r="I773" s="1" t="s">
        <v>7455</v>
      </c>
      <c r="J773" s="7">
        <v>45560</v>
      </c>
      <c r="K773" s="1" t="s">
        <v>7455</v>
      </c>
    </row>
    <row r="774" spans="1:11" x14ac:dyDescent="0.3">
      <c r="A774" s="1">
        <v>773</v>
      </c>
      <c r="B774" s="1" t="s">
        <v>2330</v>
      </c>
      <c r="C774" s="1" t="s">
        <v>2331</v>
      </c>
      <c r="F774" s="1" t="s">
        <v>2332</v>
      </c>
      <c r="G774" s="1">
        <v>1</v>
      </c>
      <c r="H774" s="7">
        <v>45560</v>
      </c>
      <c r="I774" s="1" t="s">
        <v>7455</v>
      </c>
      <c r="J774" s="7">
        <v>45560</v>
      </c>
      <c r="K774" s="1" t="s">
        <v>7455</v>
      </c>
    </row>
    <row r="775" spans="1:11" x14ac:dyDescent="0.3">
      <c r="A775" s="1">
        <v>774</v>
      </c>
      <c r="B775" s="1" t="s">
        <v>2333</v>
      </c>
      <c r="C775" s="1" t="s">
        <v>2334</v>
      </c>
      <c r="F775" s="1" t="s">
        <v>2335</v>
      </c>
      <c r="G775" s="1">
        <v>1</v>
      </c>
      <c r="H775" s="7">
        <v>45560</v>
      </c>
      <c r="I775" s="1" t="s">
        <v>7455</v>
      </c>
      <c r="J775" s="7">
        <v>45560</v>
      </c>
      <c r="K775" s="1" t="s">
        <v>7455</v>
      </c>
    </row>
    <row r="776" spans="1:11" x14ac:dyDescent="0.3">
      <c r="A776" s="1">
        <v>775</v>
      </c>
      <c r="B776" s="1" t="s">
        <v>2336</v>
      </c>
      <c r="C776" s="1" t="s">
        <v>2337</v>
      </c>
      <c r="F776" s="1" t="s">
        <v>2338</v>
      </c>
      <c r="G776" s="1">
        <v>1</v>
      </c>
      <c r="H776" s="7">
        <v>45560</v>
      </c>
      <c r="I776" s="1" t="s">
        <v>7455</v>
      </c>
      <c r="J776" s="7">
        <v>45560</v>
      </c>
      <c r="K776" s="1" t="s">
        <v>7455</v>
      </c>
    </row>
    <row r="777" spans="1:11" x14ac:dyDescent="0.3">
      <c r="A777" s="1">
        <v>776</v>
      </c>
      <c r="B777" s="1" t="s">
        <v>2339</v>
      </c>
      <c r="C777" s="1" t="s">
        <v>2340</v>
      </c>
      <c r="F777" s="1" t="s">
        <v>2341</v>
      </c>
      <c r="G777" s="1">
        <v>1</v>
      </c>
      <c r="H777" s="7">
        <v>45560</v>
      </c>
      <c r="I777" s="1" t="s">
        <v>7455</v>
      </c>
      <c r="J777" s="7">
        <v>45560</v>
      </c>
      <c r="K777" s="1" t="s">
        <v>7455</v>
      </c>
    </row>
    <row r="778" spans="1:11" x14ac:dyDescent="0.3">
      <c r="A778" s="1">
        <v>777</v>
      </c>
      <c r="B778" s="1" t="s">
        <v>2342</v>
      </c>
      <c r="C778" s="1" t="s">
        <v>2343</v>
      </c>
      <c r="F778" s="1" t="s">
        <v>2344</v>
      </c>
      <c r="G778" s="1">
        <v>1</v>
      </c>
      <c r="H778" s="7">
        <v>45560</v>
      </c>
      <c r="I778" s="1" t="s">
        <v>7455</v>
      </c>
      <c r="J778" s="7">
        <v>45560</v>
      </c>
      <c r="K778" s="1" t="s">
        <v>7455</v>
      </c>
    </row>
    <row r="779" spans="1:11" x14ac:dyDescent="0.3">
      <c r="A779" s="1">
        <v>778</v>
      </c>
      <c r="B779" s="1" t="s">
        <v>2345</v>
      </c>
      <c r="C779" s="1" t="s">
        <v>2346</v>
      </c>
      <c r="F779" s="1" t="s">
        <v>2347</v>
      </c>
      <c r="G779" s="1">
        <v>1</v>
      </c>
      <c r="H779" s="7">
        <v>45560</v>
      </c>
      <c r="I779" s="1" t="s">
        <v>7455</v>
      </c>
      <c r="J779" s="7">
        <v>45560</v>
      </c>
      <c r="K779" s="1" t="s">
        <v>7455</v>
      </c>
    </row>
    <row r="780" spans="1:11" x14ac:dyDescent="0.3">
      <c r="A780" s="1">
        <v>779</v>
      </c>
      <c r="B780" s="1" t="s">
        <v>2348</v>
      </c>
      <c r="C780" s="1" t="s">
        <v>2349</v>
      </c>
      <c r="F780" s="1" t="s">
        <v>2350</v>
      </c>
      <c r="G780" s="1">
        <v>1</v>
      </c>
      <c r="H780" s="7">
        <v>45560</v>
      </c>
      <c r="I780" s="1" t="s">
        <v>7455</v>
      </c>
      <c r="J780" s="7">
        <v>45560</v>
      </c>
      <c r="K780" s="1" t="s">
        <v>7455</v>
      </c>
    </row>
    <row r="781" spans="1:11" x14ac:dyDescent="0.3">
      <c r="A781" s="1">
        <v>780</v>
      </c>
      <c r="B781" s="1" t="s">
        <v>2351</v>
      </c>
      <c r="C781" s="1" t="s">
        <v>2352</v>
      </c>
      <c r="F781" s="1" t="s">
        <v>2353</v>
      </c>
      <c r="G781" s="1">
        <v>1</v>
      </c>
      <c r="H781" s="7">
        <v>45560</v>
      </c>
      <c r="I781" s="1" t="s">
        <v>7455</v>
      </c>
      <c r="J781" s="7">
        <v>45560</v>
      </c>
      <c r="K781" s="1" t="s">
        <v>7455</v>
      </c>
    </row>
    <row r="782" spans="1:11" x14ac:dyDescent="0.3">
      <c r="A782" s="1">
        <v>781</v>
      </c>
      <c r="B782" s="1" t="s">
        <v>2354</v>
      </c>
      <c r="C782" s="1" t="s">
        <v>2355</v>
      </c>
      <c r="F782" s="1" t="s">
        <v>2356</v>
      </c>
      <c r="G782" s="1">
        <v>1</v>
      </c>
      <c r="H782" s="7">
        <v>45560</v>
      </c>
      <c r="I782" s="1" t="s">
        <v>7455</v>
      </c>
      <c r="J782" s="7">
        <v>45560</v>
      </c>
      <c r="K782" s="1" t="s">
        <v>7455</v>
      </c>
    </row>
    <row r="783" spans="1:11" x14ac:dyDescent="0.3">
      <c r="A783" s="1">
        <v>782</v>
      </c>
      <c r="B783" s="1" t="s">
        <v>2357</v>
      </c>
      <c r="C783" s="1" t="s">
        <v>2358</v>
      </c>
      <c r="F783" s="1" t="s">
        <v>2359</v>
      </c>
      <c r="G783" s="1">
        <v>1</v>
      </c>
      <c r="H783" s="7">
        <v>45560</v>
      </c>
      <c r="I783" s="1" t="s">
        <v>7455</v>
      </c>
      <c r="J783" s="7">
        <v>45560</v>
      </c>
      <c r="K783" s="1" t="s">
        <v>7455</v>
      </c>
    </row>
    <row r="784" spans="1:11" x14ac:dyDescent="0.3">
      <c r="A784" s="1">
        <v>783</v>
      </c>
      <c r="B784" s="1" t="s">
        <v>2360</v>
      </c>
      <c r="C784" s="1" t="s">
        <v>2361</v>
      </c>
      <c r="D784" s="1" t="s">
        <v>2362</v>
      </c>
      <c r="F784" s="1" t="s">
        <v>2363</v>
      </c>
      <c r="G784" s="1">
        <v>1</v>
      </c>
      <c r="H784" s="7">
        <v>45560</v>
      </c>
      <c r="I784" s="1" t="s">
        <v>7455</v>
      </c>
      <c r="J784" s="7">
        <v>45560</v>
      </c>
      <c r="K784" s="1" t="s">
        <v>7455</v>
      </c>
    </row>
    <row r="785" spans="1:11" x14ac:dyDescent="0.3">
      <c r="A785" s="1">
        <v>784</v>
      </c>
      <c r="B785" s="1" t="s">
        <v>2364</v>
      </c>
      <c r="C785" s="1" t="s">
        <v>2365</v>
      </c>
      <c r="F785" s="1" t="s">
        <v>2366</v>
      </c>
      <c r="G785" s="1">
        <v>1</v>
      </c>
      <c r="H785" s="7">
        <v>45560</v>
      </c>
      <c r="I785" s="1" t="s">
        <v>7455</v>
      </c>
      <c r="J785" s="7">
        <v>45560</v>
      </c>
      <c r="K785" s="1" t="s">
        <v>7455</v>
      </c>
    </row>
    <row r="786" spans="1:11" x14ac:dyDescent="0.3">
      <c r="A786" s="1">
        <v>785</v>
      </c>
      <c r="B786" s="1" t="s">
        <v>2367</v>
      </c>
      <c r="C786" s="1" t="s">
        <v>2368</v>
      </c>
      <c r="F786" s="1" t="s">
        <v>2369</v>
      </c>
      <c r="G786" s="1">
        <v>1</v>
      </c>
      <c r="H786" s="7">
        <v>45560</v>
      </c>
      <c r="I786" s="1" t="s">
        <v>7455</v>
      </c>
      <c r="J786" s="7">
        <v>45560</v>
      </c>
      <c r="K786" s="1" t="s">
        <v>7455</v>
      </c>
    </row>
    <row r="787" spans="1:11" x14ac:dyDescent="0.3">
      <c r="A787" s="1">
        <v>786</v>
      </c>
      <c r="B787" s="1" t="s">
        <v>2370</v>
      </c>
      <c r="C787" s="1" t="s">
        <v>2371</v>
      </c>
      <c r="F787" s="1" t="s">
        <v>2372</v>
      </c>
      <c r="G787" s="1">
        <v>1</v>
      </c>
      <c r="H787" s="7">
        <v>45560</v>
      </c>
      <c r="I787" s="1" t="s">
        <v>7455</v>
      </c>
      <c r="J787" s="7">
        <v>45560</v>
      </c>
      <c r="K787" s="1" t="s">
        <v>7455</v>
      </c>
    </row>
    <row r="788" spans="1:11" x14ac:dyDescent="0.3">
      <c r="A788" s="1">
        <v>787</v>
      </c>
      <c r="B788" s="1" t="s">
        <v>2373</v>
      </c>
      <c r="C788" s="1" t="s">
        <v>2374</v>
      </c>
      <c r="F788" s="1" t="s">
        <v>2375</v>
      </c>
      <c r="G788" s="1">
        <v>1</v>
      </c>
      <c r="H788" s="7">
        <v>45560</v>
      </c>
      <c r="I788" s="1" t="s">
        <v>7455</v>
      </c>
      <c r="J788" s="7">
        <v>45560</v>
      </c>
      <c r="K788" s="1" t="s">
        <v>7455</v>
      </c>
    </row>
    <row r="789" spans="1:11" x14ac:dyDescent="0.3">
      <c r="A789" s="1">
        <v>788</v>
      </c>
      <c r="B789" s="1" t="s">
        <v>2376</v>
      </c>
      <c r="C789" s="1" t="s">
        <v>2377</v>
      </c>
      <c r="F789" s="1" t="s">
        <v>2378</v>
      </c>
      <c r="G789" s="1">
        <v>1</v>
      </c>
      <c r="H789" s="7">
        <v>45560</v>
      </c>
      <c r="I789" s="1" t="s">
        <v>7455</v>
      </c>
      <c r="J789" s="7">
        <v>45560</v>
      </c>
      <c r="K789" s="1" t="s">
        <v>7455</v>
      </c>
    </row>
    <row r="790" spans="1:11" x14ac:dyDescent="0.3">
      <c r="A790" s="1">
        <v>789</v>
      </c>
      <c r="B790" s="1" t="s">
        <v>2379</v>
      </c>
      <c r="C790" s="1" t="s">
        <v>2380</v>
      </c>
      <c r="F790" s="1" t="s">
        <v>2381</v>
      </c>
      <c r="G790" s="1">
        <v>1</v>
      </c>
      <c r="H790" s="7">
        <v>45560</v>
      </c>
      <c r="I790" s="1" t="s">
        <v>7455</v>
      </c>
      <c r="J790" s="7">
        <v>45560</v>
      </c>
      <c r="K790" s="1" t="s">
        <v>7455</v>
      </c>
    </row>
    <row r="791" spans="1:11" x14ac:dyDescent="0.3">
      <c r="A791" s="1">
        <v>790</v>
      </c>
      <c r="B791" s="1" t="s">
        <v>2382</v>
      </c>
      <c r="C791" s="1" t="s">
        <v>2383</v>
      </c>
      <c r="F791" s="1" t="s">
        <v>2384</v>
      </c>
      <c r="G791" s="1">
        <v>1</v>
      </c>
      <c r="H791" s="7">
        <v>45560</v>
      </c>
      <c r="I791" s="1" t="s">
        <v>7455</v>
      </c>
      <c r="J791" s="7">
        <v>45560</v>
      </c>
      <c r="K791" s="1" t="s">
        <v>7455</v>
      </c>
    </row>
    <row r="792" spans="1:11" x14ac:dyDescent="0.3">
      <c r="A792" s="1">
        <v>791</v>
      </c>
      <c r="B792" s="1" t="s">
        <v>2385</v>
      </c>
      <c r="C792" s="1" t="s">
        <v>2386</v>
      </c>
      <c r="F792" s="1" t="s">
        <v>2387</v>
      </c>
      <c r="G792" s="1">
        <v>1</v>
      </c>
      <c r="H792" s="7">
        <v>45560</v>
      </c>
      <c r="I792" s="1" t="s">
        <v>7455</v>
      </c>
      <c r="J792" s="7">
        <v>45560</v>
      </c>
      <c r="K792" s="1" t="s">
        <v>7455</v>
      </c>
    </row>
    <row r="793" spans="1:11" x14ac:dyDescent="0.3">
      <c r="A793" s="1">
        <v>792</v>
      </c>
      <c r="B793" s="1" t="s">
        <v>2388</v>
      </c>
      <c r="C793" s="1" t="s">
        <v>2389</v>
      </c>
      <c r="F793" s="1" t="s">
        <v>2390</v>
      </c>
      <c r="G793" s="1">
        <v>1</v>
      </c>
      <c r="H793" s="7">
        <v>45560</v>
      </c>
      <c r="I793" s="1" t="s">
        <v>7455</v>
      </c>
      <c r="J793" s="7">
        <v>45560</v>
      </c>
      <c r="K793" s="1" t="s">
        <v>7455</v>
      </c>
    </row>
    <row r="794" spans="1:11" x14ac:dyDescent="0.3">
      <c r="A794" s="1">
        <v>793</v>
      </c>
      <c r="B794" s="1" t="s">
        <v>2391</v>
      </c>
      <c r="C794" s="1" t="s">
        <v>2392</v>
      </c>
      <c r="F794" s="1" t="s">
        <v>2393</v>
      </c>
      <c r="G794" s="1">
        <v>1</v>
      </c>
      <c r="H794" s="7">
        <v>45560</v>
      </c>
      <c r="I794" s="1" t="s">
        <v>7455</v>
      </c>
      <c r="J794" s="7">
        <v>45560</v>
      </c>
      <c r="K794" s="1" t="s">
        <v>7455</v>
      </c>
    </row>
    <row r="795" spans="1:11" x14ac:dyDescent="0.3">
      <c r="A795" s="1">
        <v>794</v>
      </c>
      <c r="B795" s="1" t="s">
        <v>2394</v>
      </c>
      <c r="C795" s="1" t="s">
        <v>2395</v>
      </c>
      <c r="F795" s="1" t="s">
        <v>2396</v>
      </c>
      <c r="G795" s="1">
        <v>1</v>
      </c>
      <c r="H795" s="7">
        <v>45560</v>
      </c>
      <c r="I795" s="1" t="s">
        <v>7455</v>
      </c>
      <c r="J795" s="7">
        <v>45560</v>
      </c>
      <c r="K795" s="1" t="s">
        <v>7455</v>
      </c>
    </row>
    <row r="796" spans="1:11" x14ac:dyDescent="0.3">
      <c r="A796" s="1">
        <v>795</v>
      </c>
      <c r="B796" s="1" t="s">
        <v>2397</v>
      </c>
      <c r="C796" s="1" t="s">
        <v>2398</v>
      </c>
      <c r="F796" s="1" t="s">
        <v>2399</v>
      </c>
      <c r="G796" s="1">
        <v>1</v>
      </c>
      <c r="H796" s="7">
        <v>45560</v>
      </c>
      <c r="I796" s="1" t="s">
        <v>7455</v>
      </c>
      <c r="J796" s="7">
        <v>45560</v>
      </c>
      <c r="K796" s="1" t="s">
        <v>7455</v>
      </c>
    </row>
    <row r="797" spans="1:11" x14ac:dyDescent="0.3">
      <c r="A797" s="1">
        <v>796</v>
      </c>
      <c r="B797" s="1" t="s">
        <v>2400</v>
      </c>
      <c r="C797" s="1" t="s">
        <v>2401</v>
      </c>
      <c r="F797" s="1" t="s">
        <v>2402</v>
      </c>
      <c r="G797" s="1">
        <v>1</v>
      </c>
      <c r="H797" s="7">
        <v>45560</v>
      </c>
      <c r="I797" s="1" t="s">
        <v>7455</v>
      </c>
      <c r="J797" s="7">
        <v>45560</v>
      </c>
      <c r="K797" s="1" t="s">
        <v>7455</v>
      </c>
    </row>
    <row r="798" spans="1:11" x14ac:dyDescent="0.3">
      <c r="A798" s="1">
        <v>797</v>
      </c>
      <c r="B798" s="1" t="s">
        <v>2403</v>
      </c>
      <c r="C798" s="1" t="s">
        <v>2404</v>
      </c>
      <c r="F798" s="1" t="s">
        <v>2405</v>
      </c>
      <c r="G798" s="1">
        <v>1</v>
      </c>
      <c r="H798" s="7">
        <v>45560</v>
      </c>
      <c r="I798" s="1" t="s">
        <v>7455</v>
      </c>
      <c r="J798" s="7">
        <v>45560</v>
      </c>
      <c r="K798" s="1" t="s">
        <v>7455</v>
      </c>
    </row>
    <row r="799" spans="1:11" x14ac:dyDescent="0.3">
      <c r="A799" s="1">
        <v>798</v>
      </c>
      <c r="B799" s="1" t="s">
        <v>2406</v>
      </c>
      <c r="C799" s="1" t="s">
        <v>2407</v>
      </c>
      <c r="F799" s="1" t="s">
        <v>2408</v>
      </c>
      <c r="G799" s="1">
        <v>1</v>
      </c>
      <c r="H799" s="7">
        <v>45560</v>
      </c>
      <c r="I799" s="1" t="s">
        <v>7455</v>
      </c>
      <c r="J799" s="7">
        <v>45560</v>
      </c>
      <c r="K799" s="1" t="s">
        <v>7455</v>
      </c>
    </row>
    <row r="800" spans="1:11" x14ac:dyDescent="0.3">
      <c r="A800" s="1">
        <v>799</v>
      </c>
      <c r="B800" s="1" t="s">
        <v>2409</v>
      </c>
      <c r="C800" s="1" t="s">
        <v>2410</v>
      </c>
      <c r="F800" s="1" t="s">
        <v>2411</v>
      </c>
      <c r="G800" s="1">
        <v>1</v>
      </c>
      <c r="H800" s="7">
        <v>45560</v>
      </c>
      <c r="I800" s="1" t="s">
        <v>7455</v>
      </c>
      <c r="J800" s="7">
        <v>45560</v>
      </c>
      <c r="K800" s="1" t="s">
        <v>7455</v>
      </c>
    </row>
    <row r="801" spans="1:11" x14ac:dyDescent="0.3">
      <c r="A801" s="1">
        <v>800</v>
      </c>
      <c r="B801" s="1" t="s">
        <v>2412</v>
      </c>
      <c r="C801" s="1" t="s">
        <v>2413</v>
      </c>
      <c r="F801" s="1" t="s">
        <v>2414</v>
      </c>
      <c r="G801" s="1">
        <v>1</v>
      </c>
      <c r="H801" s="7">
        <v>45560</v>
      </c>
      <c r="I801" s="1" t="s">
        <v>7455</v>
      </c>
      <c r="J801" s="7">
        <v>45560</v>
      </c>
      <c r="K801" s="1" t="s">
        <v>7455</v>
      </c>
    </row>
    <row r="802" spans="1:11" x14ac:dyDescent="0.3">
      <c r="A802" s="1">
        <v>801</v>
      </c>
      <c r="B802" s="1" t="s">
        <v>2415</v>
      </c>
      <c r="C802" s="1" t="s">
        <v>2416</v>
      </c>
      <c r="F802" s="1" t="s">
        <v>2417</v>
      </c>
      <c r="G802" s="1">
        <v>1</v>
      </c>
      <c r="H802" s="7">
        <v>45560</v>
      </c>
      <c r="I802" s="1" t="s">
        <v>7455</v>
      </c>
      <c r="J802" s="7">
        <v>45560</v>
      </c>
      <c r="K802" s="1" t="s">
        <v>7455</v>
      </c>
    </row>
    <row r="803" spans="1:11" x14ac:dyDescent="0.3">
      <c r="A803" s="1">
        <v>802</v>
      </c>
      <c r="B803" s="1" t="s">
        <v>2418</v>
      </c>
      <c r="C803" s="1" t="s">
        <v>2419</v>
      </c>
      <c r="F803" s="1" t="s">
        <v>2420</v>
      </c>
      <c r="G803" s="1">
        <v>1</v>
      </c>
      <c r="H803" s="7">
        <v>45560</v>
      </c>
      <c r="I803" s="1" t="s">
        <v>7455</v>
      </c>
      <c r="J803" s="7">
        <v>45560</v>
      </c>
      <c r="K803" s="1" t="s">
        <v>7455</v>
      </c>
    </row>
    <row r="804" spans="1:11" x14ac:dyDescent="0.3">
      <c r="A804" s="1">
        <v>803</v>
      </c>
      <c r="B804" s="1" t="s">
        <v>2421</v>
      </c>
      <c r="C804" s="1" t="s">
        <v>2422</v>
      </c>
      <c r="F804" s="1" t="s">
        <v>2423</v>
      </c>
      <c r="G804" s="1">
        <v>1</v>
      </c>
      <c r="H804" s="7">
        <v>45560</v>
      </c>
      <c r="I804" s="1" t="s">
        <v>7455</v>
      </c>
      <c r="J804" s="7">
        <v>45560</v>
      </c>
      <c r="K804" s="1" t="s">
        <v>7455</v>
      </c>
    </row>
    <row r="805" spans="1:11" x14ac:dyDescent="0.3">
      <c r="A805" s="1">
        <v>804</v>
      </c>
      <c r="B805" s="1" t="s">
        <v>2424</v>
      </c>
      <c r="C805" s="1" t="s">
        <v>2425</v>
      </c>
      <c r="F805" s="1" t="s">
        <v>2426</v>
      </c>
      <c r="G805" s="1">
        <v>1</v>
      </c>
      <c r="H805" s="7">
        <v>45560</v>
      </c>
      <c r="I805" s="1" t="s">
        <v>7455</v>
      </c>
      <c r="J805" s="7">
        <v>45560</v>
      </c>
      <c r="K805" s="1" t="s">
        <v>7455</v>
      </c>
    </row>
    <row r="806" spans="1:11" x14ac:dyDescent="0.3">
      <c r="A806" s="1">
        <v>805</v>
      </c>
      <c r="B806" s="1" t="s">
        <v>2427</v>
      </c>
      <c r="C806" s="1" t="s">
        <v>2428</v>
      </c>
      <c r="F806" s="1" t="s">
        <v>2429</v>
      </c>
      <c r="G806" s="1">
        <v>1</v>
      </c>
      <c r="H806" s="7">
        <v>45560</v>
      </c>
      <c r="I806" s="1" t="s">
        <v>7455</v>
      </c>
      <c r="J806" s="7">
        <v>45560</v>
      </c>
      <c r="K806" s="1" t="s">
        <v>7455</v>
      </c>
    </row>
    <row r="807" spans="1:11" x14ac:dyDescent="0.3">
      <c r="A807" s="1">
        <v>806</v>
      </c>
      <c r="B807" s="1" t="s">
        <v>2430</v>
      </c>
      <c r="C807" s="1" t="s">
        <v>2431</v>
      </c>
      <c r="F807" s="1" t="s">
        <v>2432</v>
      </c>
      <c r="G807" s="1">
        <v>1</v>
      </c>
      <c r="H807" s="7">
        <v>45560</v>
      </c>
      <c r="I807" s="1" t="s">
        <v>7455</v>
      </c>
      <c r="J807" s="7">
        <v>45560</v>
      </c>
      <c r="K807" s="1" t="s">
        <v>7455</v>
      </c>
    </row>
    <row r="808" spans="1:11" x14ac:dyDescent="0.3">
      <c r="A808" s="1">
        <v>807</v>
      </c>
      <c r="B808" s="1" t="s">
        <v>2433</v>
      </c>
      <c r="C808" s="1" t="s">
        <v>2434</v>
      </c>
      <c r="F808" s="1" t="s">
        <v>2435</v>
      </c>
      <c r="G808" s="1">
        <v>1</v>
      </c>
      <c r="H808" s="7">
        <v>45560</v>
      </c>
      <c r="I808" s="1" t="s">
        <v>7455</v>
      </c>
      <c r="J808" s="7">
        <v>45560</v>
      </c>
      <c r="K808" s="1" t="s">
        <v>7455</v>
      </c>
    </row>
    <row r="809" spans="1:11" x14ac:dyDescent="0.3">
      <c r="A809" s="1">
        <v>808</v>
      </c>
      <c r="B809" s="1" t="s">
        <v>2436</v>
      </c>
      <c r="C809" s="1" t="s">
        <v>2437</v>
      </c>
      <c r="F809" s="1" t="s">
        <v>2438</v>
      </c>
      <c r="G809" s="1">
        <v>1</v>
      </c>
      <c r="H809" s="7">
        <v>45560</v>
      </c>
      <c r="I809" s="1" t="s">
        <v>7455</v>
      </c>
      <c r="J809" s="7">
        <v>45560</v>
      </c>
      <c r="K809" s="1" t="s">
        <v>7455</v>
      </c>
    </row>
    <row r="810" spans="1:11" x14ac:dyDescent="0.3">
      <c r="A810" s="1">
        <v>809</v>
      </c>
      <c r="B810" s="1" t="s">
        <v>2439</v>
      </c>
      <c r="C810" s="1" t="s">
        <v>2440</v>
      </c>
      <c r="F810" s="1" t="s">
        <v>2441</v>
      </c>
      <c r="G810" s="1">
        <v>1</v>
      </c>
      <c r="H810" s="7">
        <v>45560</v>
      </c>
      <c r="I810" s="1" t="s">
        <v>7455</v>
      </c>
      <c r="J810" s="7">
        <v>45560</v>
      </c>
      <c r="K810" s="1" t="s">
        <v>7455</v>
      </c>
    </row>
    <row r="811" spans="1:11" x14ac:dyDescent="0.3">
      <c r="A811" s="1">
        <v>810</v>
      </c>
      <c r="B811" s="1" t="s">
        <v>2442</v>
      </c>
      <c r="C811" s="1" t="s">
        <v>2443</v>
      </c>
      <c r="F811" s="1" t="s">
        <v>2444</v>
      </c>
      <c r="G811" s="1">
        <v>1</v>
      </c>
      <c r="H811" s="7">
        <v>45560</v>
      </c>
      <c r="I811" s="1" t="s">
        <v>7455</v>
      </c>
      <c r="J811" s="7">
        <v>45560</v>
      </c>
      <c r="K811" s="1" t="s">
        <v>7455</v>
      </c>
    </row>
    <row r="812" spans="1:11" x14ac:dyDescent="0.3">
      <c r="A812" s="1">
        <v>811</v>
      </c>
      <c r="B812" s="1" t="s">
        <v>2445</v>
      </c>
      <c r="C812" s="1" t="s">
        <v>2446</v>
      </c>
      <c r="F812" s="1" t="s">
        <v>2447</v>
      </c>
      <c r="G812" s="1">
        <v>1</v>
      </c>
      <c r="H812" s="7">
        <v>45560</v>
      </c>
      <c r="I812" s="1" t="s">
        <v>7455</v>
      </c>
      <c r="J812" s="7">
        <v>45560</v>
      </c>
      <c r="K812" s="1" t="s">
        <v>7455</v>
      </c>
    </row>
    <row r="813" spans="1:11" x14ac:dyDescent="0.3">
      <c r="A813" s="1">
        <v>812</v>
      </c>
      <c r="B813" s="1" t="s">
        <v>2448</v>
      </c>
      <c r="C813" s="1" t="s">
        <v>2449</v>
      </c>
      <c r="F813" s="1" t="s">
        <v>2450</v>
      </c>
      <c r="G813" s="1">
        <v>1</v>
      </c>
      <c r="H813" s="7">
        <v>45560</v>
      </c>
      <c r="I813" s="1" t="s">
        <v>7455</v>
      </c>
      <c r="J813" s="7">
        <v>45560</v>
      </c>
      <c r="K813" s="1" t="s">
        <v>7455</v>
      </c>
    </row>
    <row r="814" spans="1:11" x14ac:dyDescent="0.3">
      <c r="A814" s="1">
        <v>813</v>
      </c>
      <c r="B814" s="1" t="s">
        <v>2451</v>
      </c>
      <c r="C814" s="1" t="s">
        <v>2452</v>
      </c>
      <c r="F814" s="1" t="s">
        <v>2453</v>
      </c>
      <c r="G814" s="1">
        <v>1</v>
      </c>
      <c r="H814" s="7">
        <v>45560</v>
      </c>
      <c r="I814" s="1" t="s">
        <v>7455</v>
      </c>
      <c r="J814" s="7">
        <v>45560</v>
      </c>
      <c r="K814" s="1" t="s">
        <v>7455</v>
      </c>
    </row>
    <row r="815" spans="1:11" x14ac:dyDescent="0.3">
      <c r="A815" s="1">
        <v>814</v>
      </c>
      <c r="B815" s="1" t="s">
        <v>2454</v>
      </c>
      <c r="C815" s="1" t="s">
        <v>2455</v>
      </c>
      <c r="D815" s="1" t="s">
        <v>2456</v>
      </c>
      <c r="G815" s="1">
        <v>1</v>
      </c>
      <c r="H815" s="7">
        <v>45560</v>
      </c>
      <c r="I815" s="1" t="s">
        <v>7455</v>
      </c>
      <c r="J815" s="7">
        <v>45560</v>
      </c>
      <c r="K815" s="1" t="s">
        <v>7455</v>
      </c>
    </row>
    <row r="816" spans="1:11" x14ac:dyDescent="0.3">
      <c r="A816" s="1">
        <v>815</v>
      </c>
      <c r="B816" s="1" t="s">
        <v>2457</v>
      </c>
      <c r="C816" s="1" t="s">
        <v>2458</v>
      </c>
      <c r="F816" s="1" t="s">
        <v>2459</v>
      </c>
      <c r="G816" s="1">
        <v>1</v>
      </c>
      <c r="H816" s="7">
        <v>45560</v>
      </c>
      <c r="I816" s="1" t="s">
        <v>7455</v>
      </c>
      <c r="J816" s="7">
        <v>45560</v>
      </c>
      <c r="K816" s="1" t="s">
        <v>7455</v>
      </c>
    </row>
    <row r="817" spans="1:11" x14ac:dyDescent="0.3">
      <c r="A817" s="1">
        <v>816</v>
      </c>
      <c r="B817" s="1" t="s">
        <v>2460</v>
      </c>
      <c r="C817" s="1" t="s">
        <v>2461</v>
      </c>
      <c r="F817" s="1" t="s">
        <v>2462</v>
      </c>
      <c r="G817" s="1">
        <v>1</v>
      </c>
      <c r="H817" s="7">
        <v>45560</v>
      </c>
      <c r="I817" s="1" t="s">
        <v>7455</v>
      </c>
      <c r="J817" s="7">
        <v>45560</v>
      </c>
      <c r="K817" s="1" t="s">
        <v>7455</v>
      </c>
    </row>
    <row r="818" spans="1:11" x14ac:dyDescent="0.3">
      <c r="A818" s="1">
        <v>817</v>
      </c>
      <c r="B818" s="1" t="s">
        <v>2463</v>
      </c>
      <c r="C818" s="1" t="s">
        <v>2464</v>
      </c>
      <c r="F818" s="1" t="s">
        <v>2465</v>
      </c>
      <c r="G818" s="1">
        <v>1</v>
      </c>
      <c r="H818" s="7">
        <v>45560</v>
      </c>
      <c r="I818" s="1" t="s">
        <v>7455</v>
      </c>
      <c r="J818" s="7">
        <v>45560</v>
      </c>
      <c r="K818" s="1" t="s">
        <v>7455</v>
      </c>
    </row>
    <row r="819" spans="1:11" x14ac:dyDescent="0.3">
      <c r="A819" s="1">
        <v>818</v>
      </c>
      <c r="B819" s="1" t="s">
        <v>2466</v>
      </c>
      <c r="C819" s="1" t="s">
        <v>2467</v>
      </c>
      <c r="F819" s="1" t="s">
        <v>2468</v>
      </c>
      <c r="G819" s="1">
        <v>1</v>
      </c>
      <c r="H819" s="7">
        <v>45560</v>
      </c>
      <c r="I819" s="1" t="s">
        <v>7455</v>
      </c>
      <c r="J819" s="7">
        <v>45560</v>
      </c>
      <c r="K819" s="1" t="s">
        <v>7455</v>
      </c>
    </row>
    <row r="820" spans="1:11" x14ac:dyDescent="0.3">
      <c r="A820" s="1">
        <v>819</v>
      </c>
      <c r="B820" s="1" t="s">
        <v>2469</v>
      </c>
      <c r="C820" s="1" t="s">
        <v>2470</v>
      </c>
      <c r="F820" s="1" t="s">
        <v>2471</v>
      </c>
      <c r="G820" s="1">
        <v>1</v>
      </c>
      <c r="H820" s="7">
        <v>45560</v>
      </c>
      <c r="I820" s="1" t="s">
        <v>7455</v>
      </c>
      <c r="J820" s="7">
        <v>45560</v>
      </c>
      <c r="K820" s="1" t="s">
        <v>7455</v>
      </c>
    </row>
    <row r="821" spans="1:11" x14ac:dyDescent="0.3">
      <c r="A821" s="1">
        <v>820</v>
      </c>
      <c r="B821" s="1" t="s">
        <v>2472</v>
      </c>
      <c r="C821" s="1" t="s">
        <v>2473</v>
      </c>
      <c r="F821" s="1" t="s">
        <v>2474</v>
      </c>
      <c r="G821" s="1">
        <v>1</v>
      </c>
      <c r="H821" s="7">
        <v>45560</v>
      </c>
      <c r="I821" s="1" t="s">
        <v>7455</v>
      </c>
      <c r="J821" s="7">
        <v>45560</v>
      </c>
      <c r="K821" s="1" t="s">
        <v>7455</v>
      </c>
    </row>
    <row r="822" spans="1:11" x14ac:dyDescent="0.3">
      <c r="A822" s="1">
        <v>821</v>
      </c>
      <c r="B822" s="1" t="s">
        <v>2475</v>
      </c>
      <c r="C822" s="1" t="s">
        <v>2476</v>
      </c>
      <c r="F822" s="1" t="s">
        <v>2477</v>
      </c>
      <c r="G822" s="1">
        <v>1</v>
      </c>
      <c r="H822" s="7">
        <v>45560</v>
      </c>
      <c r="I822" s="1" t="s">
        <v>7455</v>
      </c>
      <c r="J822" s="7">
        <v>45560</v>
      </c>
      <c r="K822" s="1" t="s">
        <v>7455</v>
      </c>
    </row>
    <row r="823" spans="1:11" x14ac:dyDescent="0.3">
      <c r="A823" s="1">
        <v>822</v>
      </c>
      <c r="B823" s="1" t="s">
        <v>2478</v>
      </c>
      <c r="C823" s="1" t="s">
        <v>2479</v>
      </c>
      <c r="F823" s="1" t="s">
        <v>2480</v>
      </c>
      <c r="G823" s="1">
        <v>1</v>
      </c>
      <c r="H823" s="7">
        <v>45560</v>
      </c>
      <c r="I823" s="1" t="s">
        <v>7455</v>
      </c>
      <c r="J823" s="7">
        <v>45560</v>
      </c>
      <c r="K823" s="1" t="s">
        <v>7455</v>
      </c>
    </row>
    <row r="824" spans="1:11" x14ac:dyDescent="0.3">
      <c r="A824" s="1">
        <v>823</v>
      </c>
      <c r="B824" s="1" t="s">
        <v>2481</v>
      </c>
      <c r="C824" s="1" t="s">
        <v>2482</v>
      </c>
      <c r="F824" s="1" t="s">
        <v>2483</v>
      </c>
      <c r="G824" s="1">
        <v>1</v>
      </c>
      <c r="H824" s="7">
        <v>45560</v>
      </c>
      <c r="I824" s="1" t="s">
        <v>7455</v>
      </c>
      <c r="J824" s="7">
        <v>45560</v>
      </c>
      <c r="K824" s="1" t="s">
        <v>7455</v>
      </c>
    </row>
    <row r="825" spans="1:11" x14ac:dyDescent="0.3">
      <c r="A825" s="1">
        <v>824</v>
      </c>
      <c r="B825" s="1" t="s">
        <v>2484</v>
      </c>
      <c r="C825" s="1" t="s">
        <v>2485</v>
      </c>
      <c r="E825" s="1" t="s">
        <v>52</v>
      </c>
      <c r="G825" s="1">
        <v>1</v>
      </c>
      <c r="H825" s="7">
        <v>45560</v>
      </c>
      <c r="I825" s="1" t="s">
        <v>7455</v>
      </c>
      <c r="J825" s="7">
        <v>45560</v>
      </c>
      <c r="K825" s="1" t="s">
        <v>7455</v>
      </c>
    </row>
    <row r="826" spans="1:11" x14ac:dyDescent="0.3">
      <c r="A826" s="1">
        <v>825</v>
      </c>
      <c r="B826" s="1" t="s">
        <v>2486</v>
      </c>
      <c r="C826" s="1" t="s">
        <v>2487</v>
      </c>
      <c r="F826" s="1" t="s">
        <v>2488</v>
      </c>
      <c r="G826" s="1">
        <v>1</v>
      </c>
      <c r="H826" s="7">
        <v>45560</v>
      </c>
      <c r="I826" s="1" t="s">
        <v>7455</v>
      </c>
      <c r="J826" s="7">
        <v>45560</v>
      </c>
      <c r="K826" s="1" t="s">
        <v>7455</v>
      </c>
    </row>
    <row r="827" spans="1:11" x14ac:dyDescent="0.3">
      <c r="A827" s="1">
        <v>826</v>
      </c>
      <c r="B827" s="1" t="s">
        <v>2489</v>
      </c>
      <c r="C827" s="1" t="s">
        <v>2490</v>
      </c>
      <c r="F827" s="1" t="s">
        <v>2491</v>
      </c>
      <c r="G827" s="1">
        <v>1</v>
      </c>
      <c r="H827" s="7">
        <v>45560</v>
      </c>
      <c r="I827" s="1" t="s">
        <v>7455</v>
      </c>
      <c r="J827" s="7">
        <v>45560</v>
      </c>
      <c r="K827" s="1" t="s">
        <v>7455</v>
      </c>
    </row>
    <row r="828" spans="1:11" x14ac:dyDescent="0.3">
      <c r="A828" s="1">
        <v>827</v>
      </c>
      <c r="B828" s="1" t="s">
        <v>2492</v>
      </c>
      <c r="C828" s="1" t="s">
        <v>2493</v>
      </c>
      <c r="F828" s="1" t="s">
        <v>2494</v>
      </c>
      <c r="G828" s="1">
        <v>1</v>
      </c>
      <c r="H828" s="7">
        <v>45560</v>
      </c>
      <c r="I828" s="1" t="s">
        <v>7455</v>
      </c>
      <c r="J828" s="7">
        <v>45560</v>
      </c>
      <c r="K828" s="1" t="s">
        <v>7455</v>
      </c>
    </row>
    <row r="829" spans="1:11" x14ac:dyDescent="0.3">
      <c r="A829" s="1">
        <v>828</v>
      </c>
      <c r="B829" s="1" t="s">
        <v>2495</v>
      </c>
      <c r="C829" s="1" t="s">
        <v>2496</v>
      </c>
      <c r="F829" s="1" t="s">
        <v>2497</v>
      </c>
      <c r="G829" s="1">
        <v>1</v>
      </c>
      <c r="H829" s="7">
        <v>45560</v>
      </c>
      <c r="I829" s="1" t="s">
        <v>7455</v>
      </c>
      <c r="J829" s="7">
        <v>45560</v>
      </c>
      <c r="K829" s="1" t="s">
        <v>7455</v>
      </c>
    </row>
    <row r="830" spans="1:11" x14ac:dyDescent="0.3">
      <c r="A830" s="1">
        <v>829</v>
      </c>
      <c r="B830" s="1" t="s">
        <v>2498</v>
      </c>
      <c r="C830" s="1" t="s">
        <v>2499</v>
      </c>
      <c r="F830" s="1" t="s">
        <v>2500</v>
      </c>
      <c r="G830" s="1">
        <v>1</v>
      </c>
      <c r="H830" s="7">
        <v>45560</v>
      </c>
      <c r="I830" s="1" t="s">
        <v>7455</v>
      </c>
      <c r="J830" s="7">
        <v>45560</v>
      </c>
      <c r="K830" s="1" t="s">
        <v>7455</v>
      </c>
    </row>
    <row r="831" spans="1:11" x14ac:dyDescent="0.3">
      <c r="A831" s="1">
        <v>830</v>
      </c>
      <c r="B831" s="1" t="s">
        <v>2501</v>
      </c>
      <c r="C831" s="1" t="s">
        <v>2502</v>
      </c>
      <c r="F831" s="1" t="s">
        <v>2503</v>
      </c>
      <c r="G831" s="1">
        <v>1</v>
      </c>
      <c r="H831" s="7">
        <v>45560</v>
      </c>
      <c r="I831" s="1" t="s">
        <v>7455</v>
      </c>
      <c r="J831" s="7">
        <v>45560</v>
      </c>
      <c r="K831" s="1" t="s">
        <v>7455</v>
      </c>
    </row>
    <row r="832" spans="1:11" x14ac:dyDescent="0.3">
      <c r="A832" s="1">
        <v>831</v>
      </c>
      <c r="B832" s="1" t="s">
        <v>2504</v>
      </c>
      <c r="C832" s="1" t="s">
        <v>2505</v>
      </c>
      <c r="F832" s="1" t="s">
        <v>2506</v>
      </c>
      <c r="G832" s="1">
        <v>1</v>
      </c>
      <c r="H832" s="7">
        <v>45560</v>
      </c>
      <c r="I832" s="1" t="s">
        <v>7455</v>
      </c>
      <c r="J832" s="7">
        <v>45560</v>
      </c>
      <c r="K832" s="1" t="s">
        <v>7455</v>
      </c>
    </row>
    <row r="833" spans="1:11" x14ac:dyDescent="0.3">
      <c r="A833" s="1">
        <v>832</v>
      </c>
      <c r="B833" s="1" t="s">
        <v>2507</v>
      </c>
      <c r="C833" s="1" t="s">
        <v>2508</v>
      </c>
      <c r="F833" s="1" t="s">
        <v>2509</v>
      </c>
      <c r="G833" s="1">
        <v>1</v>
      </c>
      <c r="H833" s="7">
        <v>45560</v>
      </c>
      <c r="I833" s="1" t="s">
        <v>7455</v>
      </c>
      <c r="J833" s="7">
        <v>45560</v>
      </c>
      <c r="K833" s="1" t="s">
        <v>7455</v>
      </c>
    </row>
    <row r="834" spans="1:11" x14ac:dyDescent="0.3">
      <c r="A834" s="1">
        <v>833</v>
      </c>
      <c r="B834" s="1" t="s">
        <v>2510</v>
      </c>
      <c r="C834" s="1" t="s">
        <v>2511</v>
      </c>
      <c r="F834" s="1" t="s">
        <v>2512</v>
      </c>
      <c r="G834" s="1">
        <v>1</v>
      </c>
      <c r="H834" s="7">
        <v>45560</v>
      </c>
      <c r="I834" s="1" t="s">
        <v>7455</v>
      </c>
      <c r="J834" s="7">
        <v>45560</v>
      </c>
      <c r="K834" s="1" t="s">
        <v>7455</v>
      </c>
    </row>
    <row r="835" spans="1:11" x14ac:dyDescent="0.3">
      <c r="A835" s="1">
        <v>834</v>
      </c>
      <c r="B835" s="1" t="s">
        <v>2513</v>
      </c>
      <c r="C835" s="1" t="s">
        <v>2514</v>
      </c>
      <c r="F835" s="1" t="s">
        <v>2515</v>
      </c>
      <c r="G835" s="1">
        <v>1</v>
      </c>
      <c r="H835" s="7">
        <v>45560</v>
      </c>
      <c r="I835" s="1" t="s">
        <v>7455</v>
      </c>
      <c r="J835" s="7">
        <v>45560</v>
      </c>
      <c r="K835" s="1" t="s">
        <v>7455</v>
      </c>
    </row>
    <row r="836" spans="1:11" x14ac:dyDescent="0.3">
      <c r="A836" s="1">
        <v>835</v>
      </c>
      <c r="B836" s="1" t="s">
        <v>2516</v>
      </c>
      <c r="C836" s="1" t="s">
        <v>2517</v>
      </c>
      <c r="D836" s="1" t="s">
        <v>494</v>
      </c>
      <c r="F836" s="1" t="s">
        <v>2518</v>
      </c>
      <c r="G836" s="1">
        <v>1</v>
      </c>
      <c r="H836" s="7">
        <v>45560</v>
      </c>
      <c r="I836" s="1" t="s">
        <v>7455</v>
      </c>
      <c r="J836" s="7">
        <v>45560</v>
      </c>
      <c r="K836" s="1" t="s">
        <v>7455</v>
      </c>
    </row>
    <row r="837" spans="1:11" x14ac:dyDescent="0.3">
      <c r="A837" s="1">
        <v>836</v>
      </c>
      <c r="B837" s="1" t="s">
        <v>2519</v>
      </c>
      <c r="C837" s="1" t="s">
        <v>2520</v>
      </c>
      <c r="D837" s="1" t="s">
        <v>2521</v>
      </c>
      <c r="F837" s="1" t="s">
        <v>2522</v>
      </c>
      <c r="G837" s="1">
        <v>1</v>
      </c>
      <c r="H837" s="7">
        <v>45560</v>
      </c>
      <c r="I837" s="1" t="s">
        <v>7455</v>
      </c>
      <c r="J837" s="7">
        <v>45560</v>
      </c>
      <c r="K837" s="1" t="s">
        <v>7455</v>
      </c>
    </row>
    <row r="838" spans="1:11" x14ac:dyDescent="0.3">
      <c r="A838" s="1">
        <v>837</v>
      </c>
      <c r="B838" s="1" t="s">
        <v>2523</v>
      </c>
      <c r="C838" s="1" t="s">
        <v>2524</v>
      </c>
      <c r="E838" s="1" t="s">
        <v>52</v>
      </c>
      <c r="G838" s="1">
        <v>1</v>
      </c>
      <c r="H838" s="7">
        <v>45560</v>
      </c>
      <c r="I838" s="1" t="s">
        <v>7455</v>
      </c>
      <c r="J838" s="7">
        <v>45560</v>
      </c>
      <c r="K838" s="1" t="s">
        <v>7455</v>
      </c>
    </row>
    <row r="839" spans="1:11" x14ac:dyDescent="0.3">
      <c r="A839" s="1">
        <v>838</v>
      </c>
      <c r="B839" s="1" t="s">
        <v>2525</v>
      </c>
      <c r="C839" s="1" t="s">
        <v>2526</v>
      </c>
      <c r="D839" s="1" t="s">
        <v>2527</v>
      </c>
      <c r="G839" s="1">
        <v>1</v>
      </c>
      <c r="H839" s="7">
        <v>45560</v>
      </c>
      <c r="I839" s="1" t="s">
        <v>7455</v>
      </c>
      <c r="J839" s="7">
        <v>45560</v>
      </c>
      <c r="K839" s="1" t="s">
        <v>7455</v>
      </c>
    </row>
    <row r="840" spans="1:11" x14ac:dyDescent="0.3">
      <c r="A840" s="1">
        <v>839</v>
      </c>
      <c r="B840" s="1" t="s">
        <v>2528</v>
      </c>
      <c r="C840" s="1" t="s">
        <v>2529</v>
      </c>
      <c r="D840" s="1" t="s">
        <v>2530</v>
      </c>
      <c r="F840" s="1" t="s">
        <v>2531</v>
      </c>
      <c r="G840" s="1">
        <v>1</v>
      </c>
      <c r="H840" s="7">
        <v>45560</v>
      </c>
      <c r="I840" s="1" t="s">
        <v>7455</v>
      </c>
      <c r="J840" s="7">
        <v>45560</v>
      </c>
      <c r="K840" s="1" t="s">
        <v>7455</v>
      </c>
    </row>
    <row r="841" spans="1:11" x14ac:dyDescent="0.3">
      <c r="A841" s="1">
        <v>840</v>
      </c>
      <c r="B841" s="1" t="s">
        <v>2532</v>
      </c>
      <c r="C841" s="1" t="s">
        <v>2533</v>
      </c>
      <c r="E841" s="1" t="s">
        <v>52</v>
      </c>
      <c r="G841" s="1">
        <v>1</v>
      </c>
      <c r="H841" s="7">
        <v>45560</v>
      </c>
      <c r="I841" s="1" t="s">
        <v>7455</v>
      </c>
      <c r="J841" s="7">
        <v>45560</v>
      </c>
      <c r="K841" s="1" t="s">
        <v>7455</v>
      </c>
    </row>
    <row r="842" spans="1:11" x14ac:dyDescent="0.3">
      <c r="A842" s="1">
        <v>841</v>
      </c>
      <c r="B842" s="1" t="s">
        <v>2534</v>
      </c>
      <c r="C842" s="1" t="s">
        <v>2535</v>
      </c>
      <c r="E842" s="1" t="s">
        <v>52</v>
      </c>
      <c r="G842" s="1">
        <v>1</v>
      </c>
      <c r="H842" s="7">
        <v>45560</v>
      </c>
      <c r="I842" s="1" t="s">
        <v>7455</v>
      </c>
      <c r="J842" s="7">
        <v>45560</v>
      </c>
      <c r="K842" s="1" t="s">
        <v>7455</v>
      </c>
    </row>
    <row r="843" spans="1:11" x14ac:dyDescent="0.3">
      <c r="A843" s="1">
        <v>842</v>
      </c>
      <c r="B843" s="1" t="s">
        <v>2536</v>
      </c>
      <c r="C843" s="1" t="s">
        <v>2537</v>
      </c>
      <c r="D843" s="1" t="s">
        <v>2538</v>
      </c>
      <c r="G843" s="1">
        <v>1</v>
      </c>
      <c r="H843" s="7">
        <v>45560</v>
      </c>
      <c r="I843" s="1" t="s">
        <v>7455</v>
      </c>
      <c r="J843" s="7">
        <v>45560</v>
      </c>
      <c r="K843" s="1" t="s">
        <v>7455</v>
      </c>
    </row>
    <row r="844" spans="1:11" x14ac:dyDescent="0.3">
      <c r="A844" s="1">
        <v>843</v>
      </c>
      <c r="B844" s="1" t="s">
        <v>2539</v>
      </c>
      <c r="C844" s="1" t="s">
        <v>2540</v>
      </c>
      <c r="E844" s="1" t="s">
        <v>52</v>
      </c>
      <c r="G844" s="1">
        <v>1</v>
      </c>
      <c r="H844" s="7">
        <v>45560</v>
      </c>
      <c r="I844" s="1" t="s">
        <v>7455</v>
      </c>
      <c r="J844" s="7">
        <v>45560</v>
      </c>
      <c r="K844" s="1" t="s">
        <v>7455</v>
      </c>
    </row>
    <row r="845" spans="1:11" x14ac:dyDescent="0.3">
      <c r="A845" s="1">
        <v>844</v>
      </c>
      <c r="B845" s="1" t="s">
        <v>2541</v>
      </c>
      <c r="C845" s="1" t="s">
        <v>2542</v>
      </c>
      <c r="F845" s="1" t="s">
        <v>2543</v>
      </c>
      <c r="G845" s="1">
        <v>1</v>
      </c>
      <c r="H845" s="7">
        <v>45560</v>
      </c>
      <c r="I845" s="1" t="s">
        <v>7455</v>
      </c>
      <c r="J845" s="7">
        <v>45560</v>
      </c>
      <c r="K845" s="1" t="s">
        <v>7455</v>
      </c>
    </row>
    <row r="846" spans="1:11" x14ac:dyDescent="0.3">
      <c r="A846" s="1">
        <v>845</v>
      </c>
      <c r="B846" s="1" t="s">
        <v>2544</v>
      </c>
      <c r="C846" s="1" t="s">
        <v>2545</v>
      </c>
      <c r="D846" s="1" t="s">
        <v>2546</v>
      </c>
      <c r="F846" s="1" t="s">
        <v>2544</v>
      </c>
      <c r="G846" s="1">
        <v>1</v>
      </c>
      <c r="H846" s="7">
        <v>45560</v>
      </c>
      <c r="I846" s="1" t="s">
        <v>7455</v>
      </c>
      <c r="J846" s="7">
        <v>45560</v>
      </c>
      <c r="K846" s="1" t="s">
        <v>7455</v>
      </c>
    </row>
    <row r="847" spans="1:11" x14ac:dyDescent="0.3">
      <c r="A847" s="1">
        <v>846</v>
      </c>
      <c r="B847" s="1" t="s">
        <v>2547</v>
      </c>
      <c r="C847" s="1" t="s">
        <v>2548</v>
      </c>
      <c r="D847" s="1" t="s">
        <v>2549</v>
      </c>
      <c r="G847" s="1">
        <v>1</v>
      </c>
      <c r="H847" s="7">
        <v>45560</v>
      </c>
      <c r="I847" s="1" t="s">
        <v>7455</v>
      </c>
      <c r="J847" s="7">
        <v>45560</v>
      </c>
      <c r="K847" s="1" t="s">
        <v>7455</v>
      </c>
    </row>
    <row r="848" spans="1:11" x14ac:dyDescent="0.3">
      <c r="A848" s="1">
        <v>847</v>
      </c>
      <c r="B848" s="1" t="s">
        <v>2550</v>
      </c>
      <c r="C848" s="1" t="s">
        <v>2551</v>
      </c>
      <c r="E848" s="1" t="s">
        <v>52</v>
      </c>
      <c r="F848" s="1" t="s">
        <v>2552</v>
      </c>
      <c r="G848" s="1">
        <v>1</v>
      </c>
      <c r="H848" s="7">
        <v>45560</v>
      </c>
      <c r="I848" s="1" t="s">
        <v>7455</v>
      </c>
      <c r="J848" s="7">
        <v>45560</v>
      </c>
      <c r="K848" s="1" t="s">
        <v>7455</v>
      </c>
    </row>
    <row r="849" spans="1:11" x14ac:dyDescent="0.3">
      <c r="A849" s="1">
        <v>848</v>
      </c>
      <c r="B849" s="1" t="s">
        <v>2553</v>
      </c>
      <c r="C849" s="1" t="s">
        <v>2554</v>
      </c>
      <c r="D849" s="1" t="s">
        <v>2555</v>
      </c>
      <c r="F849" s="1" t="s">
        <v>2556</v>
      </c>
      <c r="G849" s="1">
        <v>1</v>
      </c>
      <c r="H849" s="7">
        <v>45560</v>
      </c>
      <c r="I849" s="1" t="s">
        <v>7455</v>
      </c>
      <c r="J849" s="7">
        <v>45560</v>
      </c>
      <c r="K849" s="1" t="s">
        <v>7455</v>
      </c>
    </row>
    <row r="850" spans="1:11" x14ac:dyDescent="0.3">
      <c r="A850" s="1">
        <v>849</v>
      </c>
      <c r="B850" s="1" t="s">
        <v>2557</v>
      </c>
      <c r="C850" s="1" t="s">
        <v>2558</v>
      </c>
      <c r="F850" s="1" t="s">
        <v>2559</v>
      </c>
      <c r="G850" s="1">
        <v>1</v>
      </c>
      <c r="H850" s="7">
        <v>45560</v>
      </c>
      <c r="I850" s="1" t="s">
        <v>7455</v>
      </c>
      <c r="J850" s="7">
        <v>45560</v>
      </c>
      <c r="K850" s="1" t="s">
        <v>7455</v>
      </c>
    </row>
    <row r="851" spans="1:11" x14ac:dyDescent="0.3">
      <c r="A851" s="1">
        <v>850</v>
      </c>
      <c r="B851" s="1" t="s">
        <v>2560</v>
      </c>
      <c r="C851" s="1" t="s">
        <v>2561</v>
      </c>
      <c r="F851" s="1" t="s">
        <v>2562</v>
      </c>
      <c r="G851" s="1">
        <v>1</v>
      </c>
      <c r="H851" s="7">
        <v>45560</v>
      </c>
      <c r="I851" s="1" t="s">
        <v>7455</v>
      </c>
      <c r="J851" s="7">
        <v>45560</v>
      </c>
      <c r="K851" s="1" t="s">
        <v>7455</v>
      </c>
    </row>
    <row r="852" spans="1:11" x14ac:dyDescent="0.3">
      <c r="A852" s="1">
        <v>851</v>
      </c>
      <c r="B852" s="1" t="s">
        <v>2563</v>
      </c>
      <c r="C852" s="1" t="s">
        <v>2564</v>
      </c>
      <c r="F852" s="1" t="s">
        <v>2565</v>
      </c>
      <c r="G852" s="1">
        <v>1</v>
      </c>
      <c r="H852" s="7">
        <v>45560</v>
      </c>
      <c r="I852" s="1" t="s">
        <v>7455</v>
      </c>
      <c r="J852" s="7">
        <v>45560</v>
      </c>
      <c r="K852" s="1" t="s">
        <v>7455</v>
      </c>
    </row>
    <row r="853" spans="1:11" x14ac:dyDescent="0.3">
      <c r="A853" s="1">
        <v>852</v>
      </c>
      <c r="B853" s="1" t="s">
        <v>2566</v>
      </c>
      <c r="C853" s="1" t="s">
        <v>2567</v>
      </c>
      <c r="D853" s="1" t="s">
        <v>2568</v>
      </c>
      <c r="F853" s="1" t="s">
        <v>2569</v>
      </c>
      <c r="G853" s="1">
        <v>1</v>
      </c>
      <c r="H853" s="7">
        <v>45560</v>
      </c>
      <c r="I853" s="1" t="s">
        <v>7455</v>
      </c>
      <c r="J853" s="7">
        <v>45560</v>
      </c>
      <c r="K853" s="1" t="s">
        <v>7455</v>
      </c>
    </row>
    <row r="854" spans="1:11" x14ac:dyDescent="0.3">
      <c r="A854" s="1">
        <v>853</v>
      </c>
      <c r="B854" s="1" t="s">
        <v>2570</v>
      </c>
      <c r="C854" s="1" t="s">
        <v>2571</v>
      </c>
      <c r="F854" s="1" t="s">
        <v>2572</v>
      </c>
      <c r="G854" s="1">
        <v>1</v>
      </c>
      <c r="H854" s="7">
        <v>45560</v>
      </c>
      <c r="I854" s="1" t="s">
        <v>7455</v>
      </c>
      <c r="J854" s="7">
        <v>45560</v>
      </c>
      <c r="K854" s="1" t="s">
        <v>7455</v>
      </c>
    </row>
    <row r="855" spans="1:11" x14ac:dyDescent="0.3">
      <c r="A855" s="1">
        <v>854</v>
      </c>
      <c r="B855" s="1" t="s">
        <v>2573</v>
      </c>
      <c r="C855" s="1" t="s">
        <v>2574</v>
      </c>
      <c r="F855" s="1" t="s">
        <v>2575</v>
      </c>
      <c r="G855" s="1">
        <v>1</v>
      </c>
      <c r="H855" s="7">
        <v>45560</v>
      </c>
      <c r="I855" s="1" t="s">
        <v>7455</v>
      </c>
      <c r="J855" s="7">
        <v>45560</v>
      </c>
      <c r="K855" s="1" t="s">
        <v>7455</v>
      </c>
    </row>
    <row r="856" spans="1:11" x14ac:dyDescent="0.3">
      <c r="A856" s="1">
        <v>855</v>
      </c>
      <c r="B856" s="1" t="s">
        <v>2576</v>
      </c>
      <c r="C856" s="1" t="s">
        <v>2577</v>
      </c>
      <c r="F856" s="1" t="s">
        <v>2578</v>
      </c>
      <c r="G856" s="1">
        <v>1</v>
      </c>
      <c r="H856" s="7">
        <v>45560</v>
      </c>
      <c r="I856" s="1" t="s">
        <v>7455</v>
      </c>
      <c r="J856" s="7">
        <v>45560</v>
      </c>
      <c r="K856" s="1" t="s">
        <v>7455</v>
      </c>
    </row>
    <row r="857" spans="1:11" x14ac:dyDescent="0.3">
      <c r="A857" s="1">
        <v>856</v>
      </c>
      <c r="B857" s="1" t="s">
        <v>2579</v>
      </c>
      <c r="C857" s="1" t="s">
        <v>2580</v>
      </c>
      <c r="F857" s="1" t="s">
        <v>2581</v>
      </c>
      <c r="G857" s="1">
        <v>1</v>
      </c>
      <c r="H857" s="7">
        <v>45560</v>
      </c>
      <c r="I857" s="1" t="s">
        <v>7455</v>
      </c>
      <c r="J857" s="7">
        <v>45560</v>
      </c>
      <c r="K857" s="1" t="s">
        <v>7455</v>
      </c>
    </row>
    <row r="858" spans="1:11" x14ac:dyDescent="0.3">
      <c r="A858" s="1">
        <v>857</v>
      </c>
      <c r="B858" s="1" t="s">
        <v>2582</v>
      </c>
      <c r="C858" s="1" t="s">
        <v>2583</v>
      </c>
      <c r="F858" s="1" t="s">
        <v>2584</v>
      </c>
      <c r="G858" s="1">
        <v>1</v>
      </c>
      <c r="H858" s="7">
        <v>45560</v>
      </c>
      <c r="I858" s="1" t="s">
        <v>7455</v>
      </c>
      <c r="J858" s="7">
        <v>45560</v>
      </c>
      <c r="K858" s="1" t="s">
        <v>7455</v>
      </c>
    </row>
    <row r="859" spans="1:11" x14ac:dyDescent="0.3">
      <c r="A859" s="1">
        <v>858</v>
      </c>
      <c r="B859" s="1" t="s">
        <v>2585</v>
      </c>
      <c r="C859" s="1" t="s">
        <v>2586</v>
      </c>
      <c r="F859" s="1" t="s">
        <v>2587</v>
      </c>
      <c r="G859" s="1">
        <v>1</v>
      </c>
      <c r="H859" s="7">
        <v>45560</v>
      </c>
      <c r="I859" s="1" t="s">
        <v>7455</v>
      </c>
      <c r="J859" s="7">
        <v>45560</v>
      </c>
      <c r="K859" s="1" t="s">
        <v>7455</v>
      </c>
    </row>
    <row r="860" spans="1:11" x14ac:dyDescent="0.3">
      <c r="A860" s="1">
        <v>859</v>
      </c>
      <c r="B860" s="1" t="s">
        <v>2588</v>
      </c>
      <c r="C860" s="1" t="s">
        <v>2589</v>
      </c>
      <c r="F860" s="1" t="s">
        <v>2590</v>
      </c>
      <c r="G860" s="1">
        <v>1</v>
      </c>
      <c r="H860" s="7">
        <v>45560</v>
      </c>
      <c r="I860" s="1" t="s">
        <v>7455</v>
      </c>
      <c r="J860" s="7">
        <v>45560</v>
      </c>
      <c r="K860" s="1" t="s">
        <v>7455</v>
      </c>
    </row>
    <row r="861" spans="1:11" x14ac:dyDescent="0.3">
      <c r="A861" s="1">
        <v>860</v>
      </c>
      <c r="B861" s="1" t="s">
        <v>2591</v>
      </c>
      <c r="C861" s="1" t="s">
        <v>2592</v>
      </c>
      <c r="F861" s="1" t="s">
        <v>2593</v>
      </c>
      <c r="G861" s="1">
        <v>1</v>
      </c>
      <c r="H861" s="7">
        <v>45560</v>
      </c>
      <c r="I861" s="1" t="s">
        <v>7455</v>
      </c>
      <c r="J861" s="7">
        <v>45560</v>
      </c>
      <c r="K861" s="1" t="s">
        <v>7455</v>
      </c>
    </row>
    <row r="862" spans="1:11" x14ac:dyDescent="0.3">
      <c r="A862" s="1">
        <v>861</v>
      </c>
      <c r="B862" s="1" t="s">
        <v>2594</v>
      </c>
      <c r="C862" s="1" t="s">
        <v>2595</v>
      </c>
      <c r="F862" s="1" t="s">
        <v>2596</v>
      </c>
      <c r="G862" s="1">
        <v>1</v>
      </c>
      <c r="H862" s="7">
        <v>45560</v>
      </c>
      <c r="I862" s="1" t="s">
        <v>7455</v>
      </c>
      <c r="J862" s="7">
        <v>45560</v>
      </c>
      <c r="K862" s="1" t="s">
        <v>7455</v>
      </c>
    </row>
    <row r="863" spans="1:11" x14ac:dyDescent="0.3">
      <c r="A863" s="1">
        <v>862</v>
      </c>
      <c r="B863" s="1" t="s">
        <v>2597</v>
      </c>
      <c r="C863" s="1" t="s">
        <v>2598</v>
      </c>
      <c r="F863" s="1" t="s">
        <v>2599</v>
      </c>
      <c r="G863" s="1">
        <v>1</v>
      </c>
      <c r="H863" s="7">
        <v>45560</v>
      </c>
      <c r="I863" s="1" t="s">
        <v>7455</v>
      </c>
      <c r="J863" s="7">
        <v>45560</v>
      </c>
      <c r="K863" s="1" t="s">
        <v>7455</v>
      </c>
    </row>
    <row r="864" spans="1:11" x14ac:dyDescent="0.3">
      <c r="A864" s="1">
        <v>863</v>
      </c>
      <c r="B864" s="1" t="s">
        <v>2600</v>
      </c>
      <c r="C864" s="1" t="s">
        <v>2601</v>
      </c>
      <c r="F864" s="1" t="s">
        <v>2602</v>
      </c>
      <c r="G864" s="1">
        <v>1</v>
      </c>
      <c r="H864" s="7">
        <v>45560</v>
      </c>
      <c r="I864" s="1" t="s">
        <v>7455</v>
      </c>
      <c r="J864" s="7">
        <v>45560</v>
      </c>
      <c r="K864" s="1" t="s">
        <v>7455</v>
      </c>
    </row>
    <row r="865" spans="1:11" x14ac:dyDescent="0.3">
      <c r="A865" s="1">
        <v>864</v>
      </c>
      <c r="B865" s="1" t="s">
        <v>2603</v>
      </c>
      <c r="C865" s="1" t="s">
        <v>2604</v>
      </c>
      <c r="F865" s="1" t="s">
        <v>2605</v>
      </c>
      <c r="G865" s="1">
        <v>1</v>
      </c>
      <c r="H865" s="7">
        <v>45560</v>
      </c>
      <c r="I865" s="1" t="s">
        <v>7455</v>
      </c>
      <c r="J865" s="7">
        <v>45560</v>
      </c>
      <c r="K865" s="1" t="s">
        <v>7455</v>
      </c>
    </row>
    <row r="866" spans="1:11" x14ac:dyDescent="0.3">
      <c r="A866" s="1">
        <v>865</v>
      </c>
      <c r="B866" s="1" t="s">
        <v>2606</v>
      </c>
      <c r="C866" s="1" t="s">
        <v>2607</v>
      </c>
      <c r="F866" s="1" t="s">
        <v>2608</v>
      </c>
      <c r="G866" s="1">
        <v>1</v>
      </c>
      <c r="H866" s="7">
        <v>45560</v>
      </c>
      <c r="I866" s="1" t="s">
        <v>7455</v>
      </c>
      <c r="J866" s="7">
        <v>45560</v>
      </c>
      <c r="K866" s="1" t="s">
        <v>7455</v>
      </c>
    </row>
    <row r="867" spans="1:11" x14ac:dyDescent="0.3">
      <c r="A867" s="1">
        <v>866</v>
      </c>
      <c r="B867" s="1" t="s">
        <v>2609</v>
      </c>
      <c r="C867" s="1" t="s">
        <v>2610</v>
      </c>
      <c r="F867" s="1" t="s">
        <v>2611</v>
      </c>
      <c r="G867" s="1">
        <v>1</v>
      </c>
      <c r="H867" s="7">
        <v>45560</v>
      </c>
      <c r="I867" s="1" t="s">
        <v>7455</v>
      </c>
      <c r="J867" s="7">
        <v>45560</v>
      </c>
      <c r="K867" s="1" t="s">
        <v>7455</v>
      </c>
    </row>
    <row r="868" spans="1:11" x14ac:dyDescent="0.3">
      <c r="A868" s="1">
        <v>867</v>
      </c>
      <c r="B868" s="1" t="s">
        <v>2612</v>
      </c>
      <c r="C868" s="1" t="s">
        <v>2613</v>
      </c>
      <c r="F868" s="1" t="s">
        <v>2614</v>
      </c>
      <c r="G868" s="1">
        <v>1</v>
      </c>
      <c r="H868" s="7">
        <v>45560</v>
      </c>
      <c r="I868" s="1" t="s">
        <v>7455</v>
      </c>
      <c r="J868" s="7">
        <v>45560</v>
      </c>
      <c r="K868" s="1" t="s">
        <v>7455</v>
      </c>
    </row>
    <row r="869" spans="1:11" x14ac:dyDescent="0.3">
      <c r="A869" s="1">
        <v>868</v>
      </c>
      <c r="B869" s="1" t="s">
        <v>2615</v>
      </c>
      <c r="C869" s="1" t="s">
        <v>2616</v>
      </c>
      <c r="F869" s="1" t="s">
        <v>2617</v>
      </c>
      <c r="G869" s="1">
        <v>1</v>
      </c>
      <c r="H869" s="7">
        <v>45560</v>
      </c>
      <c r="I869" s="1" t="s">
        <v>7455</v>
      </c>
      <c r="J869" s="7">
        <v>45560</v>
      </c>
      <c r="K869" s="1" t="s">
        <v>7455</v>
      </c>
    </row>
    <row r="870" spans="1:11" x14ac:dyDescent="0.3">
      <c r="A870" s="1">
        <v>869</v>
      </c>
      <c r="B870" s="1" t="s">
        <v>2618</v>
      </c>
      <c r="C870" s="1" t="s">
        <v>2619</v>
      </c>
      <c r="F870" s="1" t="s">
        <v>2620</v>
      </c>
      <c r="G870" s="1">
        <v>1</v>
      </c>
      <c r="H870" s="7">
        <v>45560</v>
      </c>
      <c r="I870" s="1" t="s">
        <v>7455</v>
      </c>
      <c r="J870" s="7">
        <v>45560</v>
      </c>
      <c r="K870" s="1" t="s">
        <v>7455</v>
      </c>
    </row>
    <row r="871" spans="1:11" x14ac:dyDescent="0.3">
      <c r="A871" s="1">
        <v>870</v>
      </c>
      <c r="B871" s="1" t="s">
        <v>2621</v>
      </c>
      <c r="C871" s="1" t="s">
        <v>2622</v>
      </c>
      <c r="F871" s="1" t="s">
        <v>2623</v>
      </c>
      <c r="G871" s="1">
        <v>1</v>
      </c>
      <c r="H871" s="7">
        <v>45560</v>
      </c>
      <c r="I871" s="1" t="s">
        <v>7455</v>
      </c>
      <c r="J871" s="7">
        <v>45560</v>
      </c>
      <c r="K871" s="1" t="s">
        <v>7455</v>
      </c>
    </row>
    <row r="872" spans="1:11" x14ac:dyDescent="0.3">
      <c r="A872" s="1">
        <v>871</v>
      </c>
      <c r="B872" s="1" t="s">
        <v>2624</v>
      </c>
      <c r="C872" s="1" t="s">
        <v>2625</v>
      </c>
      <c r="F872" s="1" t="s">
        <v>2626</v>
      </c>
      <c r="G872" s="1">
        <v>1</v>
      </c>
      <c r="H872" s="7">
        <v>45560</v>
      </c>
      <c r="I872" s="1" t="s">
        <v>7455</v>
      </c>
      <c r="J872" s="7">
        <v>45560</v>
      </c>
      <c r="K872" s="1" t="s">
        <v>7455</v>
      </c>
    </row>
    <row r="873" spans="1:11" x14ac:dyDescent="0.3">
      <c r="A873" s="1">
        <v>872</v>
      </c>
      <c r="B873" s="1" t="s">
        <v>2627</v>
      </c>
      <c r="C873" s="1" t="s">
        <v>2628</v>
      </c>
      <c r="F873" s="1" t="s">
        <v>2629</v>
      </c>
      <c r="G873" s="1">
        <v>1</v>
      </c>
      <c r="H873" s="7">
        <v>45560</v>
      </c>
      <c r="I873" s="1" t="s">
        <v>7455</v>
      </c>
      <c r="J873" s="7">
        <v>45560</v>
      </c>
      <c r="K873" s="1" t="s">
        <v>7455</v>
      </c>
    </row>
    <row r="874" spans="1:11" x14ac:dyDescent="0.3">
      <c r="A874" s="1">
        <v>873</v>
      </c>
      <c r="B874" s="1" t="s">
        <v>2630</v>
      </c>
      <c r="C874" s="1" t="s">
        <v>2631</v>
      </c>
      <c r="D874" s="1" t="s">
        <v>2632</v>
      </c>
      <c r="F874" s="1" t="s">
        <v>2633</v>
      </c>
      <c r="G874" s="1">
        <v>1</v>
      </c>
      <c r="H874" s="7">
        <v>45560</v>
      </c>
      <c r="I874" s="1" t="s">
        <v>7455</v>
      </c>
      <c r="J874" s="7">
        <v>45560</v>
      </c>
      <c r="K874" s="1" t="s">
        <v>7455</v>
      </c>
    </row>
    <row r="875" spans="1:11" x14ac:dyDescent="0.3">
      <c r="A875" s="1">
        <v>874</v>
      </c>
      <c r="B875" s="1" t="s">
        <v>2634</v>
      </c>
      <c r="C875" s="1" t="s">
        <v>2635</v>
      </c>
      <c r="D875" s="1" t="s">
        <v>2636</v>
      </c>
      <c r="F875" s="1" t="s">
        <v>2637</v>
      </c>
      <c r="G875" s="1">
        <v>1</v>
      </c>
      <c r="H875" s="7">
        <v>45560</v>
      </c>
      <c r="I875" s="1" t="s">
        <v>7455</v>
      </c>
      <c r="J875" s="7">
        <v>45560</v>
      </c>
      <c r="K875" s="1" t="s">
        <v>7455</v>
      </c>
    </row>
    <row r="876" spans="1:11" x14ac:dyDescent="0.3">
      <c r="A876" s="1">
        <v>875</v>
      </c>
      <c r="B876" s="1" t="s">
        <v>2638</v>
      </c>
      <c r="C876" s="1" t="s">
        <v>2639</v>
      </c>
      <c r="D876" s="1" t="s">
        <v>2640</v>
      </c>
      <c r="F876" s="1" t="s">
        <v>2641</v>
      </c>
      <c r="G876" s="1">
        <v>1</v>
      </c>
      <c r="H876" s="7">
        <v>45560</v>
      </c>
      <c r="I876" s="1" t="s">
        <v>7455</v>
      </c>
      <c r="J876" s="7">
        <v>45560</v>
      </c>
      <c r="K876" s="1" t="s">
        <v>7455</v>
      </c>
    </row>
    <row r="877" spans="1:11" x14ac:dyDescent="0.3">
      <c r="A877" s="1">
        <v>876</v>
      </c>
      <c r="B877" s="1" t="s">
        <v>2642</v>
      </c>
      <c r="C877" s="1" t="s">
        <v>2643</v>
      </c>
      <c r="F877" s="1" t="s">
        <v>2644</v>
      </c>
      <c r="G877" s="1">
        <v>1</v>
      </c>
      <c r="H877" s="7">
        <v>45560</v>
      </c>
      <c r="I877" s="1" t="s">
        <v>7455</v>
      </c>
      <c r="J877" s="7">
        <v>45560</v>
      </c>
      <c r="K877" s="1" t="s">
        <v>7455</v>
      </c>
    </row>
    <row r="878" spans="1:11" x14ac:dyDescent="0.3">
      <c r="A878" s="1">
        <v>877</v>
      </c>
      <c r="B878" s="1" t="s">
        <v>2645</v>
      </c>
      <c r="C878" s="1" t="s">
        <v>2646</v>
      </c>
      <c r="F878" s="1" t="s">
        <v>2647</v>
      </c>
      <c r="G878" s="1">
        <v>1</v>
      </c>
      <c r="H878" s="7">
        <v>45560</v>
      </c>
      <c r="I878" s="1" t="s">
        <v>7455</v>
      </c>
      <c r="J878" s="7">
        <v>45560</v>
      </c>
      <c r="K878" s="1" t="s">
        <v>7455</v>
      </c>
    </row>
    <row r="879" spans="1:11" x14ac:dyDescent="0.3">
      <c r="A879" s="1">
        <v>878</v>
      </c>
      <c r="B879" s="1" t="s">
        <v>2648</v>
      </c>
      <c r="C879" s="1" t="s">
        <v>2649</v>
      </c>
      <c r="F879" s="1" t="s">
        <v>2650</v>
      </c>
      <c r="G879" s="1">
        <v>1</v>
      </c>
      <c r="H879" s="7">
        <v>45560</v>
      </c>
      <c r="I879" s="1" t="s">
        <v>7455</v>
      </c>
      <c r="J879" s="7">
        <v>45560</v>
      </c>
      <c r="K879" s="1" t="s">
        <v>7455</v>
      </c>
    </row>
    <row r="880" spans="1:11" x14ac:dyDescent="0.3">
      <c r="A880" s="1">
        <v>879</v>
      </c>
      <c r="B880" s="1" t="s">
        <v>2651</v>
      </c>
      <c r="C880" s="1" t="s">
        <v>2652</v>
      </c>
      <c r="F880" s="1" t="s">
        <v>2653</v>
      </c>
      <c r="G880" s="1">
        <v>1</v>
      </c>
      <c r="H880" s="7">
        <v>45560</v>
      </c>
      <c r="I880" s="1" t="s">
        <v>7455</v>
      </c>
      <c r="J880" s="7">
        <v>45560</v>
      </c>
      <c r="K880" s="1" t="s">
        <v>7455</v>
      </c>
    </row>
    <row r="881" spans="1:11" x14ac:dyDescent="0.3">
      <c r="A881" s="1">
        <v>880</v>
      </c>
      <c r="B881" s="1" t="s">
        <v>2654</v>
      </c>
      <c r="C881" s="1" t="s">
        <v>2655</v>
      </c>
      <c r="F881" s="1" t="s">
        <v>2656</v>
      </c>
      <c r="G881" s="1">
        <v>1</v>
      </c>
      <c r="H881" s="7">
        <v>45560</v>
      </c>
      <c r="I881" s="1" t="s">
        <v>7455</v>
      </c>
      <c r="J881" s="7">
        <v>45560</v>
      </c>
      <c r="K881" s="1" t="s">
        <v>7455</v>
      </c>
    </row>
    <row r="882" spans="1:11" x14ac:dyDescent="0.3">
      <c r="A882" s="1">
        <v>881</v>
      </c>
      <c r="B882" s="1" t="s">
        <v>2657</v>
      </c>
      <c r="C882" s="1" t="s">
        <v>2658</v>
      </c>
      <c r="F882" s="1" t="s">
        <v>2659</v>
      </c>
      <c r="G882" s="1">
        <v>1</v>
      </c>
      <c r="H882" s="7">
        <v>45560</v>
      </c>
      <c r="I882" s="1" t="s">
        <v>7455</v>
      </c>
      <c r="J882" s="7">
        <v>45560</v>
      </c>
      <c r="K882" s="1" t="s">
        <v>7455</v>
      </c>
    </row>
    <row r="883" spans="1:11" x14ac:dyDescent="0.3">
      <c r="A883" s="1">
        <v>882</v>
      </c>
      <c r="B883" s="1" t="s">
        <v>2660</v>
      </c>
      <c r="C883" s="1" t="s">
        <v>2661</v>
      </c>
      <c r="F883" s="1" t="s">
        <v>2662</v>
      </c>
      <c r="G883" s="1">
        <v>1</v>
      </c>
      <c r="H883" s="7">
        <v>45560</v>
      </c>
      <c r="I883" s="1" t="s">
        <v>7455</v>
      </c>
      <c r="J883" s="7">
        <v>45560</v>
      </c>
      <c r="K883" s="1" t="s">
        <v>7455</v>
      </c>
    </row>
    <row r="884" spans="1:11" x14ac:dyDescent="0.3">
      <c r="A884" s="1">
        <v>883</v>
      </c>
      <c r="B884" s="1" t="s">
        <v>2663</v>
      </c>
      <c r="C884" s="1" t="s">
        <v>2664</v>
      </c>
      <c r="F884" s="1" t="s">
        <v>2665</v>
      </c>
      <c r="G884" s="1">
        <v>1</v>
      </c>
      <c r="H884" s="7">
        <v>45560</v>
      </c>
      <c r="I884" s="1" t="s">
        <v>7455</v>
      </c>
      <c r="J884" s="7">
        <v>45560</v>
      </c>
      <c r="K884" s="1" t="s">
        <v>7455</v>
      </c>
    </row>
    <row r="885" spans="1:11" x14ac:dyDescent="0.3">
      <c r="A885" s="1">
        <v>884</v>
      </c>
      <c r="B885" s="1" t="s">
        <v>2666</v>
      </c>
      <c r="C885" s="1" t="s">
        <v>2667</v>
      </c>
      <c r="F885" s="1" t="s">
        <v>2668</v>
      </c>
      <c r="G885" s="1">
        <v>1</v>
      </c>
      <c r="H885" s="7">
        <v>45560</v>
      </c>
      <c r="I885" s="1" t="s">
        <v>7455</v>
      </c>
      <c r="J885" s="7">
        <v>45560</v>
      </c>
      <c r="K885" s="1" t="s">
        <v>7455</v>
      </c>
    </row>
    <row r="886" spans="1:11" x14ac:dyDescent="0.3">
      <c r="A886" s="1">
        <v>885</v>
      </c>
      <c r="B886" s="1" t="s">
        <v>2669</v>
      </c>
      <c r="C886" s="1" t="s">
        <v>2670</v>
      </c>
      <c r="F886" s="1" t="s">
        <v>2671</v>
      </c>
      <c r="G886" s="1">
        <v>1</v>
      </c>
      <c r="H886" s="7">
        <v>45560</v>
      </c>
      <c r="I886" s="1" t="s">
        <v>7455</v>
      </c>
      <c r="J886" s="7">
        <v>45560</v>
      </c>
      <c r="K886" s="1" t="s">
        <v>7455</v>
      </c>
    </row>
    <row r="887" spans="1:11" x14ac:dyDescent="0.3">
      <c r="A887" s="1">
        <v>886</v>
      </c>
      <c r="B887" s="1" t="s">
        <v>2672</v>
      </c>
      <c r="C887" s="1" t="s">
        <v>2673</v>
      </c>
      <c r="F887" s="1" t="s">
        <v>2674</v>
      </c>
      <c r="G887" s="1">
        <v>1</v>
      </c>
      <c r="H887" s="7">
        <v>45560</v>
      </c>
      <c r="I887" s="1" t="s">
        <v>7455</v>
      </c>
      <c r="J887" s="7">
        <v>45560</v>
      </c>
      <c r="K887" s="1" t="s">
        <v>7455</v>
      </c>
    </row>
    <row r="888" spans="1:11" x14ac:dyDescent="0.3">
      <c r="A888" s="1">
        <v>887</v>
      </c>
      <c r="B888" s="1" t="s">
        <v>2675</v>
      </c>
      <c r="C888" s="1" t="s">
        <v>2676</v>
      </c>
      <c r="F888" s="1" t="s">
        <v>2677</v>
      </c>
      <c r="G888" s="1">
        <v>1</v>
      </c>
      <c r="H888" s="7">
        <v>45560</v>
      </c>
      <c r="I888" s="1" t="s">
        <v>7455</v>
      </c>
      <c r="J888" s="7">
        <v>45560</v>
      </c>
      <c r="K888" s="1" t="s">
        <v>7455</v>
      </c>
    </row>
    <row r="889" spans="1:11" x14ac:dyDescent="0.3">
      <c r="A889" s="1">
        <v>888</v>
      </c>
      <c r="B889" s="1" t="s">
        <v>2678</v>
      </c>
      <c r="C889" s="1" t="s">
        <v>2679</v>
      </c>
      <c r="F889" s="1" t="s">
        <v>2680</v>
      </c>
      <c r="G889" s="1">
        <v>1</v>
      </c>
      <c r="H889" s="7">
        <v>45560</v>
      </c>
      <c r="I889" s="1" t="s">
        <v>7455</v>
      </c>
      <c r="J889" s="7">
        <v>45560</v>
      </c>
      <c r="K889" s="1" t="s">
        <v>7455</v>
      </c>
    </row>
    <row r="890" spans="1:11" x14ac:dyDescent="0.3">
      <c r="A890" s="1">
        <v>889</v>
      </c>
      <c r="B890" s="1" t="s">
        <v>2681</v>
      </c>
      <c r="C890" s="1" t="s">
        <v>2682</v>
      </c>
      <c r="F890" s="1" t="s">
        <v>2683</v>
      </c>
      <c r="G890" s="1">
        <v>1</v>
      </c>
      <c r="H890" s="7">
        <v>45560</v>
      </c>
      <c r="I890" s="1" t="s">
        <v>7455</v>
      </c>
      <c r="J890" s="7">
        <v>45560</v>
      </c>
      <c r="K890" s="1" t="s">
        <v>7455</v>
      </c>
    </row>
    <row r="891" spans="1:11" x14ac:dyDescent="0.3">
      <c r="A891" s="1">
        <v>890</v>
      </c>
      <c r="B891" s="1" t="s">
        <v>2684</v>
      </c>
      <c r="C891" s="1" t="s">
        <v>2685</v>
      </c>
      <c r="F891" s="1" t="s">
        <v>2686</v>
      </c>
      <c r="G891" s="1">
        <v>1</v>
      </c>
      <c r="H891" s="7">
        <v>45560</v>
      </c>
      <c r="I891" s="1" t="s">
        <v>7455</v>
      </c>
      <c r="J891" s="7">
        <v>45560</v>
      </c>
      <c r="K891" s="1" t="s">
        <v>7455</v>
      </c>
    </row>
    <row r="892" spans="1:11" x14ac:dyDescent="0.3">
      <c r="A892" s="1">
        <v>891</v>
      </c>
      <c r="B892" s="1" t="s">
        <v>2687</v>
      </c>
      <c r="C892" s="1" t="s">
        <v>2688</v>
      </c>
      <c r="F892" s="1" t="s">
        <v>2689</v>
      </c>
      <c r="G892" s="1">
        <v>1</v>
      </c>
      <c r="H892" s="7">
        <v>45560</v>
      </c>
      <c r="I892" s="1" t="s">
        <v>7455</v>
      </c>
      <c r="J892" s="7">
        <v>45560</v>
      </c>
      <c r="K892" s="1" t="s">
        <v>7455</v>
      </c>
    </row>
    <row r="893" spans="1:11" x14ac:dyDescent="0.3">
      <c r="A893" s="1">
        <v>892</v>
      </c>
      <c r="B893" s="1" t="s">
        <v>2690</v>
      </c>
      <c r="C893" s="1" t="s">
        <v>2691</v>
      </c>
      <c r="F893" s="1" t="s">
        <v>2692</v>
      </c>
      <c r="G893" s="1">
        <v>1</v>
      </c>
      <c r="H893" s="7">
        <v>45560</v>
      </c>
      <c r="I893" s="1" t="s">
        <v>7455</v>
      </c>
      <c r="J893" s="7">
        <v>45560</v>
      </c>
      <c r="K893" s="1" t="s">
        <v>7455</v>
      </c>
    </row>
    <row r="894" spans="1:11" x14ac:dyDescent="0.3">
      <c r="A894" s="1">
        <v>893</v>
      </c>
      <c r="B894" s="1" t="s">
        <v>2693</v>
      </c>
      <c r="C894" s="1" t="s">
        <v>2694</v>
      </c>
      <c r="F894" s="1" t="s">
        <v>2695</v>
      </c>
      <c r="G894" s="1">
        <v>1</v>
      </c>
      <c r="H894" s="7">
        <v>45560</v>
      </c>
      <c r="I894" s="1" t="s">
        <v>7455</v>
      </c>
      <c r="J894" s="7">
        <v>45560</v>
      </c>
      <c r="K894" s="1" t="s">
        <v>7455</v>
      </c>
    </row>
    <row r="895" spans="1:11" x14ac:dyDescent="0.3">
      <c r="A895" s="1">
        <v>894</v>
      </c>
      <c r="B895" s="1" t="s">
        <v>2696</v>
      </c>
      <c r="C895" s="1" t="s">
        <v>2697</v>
      </c>
      <c r="F895" s="1" t="s">
        <v>2698</v>
      </c>
      <c r="G895" s="1">
        <v>1</v>
      </c>
      <c r="H895" s="7">
        <v>45560</v>
      </c>
      <c r="I895" s="1" t="s">
        <v>7455</v>
      </c>
      <c r="J895" s="7">
        <v>45560</v>
      </c>
      <c r="K895" s="1" t="s">
        <v>7455</v>
      </c>
    </row>
    <row r="896" spans="1:11" x14ac:dyDescent="0.3">
      <c r="A896" s="1">
        <v>895</v>
      </c>
      <c r="B896" s="1" t="s">
        <v>2699</v>
      </c>
      <c r="C896" s="1" t="s">
        <v>2700</v>
      </c>
      <c r="F896" s="1" t="s">
        <v>2701</v>
      </c>
      <c r="G896" s="1">
        <v>1</v>
      </c>
      <c r="H896" s="7">
        <v>45560</v>
      </c>
      <c r="I896" s="1" t="s">
        <v>7455</v>
      </c>
      <c r="J896" s="7">
        <v>45560</v>
      </c>
      <c r="K896" s="1" t="s">
        <v>7455</v>
      </c>
    </row>
    <row r="897" spans="1:11" x14ac:dyDescent="0.3">
      <c r="A897" s="1">
        <v>896</v>
      </c>
      <c r="B897" s="1" t="s">
        <v>2702</v>
      </c>
      <c r="C897" s="1" t="s">
        <v>2703</v>
      </c>
      <c r="F897" s="1" t="s">
        <v>2704</v>
      </c>
      <c r="G897" s="1">
        <v>1</v>
      </c>
      <c r="H897" s="7">
        <v>45560</v>
      </c>
      <c r="I897" s="1" t="s">
        <v>7455</v>
      </c>
      <c r="J897" s="7">
        <v>45560</v>
      </c>
      <c r="K897" s="1" t="s">
        <v>7455</v>
      </c>
    </row>
    <row r="898" spans="1:11" x14ac:dyDescent="0.3">
      <c r="A898" s="1">
        <v>897</v>
      </c>
      <c r="B898" s="1" t="s">
        <v>2705</v>
      </c>
      <c r="C898" s="1" t="s">
        <v>2706</v>
      </c>
      <c r="F898" s="1" t="s">
        <v>2707</v>
      </c>
      <c r="G898" s="1">
        <v>1</v>
      </c>
      <c r="H898" s="7">
        <v>45560</v>
      </c>
      <c r="I898" s="1" t="s">
        <v>7455</v>
      </c>
      <c r="J898" s="7">
        <v>45560</v>
      </c>
      <c r="K898" s="1" t="s">
        <v>7455</v>
      </c>
    </row>
    <row r="899" spans="1:11" x14ac:dyDescent="0.3">
      <c r="A899" s="1">
        <v>898</v>
      </c>
      <c r="B899" s="1" t="s">
        <v>2708</v>
      </c>
      <c r="C899" s="1" t="s">
        <v>2709</v>
      </c>
      <c r="F899" s="1" t="s">
        <v>2710</v>
      </c>
      <c r="G899" s="1">
        <v>1</v>
      </c>
      <c r="H899" s="7">
        <v>45560</v>
      </c>
      <c r="I899" s="1" t="s">
        <v>7455</v>
      </c>
      <c r="J899" s="7">
        <v>45560</v>
      </c>
      <c r="K899" s="1" t="s">
        <v>7455</v>
      </c>
    </row>
    <row r="900" spans="1:11" x14ac:dyDescent="0.3">
      <c r="A900" s="1">
        <v>899</v>
      </c>
      <c r="B900" s="1" t="s">
        <v>2711</v>
      </c>
      <c r="C900" s="1" t="s">
        <v>2712</v>
      </c>
      <c r="F900" s="1" t="s">
        <v>2713</v>
      </c>
      <c r="G900" s="1">
        <v>1</v>
      </c>
      <c r="H900" s="7">
        <v>45560</v>
      </c>
      <c r="I900" s="1" t="s">
        <v>7455</v>
      </c>
      <c r="J900" s="7">
        <v>45560</v>
      </c>
      <c r="K900" s="1" t="s">
        <v>7455</v>
      </c>
    </row>
    <row r="901" spans="1:11" x14ac:dyDescent="0.3">
      <c r="A901" s="1">
        <v>900</v>
      </c>
      <c r="B901" s="1" t="s">
        <v>2714</v>
      </c>
      <c r="C901" s="1" t="s">
        <v>2715</v>
      </c>
      <c r="F901" s="1" t="s">
        <v>2716</v>
      </c>
      <c r="G901" s="1">
        <v>1</v>
      </c>
      <c r="H901" s="7">
        <v>45560</v>
      </c>
      <c r="I901" s="1" t="s">
        <v>7455</v>
      </c>
      <c r="J901" s="7">
        <v>45560</v>
      </c>
      <c r="K901" s="1" t="s">
        <v>7455</v>
      </c>
    </row>
    <row r="902" spans="1:11" x14ac:dyDescent="0.3">
      <c r="A902" s="1">
        <v>901</v>
      </c>
      <c r="B902" s="1" t="s">
        <v>2717</v>
      </c>
      <c r="C902" s="1" t="s">
        <v>2718</v>
      </c>
      <c r="F902" s="1" t="s">
        <v>2719</v>
      </c>
      <c r="G902" s="1">
        <v>1</v>
      </c>
      <c r="H902" s="7">
        <v>45560</v>
      </c>
      <c r="I902" s="1" t="s">
        <v>7455</v>
      </c>
      <c r="J902" s="7">
        <v>45560</v>
      </c>
      <c r="K902" s="1" t="s">
        <v>7455</v>
      </c>
    </row>
    <row r="903" spans="1:11" x14ac:dyDescent="0.3">
      <c r="A903" s="1">
        <v>902</v>
      </c>
      <c r="B903" s="1" t="s">
        <v>2720</v>
      </c>
      <c r="C903" s="1" t="s">
        <v>2721</v>
      </c>
      <c r="F903" s="1" t="s">
        <v>2722</v>
      </c>
      <c r="G903" s="1">
        <v>1</v>
      </c>
      <c r="H903" s="7">
        <v>45560</v>
      </c>
      <c r="I903" s="1" t="s">
        <v>7455</v>
      </c>
      <c r="J903" s="7">
        <v>45560</v>
      </c>
      <c r="K903" s="1" t="s">
        <v>7455</v>
      </c>
    </row>
    <row r="904" spans="1:11" x14ac:dyDescent="0.3">
      <c r="A904" s="1">
        <v>903</v>
      </c>
      <c r="B904" s="1" t="s">
        <v>2723</v>
      </c>
      <c r="C904" s="1" t="s">
        <v>2724</v>
      </c>
      <c r="F904" s="1" t="s">
        <v>2725</v>
      </c>
      <c r="G904" s="1">
        <v>1</v>
      </c>
      <c r="H904" s="7">
        <v>45560</v>
      </c>
      <c r="I904" s="1" t="s">
        <v>7455</v>
      </c>
      <c r="J904" s="7">
        <v>45560</v>
      </c>
      <c r="K904" s="1" t="s">
        <v>7455</v>
      </c>
    </row>
    <row r="905" spans="1:11" x14ac:dyDescent="0.3">
      <c r="A905" s="1">
        <v>904</v>
      </c>
      <c r="B905" s="1" t="s">
        <v>2726</v>
      </c>
      <c r="C905" s="1" t="s">
        <v>2727</v>
      </c>
      <c r="F905" s="1" t="s">
        <v>2728</v>
      </c>
      <c r="G905" s="1">
        <v>1</v>
      </c>
      <c r="H905" s="7">
        <v>45560</v>
      </c>
      <c r="I905" s="1" t="s">
        <v>7455</v>
      </c>
      <c r="J905" s="7">
        <v>45560</v>
      </c>
      <c r="K905" s="1" t="s">
        <v>7455</v>
      </c>
    </row>
    <row r="906" spans="1:11" x14ac:dyDescent="0.3">
      <c r="A906" s="1">
        <v>905</v>
      </c>
      <c r="B906" s="1" t="s">
        <v>2729</v>
      </c>
      <c r="C906" s="1" t="s">
        <v>2730</v>
      </c>
      <c r="F906" s="1" t="s">
        <v>2731</v>
      </c>
      <c r="G906" s="1">
        <v>1</v>
      </c>
      <c r="H906" s="7">
        <v>45560</v>
      </c>
      <c r="I906" s="1" t="s">
        <v>7455</v>
      </c>
      <c r="J906" s="7">
        <v>45560</v>
      </c>
      <c r="K906" s="1" t="s">
        <v>7455</v>
      </c>
    </row>
    <row r="907" spans="1:11" x14ac:dyDescent="0.3">
      <c r="A907" s="1">
        <v>906</v>
      </c>
      <c r="B907" s="1" t="s">
        <v>2732</v>
      </c>
      <c r="C907" s="1" t="s">
        <v>2733</v>
      </c>
      <c r="F907" s="1" t="s">
        <v>2734</v>
      </c>
      <c r="G907" s="1">
        <v>1</v>
      </c>
      <c r="H907" s="7">
        <v>45560</v>
      </c>
      <c r="I907" s="1" t="s">
        <v>7455</v>
      </c>
      <c r="J907" s="7">
        <v>45560</v>
      </c>
      <c r="K907" s="1" t="s">
        <v>7455</v>
      </c>
    </row>
    <row r="908" spans="1:11" x14ac:dyDescent="0.3">
      <c r="A908" s="1">
        <v>907</v>
      </c>
      <c r="B908" s="1" t="s">
        <v>2735</v>
      </c>
      <c r="C908" s="1" t="s">
        <v>2736</v>
      </c>
      <c r="F908" s="1" t="s">
        <v>2737</v>
      </c>
      <c r="G908" s="1">
        <v>1</v>
      </c>
      <c r="H908" s="7">
        <v>45560</v>
      </c>
      <c r="I908" s="1" t="s">
        <v>7455</v>
      </c>
      <c r="J908" s="7">
        <v>45560</v>
      </c>
      <c r="K908" s="1" t="s">
        <v>7455</v>
      </c>
    </row>
    <row r="909" spans="1:11" x14ac:dyDescent="0.3">
      <c r="A909" s="1">
        <v>908</v>
      </c>
      <c r="B909" s="1" t="s">
        <v>2738</v>
      </c>
      <c r="C909" s="1" t="s">
        <v>2739</v>
      </c>
      <c r="F909" s="1" t="s">
        <v>2740</v>
      </c>
      <c r="G909" s="1">
        <v>1</v>
      </c>
      <c r="H909" s="7">
        <v>45560</v>
      </c>
      <c r="I909" s="1" t="s">
        <v>7455</v>
      </c>
      <c r="J909" s="7">
        <v>45560</v>
      </c>
      <c r="K909" s="1" t="s">
        <v>7455</v>
      </c>
    </row>
    <row r="910" spans="1:11" x14ac:dyDescent="0.3">
      <c r="A910" s="1">
        <v>909</v>
      </c>
      <c r="B910" s="1" t="s">
        <v>2741</v>
      </c>
      <c r="C910" s="1" t="s">
        <v>2742</v>
      </c>
      <c r="F910" s="1" t="s">
        <v>2743</v>
      </c>
      <c r="G910" s="1">
        <v>1</v>
      </c>
      <c r="H910" s="7">
        <v>45560</v>
      </c>
      <c r="I910" s="1" t="s">
        <v>7455</v>
      </c>
      <c r="J910" s="7">
        <v>45560</v>
      </c>
      <c r="K910" s="1" t="s">
        <v>7455</v>
      </c>
    </row>
    <row r="911" spans="1:11" x14ac:dyDescent="0.3">
      <c r="A911" s="1">
        <v>910</v>
      </c>
      <c r="B911" s="1" t="s">
        <v>2744</v>
      </c>
      <c r="C911" s="1" t="s">
        <v>2745</v>
      </c>
      <c r="F911" s="1" t="s">
        <v>2746</v>
      </c>
      <c r="G911" s="1">
        <v>1</v>
      </c>
      <c r="H911" s="7">
        <v>45560</v>
      </c>
      <c r="I911" s="1" t="s">
        <v>7455</v>
      </c>
      <c r="J911" s="7">
        <v>45560</v>
      </c>
      <c r="K911" s="1" t="s">
        <v>7455</v>
      </c>
    </row>
    <row r="912" spans="1:11" x14ac:dyDescent="0.3">
      <c r="A912" s="1">
        <v>911</v>
      </c>
      <c r="B912" s="1" t="s">
        <v>2747</v>
      </c>
      <c r="C912" s="1" t="s">
        <v>2748</v>
      </c>
      <c r="F912" s="1" t="s">
        <v>2749</v>
      </c>
      <c r="G912" s="1">
        <v>1</v>
      </c>
      <c r="H912" s="7">
        <v>45560</v>
      </c>
      <c r="I912" s="1" t="s">
        <v>7455</v>
      </c>
      <c r="J912" s="7">
        <v>45560</v>
      </c>
      <c r="K912" s="1" t="s">
        <v>7455</v>
      </c>
    </row>
    <row r="913" spans="1:11" x14ac:dyDescent="0.3">
      <c r="A913" s="1">
        <v>912</v>
      </c>
      <c r="B913" s="1" t="s">
        <v>2750</v>
      </c>
      <c r="C913" s="1" t="s">
        <v>2751</v>
      </c>
      <c r="F913" s="1" t="s">
        <v>2752</v>
      </c>
      <c r="G913" s="1">
        <v>1</v>
      </c>
      <c r="H913" s="7">
        <v>45560</v>
      </c>
      <c r="I913" s="1" t="s">
        <v>7455</v>
      </c>
      <c r="J913" s="7">
        <v>45560</v>
      </c>
      <c r="K913" s="1" t="s">
        <v>7455</v>
      </c>
    </row>
    <row r="914" spans="1:11" x14ac:dyDescent="0.3">
      <c r="A914" s="1">
        <v>913</v>
      </c>
      <c r="B914" s="1" t="s">
        <v>2753</v>
      </c>
      <c r="C914" s="1" t="s">
        <v>2754</v>
      </c>
      <c r="F914" s="1" t="s">
        <v>2755</v>
      </c>
      <c r="G914" s="1">
        <v>1</v>
      </c>
      <c r="H914" s="7">
        <v>45560</v>
      </c>
      <c r="I914" s="1" t="s">
        <v>7455</v>
      </c>
      <c r="J914" s="7">
        <v>45560</v>
      </c>
      <c r="K914" s="1" t="s">
        <v>7455</v>
      </c>
    </row>
    <row r="915" spans="1:11" x14ac:dyDescent="0.3">
      <c r="A915" s="1">
        <v>914</v>
      </c>
      <c r="B915" s="1" t="s">
        <v>2756</v>
      </c>
      <c r="C915" s="1" t="s">
        <v>2757</v>
      </c>
      <c r="F915" s="1" t="s">
        <v>2758</v>
      </c>
      <c r="G915" s="1">
        <v>1</v>
      </c>
      <c r="H915" s="7">
        <v>45560</v>
      </c>
      <c r="I915" s="1" t="s">
        <v>7455</v>
      </c>
      <c r="J915" s="7">
        <v>45560</v>
      </c>
      <c r="K915" s="1" t="s">
        <v>7455</v>
      </c>
    </row>
    <row r="916" spans="1:11" x14ac:dyDescent="0.3">
      <c r="A916" s="1">
        <v>915</v>
      </c>
      <c r="B916" s="1" t="s">
        <v>2759</v>
      </c>
      <c r="C916" s="1" t="s">
        <v>2760</v>
      </c>
      <c r="F916" s="1" t="s">
        <v>2761</v>
      </c>
      <c r="G916" s="1">
        <v>1</v>
      </c>
      <c r="H916" s="7">
        <v>45560</v>
      </c>
      <c r="I916" s="1" t="s">
        <v>7455</v>
      </c>
      <c r="J916" s="7">
        <v>45560</v>
      </c>
      <c r="K916" s="1" t="s">
        <v>7455</v>
      </c>
    </row>
    <row r="917" spans="1:11" x14ac:dyDescent="0.3">
      <c r="A917" s="1">
        <v>916</v>
      </c>
      <c r="B917" s="1" t="s">
        <v>2762</v>
      </c>
      <c r="C917" s="1" t="s">
        <v>2763</v>
      </c>
      <c r="F917" s="1" t="s">
        <v>2764</v>
      </c>
      <c r="G917" s="1">
        <v>1</v>
      </c>
      <c r="H917" s="7">
        <v>45560</v>
      </c>
      <c r="I917" s="1" t="s">
        <v>7455</v>
      </c>
      <c r="J917" s="7">
        <v>45560</v>
      </c>
      <c r="K917" s="1" t="s">
        <v>7455</v>
      </c>
    </row>
    <row r="918" spans="1:11" x14ac:dyDescent="0.3">
      <c r="A918" s="1">
        <v>917</v>
      </c>
      <c r="B918" s="1" t="s">
        <v>2765</v>
      </c>
      <c r="C918" s="1" t="s">
        <v>2766</v>
      </c>
      <c r="F918" s="1" t="s">
        <v>2767</v>
      </c>
      <c r="G918" s="1">
        <v>1</v>
      </c>
      <c r="H918" s="7">
        <v>45560</v>
      </c>
      <c r="I918" s="1" t="s">
        <v>7455</v>
      </c>
      <c r="J918" s="7">
        <v>45560</v>
      </c>
      <c r="K918" s="1" t="s">
        <v>7455</v>
      </c>
    </row>
    <row r="919" spans="1:11" x14ac:dyDescent="0.3">
      <c r="A919" s="1">
        <v>918</v>
      </c>
      <c r="B919" s="1" t="s">
        <v>2768</v>
      </c>
      <c r="C919" s="1" t="s">
        <v>2769</v>
      </c>
      <c r="F919" s="1" t="s">
        <v>2770</v>
      </c>
      <c r="G919" s="1">
        <v>1</v>
      </c>
      <c r="H919" s="7">
        <v>45560</v>
      </c>
      <c r="I919" s="1" t="s">
        <v>7455</v>
      </c>
      <c r="J919" s="7">
        <v>45560</v>
      </c>
      <c r="K919" s="1" t="s">
        <v>7455</v>
      </c>
    </row>
    <row r="920" spans="1:11" x14ac:dyDescent="0.3">
      <c r="A920" s="1">
        <v>919</v>
      </c>
      <c r="B920" s="1" t="s">
        <v>2771</v>
      </c>
      <c r="C920" s="1" t="s">
        <v>2772</v>
      </c>
      <c r="F920" s="1" t="s">
        <v>2773</v>
      </c>
      <c r="G920" s="1">
        <v>1</v>
      </c>
      <c r="H920" s="7">
        <v>45560</v>
      </c>
      <c r="I920" s="1" t="s">
        <v>7455</v>
      </c>
      <c r="J920" s="7">
        <v>45560</v>
      </c>
      <c r="K920" s="1" t="s">
        <v>7455</v>
      </c>
    </row>
    <row r="921" spans="1:11" x14ac:dyDescent="0.3">
      <c r="A921" s="1">
        <v>920</v>
      </c>
      <c r="B921" s="1" t="s">
        <v>2774</v>
      </c>
      <c r="C921" s="1" t="s">
        <v>2775</v>
      </c>
      <c r="F921" s="1" t="s">
        <v>2776</v>
      </c>
      <c r="G921" s="1">
        <v>1</v>
      </c>
      <c r="H921" s="7">
        <v>45560</v>
      </c>
      <c r="I921" s="1" t="s">
        <v>7455</v>
      </c>
      <c r="J921" s="7">
        <v>45560</v>
      </c>
      <c r="K921" s="1" t="s">
        <v>7455</v>
      </c>
    </row>
    <row r="922" spans="1:11" x14ac:dyDescent="0.3">
      <c r="A922" s="1">
        <v>921</v>
      </c>
      <c r="B922" s="1" t="s">
        <v>2777</v>
      </c>
      <c r="C922" s="1" t="s">
        <v>2778</v>
      </c>
      <c r="E922" s="1" t="s">
        <v>52</v>
      </c>
      <c r="G922" s="1">
        <v>1</v>
      </c>
      <c r="H922" s="7">
        <v>45560</v>
      </c>
      <c r="I922" s="1" t="s">
        <v>7455</v>
      </c>
      <c r="J922" s="7">
        <v>45560</v>
      </c>
      <c r="K922" s="1" t="s">
        <v>7455</v>
      </c>
    </row>
    <row r="923" spans="1:11" x14ac:dyDescent="0.3">
      <c r="A923" s="1">
        <v>922</v>
      </c>
      <c r="B923" s="1" t="s">
        <v>2779</v>
      </c>
      <c r="C923" s="1" t="s">
        <v>2780</v>
      </c>
      <c r="F923" s="1" t="s">
        <v>2781</v>
      </c>
      <c r="G923" s="1">
        <v>1</v>
      </c>
      <c r="H923" s="7">
        <v>45560</v>
      </c>
      <c r="I923" s="1" t="s">
        <v>7455</v>
      </c>
      <c r="J923" s="7">
        <v>45560</v>
      </c>
      <c r="K923" s="1" t="s">
        <v>7455</v>
      </c>
    </row>
    <row r="924" spans="1:11" x14ac:dyDescent="0.3">
      <c r="A924" s="1">
        <v>923</v>
      </c>
      <c r="B924" s="1" t="s">
        <v>2782</v>
      </c>
      <c r="C924" s="1" t="s">
        <v>2783</v>
      </c>
      <c r="F924" s="1" t="s">
        <v>2784</v>
      </c>
      <c r="G924" s="1">
        <v>1</v>
      </c>
      <c r="H924" s="7">
        <v>45560</v>
      </c>
      <c r="I924" s="1" t="s">
        <v>7455</v>
      </c>
      <c r="J924" s="7">
        <v>45560</v>
      </c>
      <c r="K924" s="1" t="s">
        <v>7455</v>
      </c>
    </row>
    <row r="925" spans="1:11" x14ac:dyDescent="0.3">
      <c r="A925" s="1">
        <v>924</v>
      </c>
      <c r="B925" s="1" t="s">
        <v>2785</v>
      </c>
      <c r="C925" s="1" t="s">
        <v>2786</v>
      </c>
      <c r="F925" s="1" t="s">
        <v>2787</v>
      </c>
      <c r="G925" s="1">
        <v>1</v>
      </c>
      <c r="H925" s="7">
        <v>45560</v>
      </c>
      <c r="I925" s="1" t="s">
        <v>7455</v>
      </c>
      <c r="J925" s="7">
        <v>45560</v>
      </c>
      <c r="K925" s="1" t="s">
        <v>7455</v>
      </c>
    </row>
    <row r="926" spans="1:11" x14ac:dyDescent="0.3">
      <c r="A926" s="1">
        <v>925</v>
      </c>
      <c r="B926" s="1" t="s">
        <v>2788</v>
      </c>
      <c r="C926" s="1" t="s">
        <v>2789</v>
      </c>
      <c r="F926" s="1" t="s">
        <v>2790</v>
      </c>
      <c r="G926" s="1">
        <v>1</v>
      </c>
      <c r="H926" s="7">
        <v>45560</v>
      </c>
      <c r="I926" s="1" t="s">
        <v>7455</v>
      </c>
      <c r="J926" s="7">
        <v>45560</v>
      </c>
      <c r="K926" s="1" t="s">
        <v>7455</v>
      </c>
    </row>
    <row r="927" spans="1:11" x14ac:dyDescent="0.3">
      <c r="A927" s="1">
        <v>926</v>
      </c>
      <c r="B927" s="1" t="s">
        <v>2791</v>
      </c>
      <c r="C927" s="1" t="s">
        <v>2792</v>
      </c>
      <c r="F927" s="1" t="s">
        <v>2793</v>
      </c>
      <c r="G927" s="1">
        <v>1</v>
      </c>
      <c r="H927" s="7">
        <v>45560</v>
      </c>
      <c r="I927" s="1" t="s">
        <v>7455</v>
      </c>
      <c r="J927" s="7">
        <v>45560</v>
      </c>
      <c r="K927" s="1" t="s">
        <v>7455</v>
      </c>
    </row>
    <row r="928" spans="1:11" x14ac:dyDescent="0.3">
      <c r="A928" s="1">
        <v>927</v>
      </c>
      <c r="B928" s="1" t="s">
        <v>2794</v>
      </c>
      <c r="C928" s="1" t="s">
        <v>2795</v>
      </c>
      <c r="F928" s="1" t="s">
        <v>2796</v>
      </c>
      <c r="G928" s="1">
        <v>1</v>
      </c>
      <c r="H928" s="7">
        <v>45560</v>
      </c>
      <c r="I928" s="1" t="s">
        <v>7455</v>
      </c>
      <c r="J928" s="7">
        <v>45560</v>
      </c>
      <c r="K928" s="1" t="s">
        <v>7455</v>
      </c>
    </row>
    <row r="929" spans="1:11" x14ac:dyDescent="0.3">
      <c r="A929" s="1">
        <v>928</v>
      </c>
      <c r="B929" s="1" t="s">
        <v>2797</v>
      </c>
      <c r="C929" s="1" t="s">
        <v>2798</v>
      </c>
      <c r="F929" s="1" t="s">
        <v>2799</v>
      </c>
      <c r="G929" s="1">
        <v>1</v>
      </c>
      <c r="H929" s="7">
        <v>45560</v>
      </c>
      <c r="I929" s="1" t="s">
        <v>7455</v>
      </c>
      <c r="J929" s="7">
        <v>45560</v>
      </c>
      <c r="K929" s="1" t="s">
        <v>7455</v>
      </c>
    </row>
    <row r="930" spans="1:11" x14ac:dyDescent="0.3">
      <c r="A930" s="1">
        <v>929</v>
      </c>
      <c r="B930" s="1" t="s">
        <v>2800</v>
      </c>
      <c r="C930" s="1" t="s">
        <v>2801</v>
      </c>
      <c r="F930" s="1" t="s">
        <v>2802</v>
      </c>
      <c r="G930" s="1">
        <v>1</v>
      </c>
      <c r="H930" s="7">
        <v>45560</v>
      </c>
      <c r="I930" s="1" t="s">
        <v>7455</v>
      </c>
      <c r="J930" s="7">
        <v>45560</v>
      </c>
      <c r="K930" s="1" t="s">
        <v>7455</v>
      </c>
    </row>
    <row r="931" spans="1:11" x14ac:dyDescent="0.3">
      <c r="A931" s="1">
        <v>930</v>
      </c>
      <c r="B931" s="1" t="s">
        <v>2803</v>
      </c>
      <c r="C931" s="1" t="s">
        <v>2804</v>
      </c>
      <c r="F931" s="1" t="s">
        <v>2805</v>
      </c>
      <c r="G931" s="1">
        <v>1</v>
      </c>
      <c r="H931" s="7">
        <v>45560</v>
      </c>
      <c r="I931" s="1" t="s">
        <v>7455</v>
      </c>
      <c r="J931" s="7">
        <v>45560</v>
      </c>
      <c r="K931" s="1" t="s">
        <v>7455</v>
      </c>
    </row>
    <row r="932" spans="1:11" x14ac:dyDescent="0.3">
      <c r="A932" s="1">
        <v>931</v>
      </c>
      <c r="B932" s="1" t="s">
        <v>2806</v>
      </c>
      <c r="C932" s="1" t="s">
        <v>2807</v>
      </c>
      <c r="F932" s="1" t="s">
        <v>2808</v>
      </c>
      <c r="G932" s="1">
        <v>1</v>
      </c>
      <c r="H932" s="7">
        <v>45560</v>
      </c>
      <c r="I932" s="1" t="s">
        <v>7455</v>
      </c>
      <c r="J932" s="7">
        <v>45560</v>
      </c>
      <c r="K932" s="1" t="s">
        <v>7455</v>
      </c>
    </row>
    <row r="933" spans="1:11" x14ac:dyDescent="0.3">
      <c r="A933" s="1">
        <v>932</v>
      </c>
      <c r="B933" s="1" t="s">
        <v>2809</v>
      </c>
      <c r="C933" s="1" t="s">
        <v>2810</v>
      </c>
      <c r="F933" s="1" t="s">
        <v>2811</v>
      </c>
      <c r="G933" s="1">
        <v>1</v>
      </c>
      <c r="H933" s="7">
        <v>45560</v>
      </c>
      <c r="I933" s="1" t="s">
        <v>7455</v>
      </c>
      <c r="J933" s="7">
        <v>45560</v>
      </c>
      <c r="K933" s="1" t="s">
        <v>7455</v>
      </c>
    </row>
    <row r="934" spans="1:11" x14ac:dyDescent="0.3">
      <c r="A934" s="1">
        <v>933</v>
      </c>
      <c r="B934" s="1" t="s">
        <v>2812</v>
      </c>
      <c r="C934" s="1" t="s">
        <v>2813</v>
      </c>
      <c r="F934" s="1" t="s">
        <v>2814</v>
      </c>
      <c r="G934" s="1">
        <v>1</v>
      </c>
      <c r="H934" s="7">
        <v>45560</v>
      </c>
      <c r="I934" s="1" t="s">
        <v>7455</v>
      </c>
      <c r="J934" s="7">
        <v>45560</v>
      </c>
      <c r="K934" s="1" t="s">
        <v>7455</v>
      </c>
    </row>
    <row r="935" spans="1:11" x14ac:dyDescent="0.3">
      <c r="A935" s="1">
        <v>934</v>
      </c>
      <c r="B935" s="1" t="s">
        <v>2815</v>
      </c>
      <c r="C935" s="1" t="s">
        <v>2816</v>
      </c>
      <c r="F935" s="1" t="s">
        <v>2817</v>
      </c>
      <c r="G935" s="1">
        <v>1</v>
      </c>
      <c r="H935" s="7">
        <v>45560</v>
      </c>
      <c r="I935" s="1" t="s">
        <v>7455</v>
      </c>
      <c r="J935" s="7">
        <v>45560</v>
      </c>
      <c r="K935" s="1" t="s">
        <v>7455</v>
      </c>
    </row>
    <row r="936" spans="1:11" x14ac:dyDescent="0.3">
      <c r="A936" s="1">
        <v>935</v>
      </c>
      <c r="B936" s="1" t="s">
        <v>2818</v>
      </c>
      <c r="C936" s="1" t="s">
        <v>2819</v>
      </c>
      <c r="F936" s="1" t="s">
        <v>2820</v>
      </c>
      <c r="G936" s="1">
        <v>1</v>
      </c>
      <c r="H936" s="7">
        <v>45560</v>
      </c>
      <c r="I936" s="1" t="s">
        <v>7455</v>
      </c>
      <c r="J936" s="7">
        <v>45560</v>
      </c>
      <c r="K936" s="1" t="s">
        <v>7455</v>
      </c>
    </row>
    <row r="937" spans="1:11" x14ac:dyDescent="0.3">
      <c r="A937" s="1">
        <v>936</v>
      </c>
      <c r="B937" s="1" t="s">
        <v>2821</v>
      </c>
      <c r="C937" s="1" t="s">
        <v>2822</v>
      </c>
      <c r="F937" s="1" t="s">
        <v>2823</v>
      </c>
      <c r="G937" s="1">
        <v>1</v>
      </c>
      <c r="H937" s="7">
        <v>45560</v>
      </c>
      <c r="I937" s="1" t="s">
        <v>7455</v>
      </c>
      <c r="J937" s="7">
        <v>45560</v>
      </c>
      <c r="K937" s="1" t="s">
        <v>7455</v>
      </c>
    </row>
    <row r="938" spans="1:11" x14ac:dyDescent="0.3">
      <c r="A938" s="1">
        <v>937</v>
      </c>
      <c r="B938" s="1" t="s">
        <v>2824</v>
      </c>
      <c r="C938" s="1" t="s">
        <v>2825</v>
      </c>
      <c r="F938" s="1" t="s">
        <v>2826</v>
      </c>
      <c r="G938" s="1">
        <v>1</v>
      </c>
      <c r="H938" s="7">
        <v>45560</v>
      </c>
      <c r="I938" s="1" t="s">
        <v>7455</v>
      </c>
      <c r="J938" s="7">
        <v>45560</v>
      </c>
      <c r="K938" s="1" t="s">
        <v>7455</v>
      </c>
    </row>
    <row r="939" spans="1:11" x14ac:dyDescent="0.3">
      <c r="A939" s="1">
        <v>938</v>
      </c>
      <c r="B939" s="1" t="s">
        <v>2827</v>
      </c>
      <c r="C939" s="1" t="s">
        <v>2828</v>
      </c>
      <c r="F939" s="1" t="s">
        <v>2829</v>
      </c>
      <c r="G939" s="1">
        <v>1</v>
      </c>
      <c r="H939" s="7">
        <v>45560</v>
      </c>
      <c r="I939" s="1" t="s">
        <v>7455</v>
      </c>
      <c r="J939" s="7">
        <v>45560</v>
      </c>
      <c r="K939" s="1" t="s">
        <v>7455</v>
      </c>
    </row>
    <row r="940" spans="1:11" x14ac:dyDescent="0.3">
      <c r="A940" s="1">
        <v>939</v>
      </c>
      <c r="B940" s="1" t="s">
        <v>2830</v>
      </c>
      <c r="C940" s="1" t="s">
        <v>2831</v>
      </c>
      <c r="F940" s="1" t="s">
        <v>2832</v>
      </c>
      <c r="G940" s="1">
        <v>1</v>
      </c>
      <c r="H940" s="7">
        <v>45560</v>
      </c>
      <c r="I940" s="1" t="s">
        <v>7455</v>
      </c>
      <c r="J940" s="7">
        <v>45560</v>
      </c>
      <c r="K940" s="1" t="s">
        <v>7455</v>
      </c>
    </row>
    <row r="941" spans="1:11" x14ac:dyDescent="0.3">
      <c r="A941" s="1">
        <v>940</v>
      </c>
      <c r="B941" s="1" t="s">
        <v>2833</v>
      </c>
      <c r="C941" s="1" t="s">
        <v>2834</v>
      </c>
      <c r="F941" s="1" t="s">
        <v>2835</v>
      </c>
      <c r="G941" s="1">
        <v>1</v>
      </c>
      <c r="H941" s="7">
        <v>45560</v>
      </c>
      <c r="I941" s="1" t="s">
        <v>7455</v>
      </c>
      <c r="J941" s="7">
        <v>45560</v>
      </c>
      <c r="K941" s="1" t="s">
        <v>7455</v>
      </c>
    </row>
    <row r="942" spans="1:11" x14ac:dyDescent="0.3">
      <c r="A942" s="1">
        <v>941</v>
      </c>
      <c r="B942" s="1" t="s">
        <v>2836</v>
      </c>
      <c r="C942" s="1" t="s">
        <v>2837</v>
      </c>
      <c r="F942" s="1" t="s">
        <v>2838</v>
      </c>
      <c r="G942" s="1">
        <v>1</v>
      </c>
      <c r="H942" s="7">
        <v>45560</v>
      </c>
      <c r="I942" s="1" t="s">
        <v>7455</v>
      </c>
      <c r="J942" s="7">
        <v>45560</v>
      </c>
      <c r="K942" s="1" t="s">
        <v>7455</v>
      </c>
    </row>
    <row r="943" spans="1:11" x14ac:dyDescent="0.3">
      <c r="A943" s="1">
        <v>942</v>
      </c>
      <c r="B943" s="1" t="s">
        <v>2839</v>
      </c>
      <c r="C943" s="1" t="s">
        <v>2840</v>
      </c>
      <c r="F943" s="1" t="s">
        <v>2841</v>
      </c>
      <c r="G943" s="1">
        <v>1</v>
      </c>
      <c r="H943" s="7">
        <v>45560</v>
      </c>
      <c r="I943" s="1" t="s">
        <v>7455</v>
      </c>
      <c r="J943" s="7">
        <v>45560</v>
      </c>
      <c r="K943" s="1" t="s">
        <v>7455</v>
      </c>
    </row>
    <row r="944" spans="1:11" x14ac:dyDescent="0.3">
      <c r="A944" s="1">
        <v>943</v>
      </c>
      <c r="B944" s="1" t="s">
        <v>2842</v>
      </c>
      <c r="C944" s="1" t="s">
        <v>2843</v>
      </c>
      <c r="F944" s="1" t="s">
        <v>2844</v>
      </c>
      <c r="G944" s="1">
        <v>1</v>
      </c>
      <c r="H944" s="7">
        <v>45560</v>
      </c>
      <c r="I944" s="1" t="s">
        <v>7455</v>
      </c>
      <c r="J944" s="7">
        <v>45560</v>
      </c>
      <c r="K944" s="1" t="s">
        <v>7455</v>
      </c>
    </row>
    <row r="945" spans="1:11" x14ac:dyDescent="0.3">
      <c r="A945" s="1">
        <v>944</v>
      </c>
      <c r="B945" s="1" t="s">
        <v>2845</v>
      </c>
      <c r="C945" s="1" t="s">
        <v>2846</v>
      </c>
      <c r="F945" s="1" t="s">
        <v>2847</v>
      </c>
      <c r="G945" s="1">
        <v>1</v>
      </c>
      <c r="H945" s="7">
        <v>45560</v>
      </c>
      <c r="I945" s="1" t="s">
        <v>7455</v>
      </c>
      <c r="J945" s="7">
        <v>45560</v>
      </c>
      <c r="K945" s="1" t="s">
        <v>7455</v>
      </c>
    </row>
    <row r="946" spans="1:11" x14ac:dyDescent="0.3">
      <c r="A946" s="1">
        <v>945</v>
      </c>
      <c r="B946" s="1" t="s">
        <v>2848</v>
      </c>
      <c r="C946" s="1" t="s">
        <v>2849</v>
      </c>
      <c r="F946" s="1" t="s">
        <v>2850</v>
      </c>
      <c r="G946" s="1">
        <v>1</v>
      </c>
      <c r="H946" s="7">
        <v>45560</v>
      </c>
      <c r="I946" s="1" t="s">
        <v>7455</v>
      </c>
      <c r="J946" s="7">
        <v>45560</v>
      </c>
      <c r="K946" s="1" t="s">
        <v>7455</v>
      </c>
    </row>
    <row r="947" spans="1:11" x14ac:dyDescent="0.3">
      <c r="A947" s="1">
        <v>946</v>
      </c>
      <c r="B947" s="1" t="s">
        <v>2851</v>
      </c>
      <c r="C947" s="1" t="s">
        <v>2852</v>
      </c>
      <c r="F947" s="1" t="s">
        <v>2853</v>
      </c>
      <c r="G947" s="1">
        <v>1</v>
      </c>
      <c r="H947" s="7">
        <v>45560</v>
      </c>
      <c r="I947" s="1" t="s">
        <v>7455</v>
      </c>
      <c r="J947" s="7">
        <v>45560</v>
      </c>
      <c r="K947" s="1" t="s">
        <v>7455</v>
      </c>
    </row>
    <row r="948" spans="1:11" x14ac:dyDescent="0.3">
      <c r="A948" s="1">
        <v>947</v>
      </c>
      <c r="B948" s="1" t="s">
        <v>2854</v>
      </c>
      <c r="C948" s="1" t="s">
        <v>2855</v>
      </c>
      <c r="F948" s="1" t="s">
        <v>2856</v>
      </c>
      <c r="G948" s="1">
        <v>1</v>
      </c>
      <c r="H948" s="7">
        <v>45560</v>
      </c>
      <c r="I948" s="1" t="s">
        <v>7455</v>
      </c>
      <c r="J948" s="7">
        <v>45560</v>
      </c>
      <c r="K948" s="1" t="s">
        <v>7455</v>
      </c>
    </row>
    <row r="949" spans="1:11" x14ac:dyDescent="0.3">
      <c r="A949" s="1">
        <v>948</v>
      </c>
      <c r="B949" s="1" t="s">
        <v>2857</v>
      </c>
      <c r="C949" s="1" t="s">
        <v>2858</v>
      </c>
      <c r="F949" s="1" t="s">
        <v>2859</v>
      </c>
      <c r="G949" s="1">
        <v>1</v>
      </c>
      <c r="H949" s="7">
        <v>45560</v>
      </c>
      <c r="I949" s="1" t="s">
        <v>7455</v>
      </c>
      <c r="J949" s="7">
        <v>45560</v>
      </c>
      <c r="K949" s="1" t="s">
        <v>7455</v>
      </c>
    </row>
    <row r="950" spans="1:11" x14ac:dyDescent="0.3">
      <c r="A950" s="1">
        <v>949</v>
      </c>
      <c r="B950" s="1" t="s">
        <v>2860</v>
      </c>
      <c r="C950" s="1" t="s">
        <v>2861</v>
      </c>
      <c r="F950" s="1" t="s">
        <v>2862</v>
      </c>
      <c r="G950" s="1">
        <v>1</v>
      </c>
      <c r="H950" s="7">
        <v>45560</v>
      </c>
      <c r="I950" s="1" t="s">
        <v>7455</v>
      </c>
      <c r="J950" s="7">
        <v>45560</v>
      </c>
      <c r="K950" s="1" t="s">
        <v>7455</v>
      </c>
    </row>
    <row r="951" spans="1:11" x14ac:dyDescent="0.3">
      <c r="A951" s="1">
        <v>950</v>
      </c>
      <c r="B951" s="1" t="s">
        <v>2863</v>
      </c>
      <c r="C951" s="1" t="s">
        <v>2864</v>
      </c>
      <c r="F951" s="1" t="s">
        <v>2865</v>
      </c>
      <c r="G951" s="1">
        <v>1</v>
      </c>
      <c r="H951" s="7">
        <v>45560</v>
      </c>
      <c r="I951" s="1" t="s">
        <v>7455</v>
      </c>
      <c r="J951" s="7">
        <v>45560</v>
      </c>
      <c r="K951" s="1" t="s">
        <v>7455</v>
      </c>
    </row>
    <row r="952" spans="1:11" x14ac:dyDescent="0.3">
      <c r="A952" s="1">
        <v>951</v>
      </c>
      <c r="B952" s="1" t="s">
        <v>2866</v>
      </c>
      <c r="C952" s="1" t="s">
        <v>2867</v>
      </c>
      <c r="F952" s="1" t="s">
        <v>2868</v>
      </c>
      <c r="G952" s="1">
        <v>1</v>
      </c>
      <c r="H952" s="7">
        <v>45560</v>
      </c>
      <c r="I952" s="1" t="s">
        <v>7455</v>
      </c>
      <c r="J952" s="7">
        <v>45560</v>
      </c>
      <c r="K952" s="1" t="s">
        <v>7455</v>
      </c>
    </row>
    <row r="953" spans="1:11" x14ac:dyDescent="0.3">
      <c r="A953" s="1">
        <v>952</v>
      </c>
      <c r="B953" s="1" t="s">
        <v>2869</v>
      </c>
      <c r="C953" s="1" t="s">
        <v>2870</v>
      </c>
      <c r="F953" s="1" t="s">
        <v>2871</v>
      </c>
      <c r="G953" s="1">
        <v>1</v>
      </c>
      <c r="H953" s="7">
        <v>45560</v>
      </c>
      <c r="I953" s="1" t="s">
        <v>7455</v>
      </c>
      <c r="J953" s="7">
        <v>45560</v>
      </c>
      <c r="K953" s="1" t="s">
        <v>7455</v>
      </c>
    </row>
    <row r="954" spans="1:11" x14ac:dyDescent="0.3">
      <c r="A954" s="1">
        <v>953</v>
      </c>
      <c r="B954" s="1" t="s">
        <v>2872</v>
      </c>
      <c r="C954" s="1" t="s">
        <v>2873</v>
      </c>
      <c r="F954" s="1" t="s">
        <v>2874</v>
      </c>
      <c r="G954" s="1">
        <v>1</v>
      </c>
      <c r="H954" s="7">
        <v>45560</v>
      </c>
      <c r="I954" s="1" t="s">
        <v>7455</v>
      </c>
      <c r="J954" s="7">
        <v>45560</v>
      </c>
      <c r="K954" s="1" t="s">
        <v>7455</v>
      </c>
    </row>
    <row r="955" spans="1:11" x14ac:dyDescent="0.3">
      <c r="A955" s="1">
        <v>954</v>
      </c>
      <c r="B955" s="1" t="s">
        <v>2875</v>
      </c>
      <c r="C955" s="1" t="s">
        <v>2876</v>
      </c>
      <c r="E955" s="1" t="s">
        <v>52</v>
      </c>
      <c r="G955" s="1">
        <v>1</v>
      </c>
      <c r="H955" s="7">
        <v>45560</v>
      </c>
      <c r="I955" s="1" t="s">
        <v>7455</v>
      </c>
      <c r="J955" s="7">
        <v>45560</v>
      </c>
      <c r="K955" s="1" t="s">
        <v>7455</v>
      </c>
    </row>
    <row r="956" spans="1:11" x14ac:dyDescent="0.3">
      <c r="A956" s="1">
        <v>955</v>
      </c>
      <c r="B956" s="1" t="s">
        <v>2877</v>
      </c>
      <c r="C956" s="1" t="s">
        <v>2878</v>
      </c>
      <c r="E956" s="1" t="s">
        <v>52</v>
      </c>
      <c r="G956" s="1">
        <v>1</v>
      </c>
      <c r="H956" s="7">
        <v>45560</v>
      </c>
      <c r="I956" s="1" t="s">
        <v>7455</v>
      </c>
      <c r="J956" s="7">
        <v>45560</v>
      </c>
      <c r="K956" s="1" t="s">
        <v>7455</v>
      </c>
    </row>
    <row r="957" spans="1:11" x14ac:dyDescent="0.3">
      <c r="A957" s="1">
        <v>956</v>
      </c>
      <c r="B957" s="1" t="s">
        <v>2879</v>
      </c>
      <c r="C957" s="1" t="s">
        <v>2880</v>
      </c>
      <c r="D957" s="1" t="s">
        <v>2881</v>
      </c>
      <c r="G957" s="1">
        <v>1</v>
      </c>
      <c r="H957" s="7">
        <v>45560</v>
      </c>
      <c r="I957" s="1" t="s">
        <v>7455</v>
      </c>
      <c r="J957" s="7">
        <v>45560</v>
      </c>
      <c r="K957" s="1" t="s">
        <v>7455</v>
      </c>
    </row>
    <row r="958" spans="1:11" x14ac:dyDescent="0.3">
      <c r="A958" s="1">
        <v>957</v>
      </c>
      <c r="B958" s="1" t="s">
        <v>2882</v>
      </c>
      <c r="C958" s="1" t="s">
        <v>2883</v>
      </c>
      <c r="F958" s="1" t="s">
        <v>2884</v>
      </c>
      <c r="G958" s="1">
        <v>1</v>
      </c>
      <c r="H958" s="7">
        <v>45560</v>
      </c>
      <c r="I958" s="1" t="s">
        <v>7455</v>
      </c>
      <c r="J958" s="7">
        <v>45560</v>
      </c>
      <c r="K958" s="1" t="s">
        <v>7455</v>
      </c>
    </row>
    <row r="959" spans="1:11" x14ac:dyDescent="0.3">
      <c r="A959" s="1">
        <v>958</v>
      </c>
      <c r="B959" s="1" t="s">
        <v>2885</v>
      </c>
      <c r="C959" s="1" t="s">
        <v>2886</v>
      </c>
      <c r="F959" s="1" t="s">
        <v>2887</v>
      </c>
      <c r="G959" s="1">
        <v>1</v>
      </c>
      <c r="H959" s="7">
        <v>45560</v>
      </c>
      <c r="I959" s="1" t="s">
        <v>7455</v>
      </c>
      <c r="J959" s="7">
        <v>45560</v>
      </c>
      <c r="K959" s="1" t="s">
        <v>7455</v>
      </c>
    </row>
    <row r="960" spans="1:11" x14ac:dyDescent="0.3">
      <c r="A960" s="1">
        <v>959</v>
      </c>
      <c r="B960" s="1" t="s">
        <v>2888</v>
      </c>
      <c r="C960" s="1" t="s">
        <v>2889</v>
      </c>
      <c r="D960" s="1" t="s">
        <v>2890</v>
      </c>
      <c r="F960" s="1" t="s">
        <v>2891</v>
      </c>
      <c r="G960" s="1">
        <v>1</v>
      </c>
      <c r="H960" s="7">
        <v>45560</v>
      </c>
      <c r="I960" s="1" t="s">
        <v>7455</v>
      </c>
      <c r="J960" s="7">
        <v>45560</v>
      </c>
      <c r="K960" s="1" t="s">
        <v>7455</v>
      </c>
    </row>
    <row r="961" spans="1:11" x14ac:dyDescent="0.3">
      <c r="A961" s="1">
        <v>960</v>
      </c>
      <c r="B961" s="1" t="s">
        <v>2892</v>
      </c>
      <c r="C961" s="1" t="s">
        <v>2893</v>
      </c>
      <c r="D961" s="1" t="s">
        <v>2894</v>
      </c>
      <c r="G961" s="1">
        <v>1</v>
      </c>
      <c r="H961" s="7">
        <v>45560</v>
      </c>
      <c r="I961" s="1" t="s">
        <v>7455</v>
      </c>
      <c r="J961" s="7">
        <v>45560</v>
      </c>
      <c r="K961" s="1" t="s">
        <v>7455</v>
      </c>
    </row>
    <row r="962" spans="1:11" x14ac:dyDescent="0.3">
      <c r="A962" s="1">
        <v>961</v>
      </c>
      <c r="B962" s="1" t="s">
        <v>2895</v>
      </c>
      <c r="C962" s="1" t="s">
        <v>2896</v>
      </c>
      <c r="E962" s="1" t="s">
        <v>52</v>
      </c>
      <c r="G962" s="1">
        <v>1</v>
      </c>
      <c r="H962" s="7">
        <v>45560</v>
      </c>
      <c r="I962" s="1" t="s">
        <v>7455</v>
      </c>
      <c r="J962" s="7">
        <v>45560</v>
      </c>
      <c r="K962" s="1" t="s">
        <v>7455</v>
      </c>
    </row>
    <row r="963" spans="1:11" x14ac:dyDescent="0.3">
      <c r="A963" s="1">
        <v>962</v>
      </c>
      <c r="B963" s="1" t="s">
        <v>2897</v>
      </c>
      <c r="C963" s="1" t="s">
        <v>2898</v>
      </c>
      <c r="D963" s="1" t="s">
        <v>2899</v>
      </c>
      <c r="F963" s="1" t="s">
        <v>2900</v>
      </c>
      <c r="G963" s="1">
        <v>1</v>
      </c>
      <c r="H963" s="7">
        <v>45560</v>
      </c>
      <c r="I963" s="1" t="s">
        <v>7455</v>
      </c>
      <c r="J963" s="7">
        <v>45560</v>
      </c>
      <c r="K963" s="1" t="s">
        <v>7455</v>
      </c>
    </row>
    <row r="964" spans="1:11" x14ac:dyDescent="0.3">
      <c r="A964" s="1">
        <v>963</v>
      </c>
      <c r="B964" s="1" t="s">
        <v>2901</v>
      </c>
      <c r="C964" s="1" t="s">
        <v>2902</v>
      </c>
      <c r="D964" s="1" t="s">
        <v>2903</v>
      </c>
      <c r="G964" s="1">
        <v>1</v>
      </c>
      <c r="H964" s="7">
        <v>45560</v>
      </c>
      <c r="I964" s="1" t="s">
        <v>7455</v>
      </c>
      <c r="J964" s="7">
        <v>45560</v>
      </c>
      <c r="K964" s="1" t="s">
        <v>7455</v>
      </c>
    </row>
    <row r="965" spans="1:11" x14ac:dyDescent="0.3">
      <c r="A965" s="1">
        <v>964</v>
      </c>
      <c r="B965" s="1" t="s">
        <v>2904</v>
      </c>
      <c r="C965" s="1" t="s">
        <v>2905</v>
      </c>
      <c r="D965" s="1" t="s">
        <v>2906</v>
      </c>
      <c r="F965" s="1" t="s">
        <v>2907</v>
      </c>
      <c r="G965" s="1">
        <v>1</v>
      </c>
      <c r="H965" s="7">
        <v>45560</v>
      </c>
      <c r="I965" s="1" t="s">
        <v>7455</v>
      </c>
      <c r="J965" s="7">
        <v>45560</v>
      </c>
      <c r="K965" s="1" t="s">
        <v>7455</v>
      </c>
    </row>
    <row r="966" spans="1:11" x14ac:dyDescent="0.3">
      <c r="A966" s="1">
        <v>965</v>
      </c>
      <c r="B966" s="1" t="s">
        <v>2908</v>
      </c>
      <c r="C966" s="1" t="s">
        <v>2909</v>
      </c>
      <c r="D966" s="1" t="s">
        <v>2910</v>
      </c>
      <c r="G966" s="1">
        <v>1</v>
      </c>
      <c r="H966" s="7">
        <v>45560</v>
      </c>
      <c r="I966" s="1" t="s">
        <v>7455</v>
      </c>
      <c r="J966" s="7">
        <v>45560</v>
      </c>
      <c r="K966" s="1" t="s">
        <v>7455</v>
      </c>
    </row>
    <row r="967" spans="1:11" x14ac:dyDescent="0.3">
      <c r="A967" s="1">
        <v>966</v>
      </c>
      <c r="B967" s="1" t="s">
        <v>2911</v>
      </c>
      <c r="C967" s="1" t="s">
        <v>2912</v>
      </c>
      <c r="F967" s="1" t="s">
        <v>2913</v>
      </c>
      <c r="G967" s="1">
        <v>1</v>
      </c>
      <c r="H967" s="7">
        <v>45560</v>
      </c>
      <c r="I967" s="1" t="s">
        <v>7455</v>
      </c>
      <c r="J967" s="7">
        <v>45560</v>
      </c>
      <c r="K967" s="1" t="s">
        <v>7455</v>
      </c>
    </row>
    <row r="968" spans="1:11" x14ac:dyDescent="0.3">
      <c r="A968" s="1">
        <v>967</v>
      </c>
      <c r="B968" s="1" t="s">
        <v>2914</v>
      </c>
      <c r="C968" s="1" t="s">
        <v>2915</v>
      </c>
      <c r="E968" s="1" t="s">
        <v>52</v>
      </c>
      <c r="G968" s="1">
        <v>1</v>
      </c>
      <c r="H968" s="7">
        <v>45560</v>
      </c>
      <c r="I968" s="1" t="s">
        <v>7455</v>
      </c>
      <c r="J968" s="7">
        <v>45560</v>
      </c>
      <c r="K968" s="1" t="s">
        <v>7455</v>
      </c>
    </row>
    <row r="969" spans="1:11" x14ac:dyDescent="0.3">
      <c r="A969" s="1">
        <v>968</v>
      </c>
      <c r="B969" s="1" t="s">
        <v>2916</v>
      </c>
      <c r="C969" s="1" t="s">
        <v>2917</v>
      </c>
      <c r="F969" s="1" t="s">
        <v>2918</v>
      </c>
      <c r="G969" s="1">
        <v>1</v>
      </c>
      <c r="H969" s="7">
        <v>45560</v>
      </c>
      <c r="I969" s="1" t="s">
        <v>7455</v>
      </c>
      <c r="J969" s="7">
        <v>45560</v>
      </c>
      <c r="K969" s="1" t="s">
        <v>7455</v>
      </c>
    </row>
    <row r="970" spans="1:11" x14ac:dyDescent="0.3">
      <c r="A970" s="1">
        <v>969</v>
      </c>
      <c r="B970" s="1" t="s">
        <v>2919</v>
      </c>
      <c r="C970" s="1" t="s">
        <v>2920</v>
      </c>
      <c r="F970" s="1" t="s">
        <v>2921</v>
      </c>
      <c r="G970" s="1">
        <v>1</v>
      </c>
      <c r="H970" s="7">
        <v>45560</v>
      </c>
      <c r="I970" s="1" t="s">
        <v>7455</v>
      </c>
      <c r="J970" s="7">
        <v>45560</v>
      </c>
      <c r="K970" s="1" t="s">
        <v>7455</v>
      </c>
    </row>
    <row r="971" spans="1:11" ht="43.2" x14ac:dyDescent="0.3">
      <c r="A971" s="1">
        <v>970</v>
      </c>
      <c r="B971" s="1" t="s">
        <v>2922</v>
      </c>
      <c r="C971" s="1" t="s">
        <v>2923</v>
      </c>
      <c r="D971" s="8" t="s">
        <v>2924</v>
      </c>
      <c r="F971" s="1" t="s">
        <v>2925</v>
      </c>
      <c r="G971" s="1">
        <v>1</v>
      </c>
      <c r="H971" s="7">
        <v>45560</v>
      </c>
      <c r="I971" s="1" t="s">
        <v>7455</v>
      </c>
      <c r="J971" s="7">
        <v>45560</v>
      </c>
      <c r="K971" s="1" t="s">
        <v>7455</v>
      </c>
    </row>
    <row r="972" spans="1:11" x14ac:dyDescent="0.3">
      <c r="A972" s="1">
        <v>971</v>
      </c>
      <c r="B972" s="1" t="s">
        <v>2926</v>
      </c>
      <c r="C972" s="1" t="s">
        <v>2927</v>
      </c>
      <c r="D972" s="1" t="s">
        <v>587</v>
      </c>
      <c r="F972" s="1" t="s">
        <v>2928</v>
      </c>
      <c r="G972" s="1">
        <v>1</v>
      </c>
      <c r="H972" s="7">
        <v>45560</v>
      </c>
      <c r="I972" s="1" t="s">
        <v>7455</v>
      </c>
      <c r="J972" s="7">
        <v>45560</v>
      </c>
      <c r="K972" s="1" t="s">
        <v>7455</v>
      </c>
    </row>
    <row r="973" spans="1:11" x14ac:dyDescent="0.3">
      <c r="A973" s="1">
        <v>972</v>
      </c>
      <c r="B973" s="1" t="s">
        <v>2929</v>
      </c>
      <c r="C973" s="1" t="s">
        <v>2930</v>
      </c>
      <c r="F973" s="1" t="s">
        <v>2931</v>
      </c>
      <c r="G973" s="1">
        <v>1</v>
      </c>
      <c r="H973" s="7">
        <v>45560</v>
      </c>
      <c r="I973" s="1" t="s">
        <v>7455</v>
      </c>
      <c r="J973" s="7">
        <v>45560</v>
      </c>
      <c r="K973" s="1" t="s">
        <v>7455</v>
      </c>
    </row>
    <row r="974" spans="1:11" x14ac:dyDescent="0.3">
      <c r="A974" s="1">
        <v>973</v>
      </c>
      <c r="B974" s="1" t="s">
        <v>2932</v>
      </c>
      <c r="C974" s="1" t="s">
        <v>2933</v>
      </c>
      <c r="E974" s="1" t="s">
        <v>52</v>
      </c>
      <c r="G974" s="1">
        <v>1</v>
      </c>
      <c r="H974" s="7">
        <v>45560</v>
      </c>
      <c r="I974" s="1" t="s">
        <v>7455</v>
      </c>
      <c r="J974" s="7">
        <v>45560</v>
      </c>
      <c r="K974" s="1" t="s">
        <v>7455</v>
      </c>
    </row>
    <row r="975" spans="1:11" x14ac:dyDescent="0.3">
      <c r="A975" s="1">
        <v>974</v>
      </c>
      <c r="B975" s="1" t="s">
        <v>2934</v>
      </c>
      <c r="C975" s="1" t="s">
        <v>2935</v>
      </c>
      <c r="F975" s="1" t="s">
        <v>2936</v>
      </c>
      <c r="G975" s="1">
        <v>1</v>
      </c>
      <c r="H975" s="7">
        <v>45560</v>
      </c>
      <c r="I975" s="1" t="s">
        <v>7455</v>
      </c>
      <c r="J975" s="7">
        <v>45560</v>
      </c>
      <c r="K975" s="1" t="s">
        <v>7455</v>
      </c>
    </row>
    <row r="976" spans="1:11" x14ac:dyDescent="0.3">
      <c r="A976" s="1">
        <v>975</v>
      </c>
      <c r="B976" s="1" t="s">
        <v>2937</v>
      </c>
      <c r="C976" s="1" t="s">
        <v>2938</v>
      </c>
      <c r="F976" s="1" t="s">
        <v>2939</v>
      </c>
      <c r="G976" s="1">
        <v>1</v>
      </c>
      <c r="H976" s="7">
        <v>45560</v>
      </c>
      <c r="I976" s="1" t="s">
        <v>7455</v>
      </c>
      <c r="J976" s="7">
        <v>45560</v>
      </c>
      <c r="K976" s="1" t="s">
        <v>7455</v>
      </c>
    </row>
    <row r="977" spans="1:11" x14ac:dyDescent="0.3">
      <c r="A977" s="1">
        <v>976</v>
      </c>
      <c r="B977" s="1" t="s">
        <v>2940</v>
      </c>
      <c r="C977" s="1" t="s">
        <v>2941</v>
      </c>
      <c r="F977" s="1" t="s">
        <v>2942</v>
      </c>
      <c r="G977" s="1">
        <v>1</v>
      </c>
      <c r="H977" s="7">
        <v>45560</v>
      </c>
      <c r="I977" s="1" t="s">
        <v>7455</v>
      </c>
      <c r="J977" s="7">
        <v>45560</v>
      </c>
      <c r="K977" s="1" t="s">
        <v>7455</v>
      </c>
    </row>
    <row r="978" spans="1:11" x14ac:dyDescent="0.3">
      <c r="A978" s="1">
        <v>977</v>
      </c>
      <c r="B978" s="1" t="s">
        <v>2943</v>
      </c>
      <c r="C978" s="1" t="s">
        <v>2944</v>
      </c>
      <c r="D978" s="1" t="s">
        <v>2945</v>
      </c>
      <c r="F978" s="1" t="s">
        <v>2946</v>
      </c>
      <c r="G978" s="1">
        <v>1</v>
      </c>
      <c r="H978" s="7">
        <v>45560</v>
      </c>
      <c r="I978" s="1" t="s">
        <v>7455</v>
      </c>
      <c r="J978" s="7">
        <v>45560</v>
      </c>
      <c r="K978" s="1" t="s">
        <v>7455</v>
      </c>
    </row>
    <row r="979" spans="1:11" x14ac:dyDescent="0.3">
      <c r="A979" s="1">
        <v>978</v>
      </c>
      <c r="B979" s="1" t="s">
        <v>2947</v>
      </c>
      <c r="C979" s="1" t="s">
        <v>2948</v>
      </c>
      <c r="D979" s="1" t="s">
        <v>2949</v>
      </c>
      <c r="F979" s="1" t="s">
        <v>2950</v>
      </c>
      <c r="G979" s="1">
        <v>1</v>
      </c>
      <c r="H979" s="7">
        <v>45560</v>
      </c>
      <c r="I979" s="1" t="s">
        <v>7455</v>
      </c>
      <c r="J979" s="7">
        <v>45560</v>
      </c>
      <c r="K979" s="1" t="s">
        <v>7455</v>
      </c>
    </row>
    <row r="980" spans="1:11" x14ac:dyDescent="0.3">
      <c r="A980" s="1">
        <v>979</v>
      </c>
      <c r="B980" s="1" t="s">
        <v>2951</v>
      </c>
      <c r="C980" s="1" t="s">
        <v>2952</v>
      </c>
      <c r="D980" s="1" t="s">
        <v>2953</v>
      </c>
      <c r="F980" s="1" t="s">
        <v>2950</v>
      </c>
      <c r="G980" s="1">
        <v>1</v>
      </c>
      <c r="H980" s="7">
        <v>45560</v>
      </c>
      <c r="I980" s="1" t="s">
        <v>7455</v>
      </c>
      <c r="J980" s="7">
        <v>45560</v>
      </c>
      <c r="K980" s="1" t="s">
        <v>7455</v>
      </c>
    </row>
    <row r="981" spans="1:11" ht="43.2" x14ac:dyDescent="0.3">
      <c r="A981" s="1">
        <v>980</v>
      </c>
      <c r="B981" s="1" t="s">
        <v>2954</v>
      </c>
      <c r="C981" s="1" t="s">
        <v>2955</v>
      </c>
      <c r="D981" s="8" t="s">
        <v>2956</v>
      </c>
      <c r="E981" s="1" t="s">
        <v>73</v>
      </c>
      <c r="G981" s="1">
        <v>1</v>
      </c>
      <c r="H981" s="7">
        <v>45560</v>
      </c>
      <c r="I981" s="1" t="s">
        <v>7455</v>
      </c>
      <c r="J981" s="7">
        <v>45560</v>
      </c>
      <c r="K981" s="1" t="s">
        <v>7455</v>
      </c>
    </row>
    <row r="982" spans="1:11" x14ac:dyDescent="0.3">
      <c r="A982" s="1">
        <v>981</v>
      </c>
      <c r="B982" s="1" t="s">
        <v>2957</v>
      </c>
      <c r="C982" s="1" t="s">
        <v>2958</v>
      </c>
      <c r="F982" s="1" t="s">
        <v>2911</v>
      </c>
      <c r="G982" s="1">
        <v>1</v>
      </c>
      <c r="H982" s="7">
        <v>45560</v>
      </c>
      <c r="I982" s="1" t="s">
        <v>7455</v>
      </c>
      <c r="J982" s="7">
        <v>45560</v>
      </c>
      <c r="K982" s="1" t="s">
        <v>7455</v>
      </c>
    </row>
    <row r="983" spans="1:11" x14ac:dyDescent="0.3">
      <c r="A983" s="1">
        <v>982</v>
      </c>
      <c r="B983" s="1" t="s">
        <v>630</v>
      </c>
      <c r="C983" s="1" t="s">
        <v>2959</v>
      </c>
      <c r="E983" s="1" t="s">
        <v>52</v>
      </c>
      <c r="G983" s="1">
        <v>1</v>
      </c>
      <c r="H983" s="7">
        <v>45560</v>
      </c>
      <c r="I983" s="1" t="s">
        <v>7455</v>
      </c>
      <c r="J983" s="7">
        <v>45560</v>
      </c>
      <c r="K983" s="1" t="s">
        <v>7455</v>
      </c>
    </row>
    <row r="984" spans="1:11" x14ac:dyDescent="0.3">
      <c r="A984" s="1">
        <v>983</v>
      </c>
      <c r="B984" s="1" t="s">
        <v>2960</v>
      </c>
      <c r="C984" s="1" t="s">
        <v>2961</v>
      </c>
      <c r="F984" s="1" t="s">
        <v>2962</v>
      </c>
      <c r="G984" s="1">
        <v>1</v>
      </c>
      <c r="H984" s="7">
        <v>45560</v>
      </c>
      <c r="I984" s="1" t="s">
        <v>7455</v>
      </c>
      <c r="J984" s="7">
        <v>45560</v>
      </c>
      <c r="K984" s="1" t="s">
        <v>7455</v>
      </c>
    </row>
    <row r="985" spans="1:11" x14ac:dyDescent="0.3">
      <c r="A985" s="1">
        <v>984</v>
      </c>
      <c r="B985" s="1" t="s">
        <v>2963</v>
      </c>
      <c r="C985" s="1" t="s">
        <v>2964</v>
      </c>
      <c r="E985" s="1" t="s">
        <v>52</v>
      </c>
      <c r="G985" s="1">
        <v>1</v>
      </c>
      <c r="H985" s="7">
        <v>45560</v>
      </c>
      <c r="I985" s="1" t="s">
        <v>7455</v>
      </c>
      <c r="J985" s="7">
        <v>45560</v>
      </c>
      <c r="K985" s="1" t="s">
        <v>7455</v>
      </c>
    </row>
    <row r="986" spans="1:11" x14ac:dyDescent="0.3">
      <c r="A986" s="1">
        <v>985</v>
      </c>
      <c r="B986" s="1" t="s">
        <v>2965</v>
      </c>
      <c r="C986" s="1" t="s">
        <v>2966</v>
      </c>
      <c r="E986" s="1" t="s">
        <v>52</v>
      </c>
      <c r="G986" s="1">
        <v>1</v>
      </c>
      <c r="H986" s="7">
        <v>45560</v>
      </c>
      <c r="I986" s="1" t="s">
        <v>7455</v>
      </c>
      <c r="J986" s="7">
        <v>45560</v>
      </c>
      <c r="K986" s="1" t="s">
        <v>7455</v>
      </c>
    </row>
    <row r="987" spans="1:11" x14ac:dyDescent="0.3">
      <c r="A987" s="1">
        <v>986</v>
      </c>
      <c r="B987" s="1" t="s">
        <v>2967</v>
      </c>
      <c r="C987" s="1" t="s">
        <v>2968</v>
      </c>
      <c r="F987" s="1" t="s">
        <v>2969</v>
      </c>
      <c r="G987" s="1">
        <v>1</v>
      </c>
      <c r="H987" s="7">
        <v>45560</v>
      </c>
      <c r="I987" s="1" t="s">
        <v>7455</v>
      </c>
      <c r="J987" s="7">
        <v>45560</v>
      </c>
      <c r="K987" s="1" t="s">
        <v>7455</v>
      </c>
    </row>
    <row r="988" spans="1:11" x14ac:dyDescent="0.3">
      <c r="A988" s="1">
        <v>987</v>
      </c>
      <c r="B988" s="1" t="s">
        <v>2970</v>
      </c>
      <c r="C988" s="1" t="s">
        <v>2971</v>
      </c>
      <c r="F988" s="1" t="s">
        <v>2972</v>
      </c>
      <c r="G988" s="1">
        <v>1</v>
      </c>
      <c r="H988" s="7">
        <v>45560</v>
      </c>
      <c r="I988" s="1" t="s">
        <v>7455</v>
      </c>
      <c r="J988" s="7">
        <v>45560</v>
      </c>
      <c r="K988" s="1" t="s">
        <v>7455</v>
      </c>
    </row>
    <row r="989" spans="1:11" x14ac:dyDescent="0.3">
      <c r="A989" s="1">
        <v>988</v>
      </c>
      <c r="B989" s="1" t="s">
        <v>2973</v>
      </c>
      <c r="C989" s="1" t="s">
        <v>2974</v>
      </c>
      <c r="F989" s="1" t="s">
        <v>2975</v>
      </c>
      <c r="G989" s="1">
        <v>1</v>
      </c>
      <c r="H989" s="7">
        <v>45560</v>
      </c>
      <c r="I989" s="1" t="s">
        <v>7455</v>
      </c>
      <c r="J989" s="7">
        <v>45560</v>
      </c>
      <c r="K989" s="1" t="s">
        <v>7455</v>
      </c>
    </row>
    <row r="990" spans="1:11" x14ac:dyDescent="0.3">
      <c r="A990" s="1">
        <v>989</v>
      </c>
      <c r="B990" s="1" t="s">
        <v>2976</v>
      </c>
      <c r="C990" s="1" t="s">
        <v>2977</v>
      </c>
      <c r="F990" s="1" t="s">
        <v>2978</v>
      </c>
      <c r="G990" s="1">
        <v>1</v>
      </c>
      <c r="H990" s="7">
        <v>45560</v>
      </c>
      <c r="I990" s="1" t="s">
        <v>7455</v>
      </c>
      <c r="J990" s="7">
        <v>45560</v>
      </c>
      <c r="K990" s="1" t="s">
        <v>7455</v>
      </c>
    </row>
    <row r="991" spans="1:11" x14ac:dyDescent="0.3">
      <c r="A991" s="1">
        <v>990</v>
      </c>
      <c r="B991" s="1" t="s">
        <v>2979</v>
      </c>
      <c r="C991" s="1" t="s">
        <v>2980</v>
      </c>
      <c r="F991" s="1" t="s">
        <v>2981</v>
      </c>
      <c r="G991" s="1">
        <v>1</v>
      </c>
      <c r="H991" s="7">
        <v>45560</v>
      </c>
      <c r="I991" s="1" t="s">
        <v>7455</v>
      </c>
      <c r="J991" s="7">
        <v>45560</v>
      </c>
      <c r="K991" s="1" t="s">
        <v>7455</v>
      </c>
    </row>
    <row r="992" spans="1:11" x14ac:dyDescent="0.3">
      <c r="A992" s="1">
        <v>991</v>
      </c>
      <c r="B992" s="1" t="s">
        <v>2982</v>
      </c>
      <c r="C992" s="1" t="s">
        <v>2983</v>
      </c>
      <c r="F992" s="1" t="s">
        <v>2984</v>
      </c>
      <c r="G992" s="1">
        <v>1</v>
      </c>
      <c r="H992" s="7">
        <v>45560</v>
      </c>
      <c r="I992" s="1" t="s">
        <v>7455</v>
      </c>
      <c r="J992" s="7">
        <v>45560</v>
      </c>
      <c r="K992" s="1" t="s">
        <v>7455</v>
      </c>
    </row>
    <row r="993" spans="1:11" x14ac:dyDescent="0.3">
      <c r="A993" s="1">
        <v>992</v>
      </c>
      <c r="B993" s="1" t="s">
        <v>2985</v>
      </c>
      <c r="C993" s="1" t="s">
        <v>2986</v>
      </c>
      <c r="F993" s="1" t="s">
        <v>2987</v>
      </c>
      <c r="G993" s="1">
        <v>1</v>
      </c>
      <c r="H993" s="7">
        <v>45560</v>
      </c>
      <c r="I993" s="1" t="s">
        <v>7455</v>
      </c>
      <c r="J993" s="7">
        <v>45560</v>
      </c>
      <c r="K993" s="1" t="s">
        <v>7455</v>
      </c>
    </row>
    <row r="994" spans="1:11" x14ac:dyDescent="0.3">
      <c r="A994" s="1">
        <v>993</v>
      </c>
      <c r="B994" s="1" t="s">
        <v>2988</v>
      </c>
      <c r="C994" s="1" t="s">
        <v>2989</v>
      </c>
      <c r="E994" s="1" t="s">
        <v>52</v>
      </c>
      <c r="G994" s="1">
        <v>1</v>
      </c>
      <c r="H994" s="7">
        <v>45560</v>
      </c>
      <c r="I994" s="1" t="s">
        <v>7455</v>
      </c>
      <c r="J994" s="7">
        <v>45560</v>
      </c>
      <c r="K994" s="1" t="s">
        <v>7455</v>
      </c>
    </row>
    <row r="995" spans="1:11" x14ac:dyDescent="0.3">
      <c r="A995" s="1">
        <v>994</v>
      </c>
      <c r="B995" s="1" t="s">
        <v>2990</v>
      </c>
      <c r="C995" s="1" t="s">
        <v>2991</v>
      </c>
      <c r="F995" s="1" t="s">
        <v>2992</v>
      </c>
      <c r="G995" s="1">
        <v>1</v>
      </c>
      <c r="H995" s="7">
        <v>45560</v>
      </c>
      <c r="I995" s="1" t="s">
        <v>7455</v>
      </c>
      <c r="J995" s="7">
        <v>45560</v>
      </c>
      <c r="K995" s="1" t="s">
        <v>7455</v>
      </c>
    </row>
    <row r="996" spans="1:11" x14ac:dyDescent="0.3">
      <c r="A996" s="1">
        <v>995</v>
      </c>
      <c r="B996" s="1" t="s">
        <v>2993</v>
      </c>
      <c r="C996" s="1" t="s">
        <v>2994</v>
      </c>
      <c r="F996" s="1" t="s">
        <v>2995</v>
      </c>
      <c r="G996" s="1">
        <v>1</v>
      </c>
      <c r="H996" s="7">
        <v>45560</v>
      </c>
      <c r="I996" s="1" t="s">
        <v>7455</v>
      </c>
      <c r="J996" s="7">
        <v>45560</v>
      </c>
      <c r="K996" s="1" t="s">
        <v>7455</v>
      </c>
    </row>
    <row r="997" spans="1:11" x14ac:dyDescent="0.3">
      <c r="A997" s="1">
        <v>996</v>
      </c>
      <c r="B997" s="1" t="s">
        <v>2996</v>
      </c>
      <c r="C997" s="1" t="s">
        <v>2997</v>
      </c>
      <c r="F997" s="1" t="s">
        <v>2998</v>
      </c>
      <c r="G997" s="1">
        <v>1</v>
      </c>
      <c r="H997" s="7">
        <v>45560</v>
      </c>
      <c r="I997" s="1" t="s">
        <v>7455</v>
      </c>
      <c r="J997" s="7">
        <v>45560</v>
      </c>
      <c r="K997" s="1" t="s">
        <v>7455</v>
      </c>
    </row>
    <row r="998" spans="1:11" x14ac:dyDescent="0.3">
      <c r="A998" s="1">
        <v>997</v>
      </c>
      <c r="B998" s="1" t="s">
        <v>2999</v>
      </c>
      <c r="C998" s="1" t="s">
        <v>3000</v>
      </c>
      <c r="F998" s="1" t="s">
        <v>3001</v>
      </c>
      <c r="G998" s="1">
        <v>1</v>
      </c>
      <c r="H998" s="7">
        <v>45560</v>
      </c>
      <c r="I998" s="1" t="s">
        <v>7455</v>
      </c>
      <c r="J998" s="7">
        <v>45560</v>
      </c>
      <c r="K998" s="1" t="s">
        <v>7455</v>
      </c>
    </row>
    <row r="999" spans="1:11" x14ac:dyDescent="0.3">
      <c r="A999" s="1">
        <v>998</v>
      </c>
      <c r="B999" s="1" t="s">
        <v>3002</v>
      </c>
      <c r="C999" s="1" t="s">
        <v>3003</v>
      </c>
      <c r="F999" s="1" t="s">
        <v>3004</v>
      </c>
      <c r="G999" s="1">
        <v>1</v>
      </c>
      <c r="H999" s="7">
        <v>45560</v>
      </c>
      <c r="I999" s="1" t="s">
        <v>7455</v>
      </c>
      <c r="J999" s="7">
        <v>45560</v>
      </c>
      <c r="K999" s="1" t="s">
        <v>7455</v>
      </c>
    </row>
    <row r="1000" spans="1:11" x14ac:dyDescent="0.3">
      <c r="A1000" s="1">
        <v>999</v>
      </c>
      <c r="B1000" s="1" t="s">
        <v>3005</v>
      </c>
      <c r="C1000" s="1" t="s">
        <v>3006</v>
      </c>
      <c r="F1000" s="1" t="s">
        <v>3007</v>
      </c>
      <c r="G1000" s="1">
        <v>1</v>
      </c>
      <c r="H1000" s="7">
        <v>45560</v>
      </c>
      <c r="I1000" s="1" t="s">
        <v>7455</v>
      </c>
      <c r="J1000" s="7">
        <v>45560</v>
      </c>
      <c r="K1000" s="1" t="s">
        <v>7455</v>
      </c>
    </row>
    <row r="1001" spans="1:11" x14ac:dyDescent="0.3">
      <c r="A1001" s="1">
        <v>1000</v>
      </c>
      <c r="B1001" s="1" t="s">
        <v>3008</v>
      </c>
      <c r="C1001" s="1" t="s">
        <v>3009</v>
      </c>
      <c r="F1001" s="1" t="s">
        <v>3010</v>
      </c>
      <c r="G1001" s="1">
        <v>1</v>
      </c>
      <c r="H1001" s="7">
        <v>45560</v>
      </c>
      <c r="I1001" s="1" t="s">
        <v>7455</v>
      </c>
      <c r="J1001" s="7">
        <v>45560</v>
      </c>
      <c r="K1001" s="1" t="s">
        <v>7455</v>
      </c>
    </row>
    <row r="1002" spans="1:11" x14ac:dyDescent="0.3">
      <c r="A1002" s="1">
        <v>1001</v>
      </c>
      <c r="B1002" s="1" t="s">
        <v>3011</v>
      </c>
      <c r="C1002" s="1" t="s">
        <v>3012</v>
      </c>
      <c r="D1002" s="1" t="s">
        <v>3013</v>
      </c>
      <c r="F1002" s="1" t="s">
        <v>3014</v>
      </c>
      <c r="G1002" s="1">
        <v>1</v>
      </c>
      <c r="H1002" s="7">
        <v>45560</v>
      </c>
      <c r="I1002" s="1" t="s">
        <v>7455</v>
      </c>
      <c r="J1002" s="7">
        <v>45560</v>
      </c>
      <c r="K1002" s="1" t="s">
        <v>7455</v>
      </c>
    </row>
    <row r="1003" spans="1:11" x14ac:dyDescent="0.3">
      <c r="A1003" s="1">
        <v>1002</v>
      </c>
      <c r="B1003" s="1" t="s">
        <v>3015</v>
      </c>
      <c r="C1003" s="1" t="s">
        <v>3016</v>
      </c>
      <c r="F1003" s="1" t="s">
        <v>3017</v>
      </c>
      <c r="G1003" s="1">
        <v>1</v>
      </c>
      <c r="H1003" s="7">
        <v>45560</v>
      </c>
      <c r="I1003" s="1" t="s">
        <v>7455</v>
      </c>
      <c r="J1003" s="7">
        <v>45560</v>
      </c>
      <c r="K1003" s="1" t="s">
        <v>7455</v>
      </c>
    </row>
    <row r="1004" spans="1:11" x14ac:dyDescent="0.3">
      <c r="A1004" s="1">
        <v>1003</v>
      </c>
      <c r="B1004" s="1" t="s">
        <v>3018</v>
      </c>
      <c r="C1004" s="1" t="s">
        <v>3019</v>
      </c>
      <c r="E1004" s="1" t="s">
        <v>52</v>
      </c>
      <c r="G1004" s="1">
        <v>1</v>
      </c>
      <c r="H1004" s="7">
        <v>45560</v>
      </c>
      <c r="I1004" s="1" t="s">
        <v>7455</v>
      </c>
      <c r="J1004" s="7">
        <v>45560</v>
      </c>
      <c r="K1004" s="1" t="s">
        <v>7455</v>
      </c>
    </row>
    <row r="1005" spans="1:11" x14ac:dyDescent="0.3">
      <c r="A1005" s="1">
        <v>1004</v>
      </c>
      <c r="B1005" s="1" t="s">
        <v>3020</v>
      </c>
      <c r="C1005" s="1" t="s">
        <v>3021</v>
      </c>
      <c r="F1005" s="1" t="s">
        <v>3022</v>
      </c>
      <c r="G1005" s="1">
        <v>1</v>
      </c>
      <c r="H1005" s="7">
        <v>45560</v>
      </c>
      <c r="I1005" s="1" t="s">
        <v>7455</v>
      </c>
      <c r="J1005" s="7">
        <v>45560</v>
      </c>
      <c r="K1005" s="1" t="s">
        <v>7455</v>
      </c>
    </row>
    <row r="1006" spans="1:11" x14ac:dyDescent="0.3">
      <c r="A1006" s="1">
        <v>1005</v>
      </c>
      <c r="B1006" s="1" t="s">
        <v>3023</v>
      </c>
      <c r="C1006" s="1" t="s">
        <v>3024</v>
      </c>
      <c r="D1006" s="1" t="s">
        <v>3025</v>
      </c>
      <c r="G1006" s="1">
        <v>1</v>
      </c>
      <c r="H1006" s="7">
        <v>45560</v>
      </c>
      <c r="I1006" s="1" t="s">
        <v>7455</v>
      </c>
      <c r="J1006" s="7">
        <v>45560</v>
      </c>
      <c r="K1006" s="1" t="s">
        <v>7455</v>
      </c>
    </row>
    <row r="1007" spans="1:11" x14ac:dyDescent="0.3">
      <c r="A1007" s="1">
        <v>1006</v>
      </c>
      <c r="B1007" s="1" t="s">
        <v>3026</v>
      </c>
      <c r="C1007" s="1" t="s">
        <v>3027</v>
      </c>
      <c r="F1007" s="1" t="s">
        <v>3028</v>
      </c>
      <c r="G1007" s="1">
        <v>1</v>
      </c>
      <c r="H1007" s="7">
        <v>45560</v>
      </c>
      <c r="I1007" s="1" t="s">
        <v>7455</v>
      </c>
      <c r="J1007" s="7">
        <v>45560</v>
      </c>
      <c r="K1007" s="1" t="s">
        <v>7455</v>
      </c>
    </row>
    <row r="1008" spans="1:11" x14ac:dyDescent="0.3">
      <c r="A1008" s="1">
        <v>1007</v>
      </c>
      <c r="B1008" s="1" t="s">
        <v>3029</v>
      </c>
      <c r="C1008" s="1" t="s">
        <v>3030</v>
      </c>
      <c r="F1008" s="1" t="s">
        <v>3031</v>
      </c>
      <c r="G1008" s="1">
        <v>1</v>
      </c>
      <c r="H1008" s="7">
        <v>45560</v>
      </c>
      <c r="I1008" s="1" t="s">
        <v>7455</v>
      </c>
      <c r="J1008" s="7">
        <v>45560</v>
      </c>
      <c r="K1008" s="1" t="s">
        <v>7455</v>
      </c>
    </row>
    <row r="1009" spans="1:11" x14ac:dyDescent="0.3">
      <c r="A1009" s="1">
        <v>1008</v>
      </c>
      <c r="B1009" s="1" t="s">
        <v>3032</v>
      </c>
      <c r="C1009" s="1" t="s">
        <v>3033</v>
      </c>
      <c r="F1009" s="1" t="s">
        <v>3034</v>
      </c>
      <c r="G1009" s="1">
        <v>1</v>
      </c>
      <c r="H1009" s="7">
        <v>45560</v>
      </c>
      <c r="I1009" s="1" t="s">
        <v>7455</v>
      </c>
      <c r="J1009" s="7">
        <v>45560</v>
      </c>
      <c r="K1009" s="1" t="s">
        <v>7455</v>
      </c>
    </row>
    <row r="1010" spans="1:11" x14ac:dyDescent="0.3">
      <c r="A1010" s="1">
        <v>1009</v>
      </c>
      <c r="B1010" s="1" t="s">
        <v>3035</v>
      </c>
      <c r="C1010" s="1" t="s">
        <v>3036</v>
      </c>
      <c r="D1010" s="1" t="s">
        <v>3037</v>
      </c>
      <c r="F1010" s="1" t="s">
        <v>3038</v>
      </c>
      <c r="G1010" s="1">
        <v>1</v>
      </c>
      <c r="H1010" s="7">
        <v>45560</v>
      </c>
      <c r="I1010" s="1" t="s">
        <v>7455</v>
      </c>
      <c r="J1010" s="7">
        <v>45560</v>
      </c>
      <c r="K1010" s="1" t="s">
        <v>7455</v>
      </c>
    </row>
    <row r="1011" spans="1:11" x14ac:dyDescent="0.3">
      <c r="A1011" s="1">
        <v>1010</v>
      </c>
      <c r="B1011" s="1" t="s">
        <v>3039</v>
      </c>
      <c r="C1011" s="1" t="s">
        <v>3040</v>
      </c>
      <c r="F1011" s="1" t="s">
        <v>3041</v>
      </c>
      <c r="G1011" s="1">
        <v>1</v>
      </c>
      <c r="H1011" s="7">
        <v>45560</v>
      </c>
      <c r="I1011" s="1" t="s">
        <v>7455</v>
      </c>
      <c r="J1011" s="7">
        <v>45560</v>
      </c>
      <c r="K1011" s="1" t="s">
        <v>7455</v>
      </c>
    </row>
    <row r="1012" spans="1:11" x14ac:dyDescent="0.3">
      <c r="A1012" s="1">
        <v>1011</v>
      </c>
      <c r="B1012" s="1" t="s">
        <v>3042</v>
      </c>
      <c r="C1012" s="1" t="s">
        <v>3043</v>
      </c>
      <c r="F1012" s="1" t="s">
        <v>3044</v>
      </c>
      <c r="G1012" s="1">
        <v>1</v>
      </c>
      <c r="H1012" s="7">
        <v>45560</v>
      </c>
      <c r="I1012" s="1" t="s">
        <v>7455</v>
      </c>
      <c r="J1012" s="7">
        <v>45560</v>
      </c>
      <c r="K1012" s="1" t="s">
        <v>7455</v>
      </c>
    </row>
    <row r="1013" spans="1:11" x14ac:dyDescent="0.3">
      <c r="A1013" s="1">
        <v>1012</v>
      </c>
      <c r="B1013" s="1" t="s">
        <v>3045</v>
      </c>
      <c r="C1013" s="1" t="s">
        <v>3046</v>
      </c>
      <c r="F1013" s="1" t="s">
        <v>3047</v>
      </c>
      <c r="G1013" s="1">
        <v>1</v>
      </c>
      <c r="H1013" s="7">
        <v>45560</v>
      </c>
      <c r="I1013" s="1" t="s">
        <v>7455</v>
      </c>
      <c r="J1013" s="7">
        <v>45560</v>
      </c>
      <c r="K1013" s="1" t="s">
        <v>7455</v>
      </c>
    </row>
    <row r="1014" spans="1:11" x14ac:dyDescent="0.3">
      <c r="A1014" s="1">
        <v>1013</v>
      </c>
      <c r="B1014" s="1" t="s">
        <v>3048</v>
      </c>
      <c r="C1014" s="1" t="s">
        <v>3049</v>
      </c>
      <c r="F1014" s="1" t="s">
        <v>3050</v>
      </c>
      <c r="G1014" s="1">
        <v>1</v>
      </c>
      <c r="H1014" s="7">
        <v>45560</v>
      </c>
      <c r="I1014" s="1" t="s">
        <v>7455</v>
      </c>
      <c r="J1014" s="7">
        <v>45560</v>
      </c>
      <c r="K1014" s="1" t="s">
        <v>7455</v>
      </c>
    </row>
    <row r="1015" spans="1:11" x14ac:dyDescent="0.3">
      <c r="A1015" s="1">
        <v>1014</v>
      </c>
      <c r="B1015" s="1" t="s">
        <v>3051</v>
      </c>
      <c r="C1015" s="1" t="s">
        <v>3052</v>
      </c>
      <c r="F1015" s="1" t="s">
        <v>3053</v>
      </c>
      <c r="G1015" s="1">
        <v>1</v>
      </c>
      <c r="H1015" s="7">
        <v>45560</v>
      </c>
      <c r="I1015" s="1" t="s">
        <v>7455</v>
      </c>
      <c r="J1015" s="7">
        <v>45560</v>
      </c>
      <c r="K1015" s="1" t="s">
        <v>7455</v>
      </c>
    </row>
    <row r="1016" spans="1:11" x14ac:dyDescent="0.3">
      <c r="A1016" s="1">
        <v>1015</v>
      </c>
      <c r="B1016" s="1" t="s">
        <v>3054</v>
      </c>
      <c r="C1016" s="1" t="s">
        <v>3055</v>
      </c>
      <c r="F1016" s="1" t="s">
        <v>3056</v>
      </c>
      <c r="G1016" s="1">
        <v>1</v>
      </c>
      <c r="H1016" s="7">
        <v>45560</v>
      </c>
      <c r="I1016" s="1" t="s">
        <v>7455</v>
      </c>
      <c r="J1016" s="7">
        <v>45560</v>
      </c>
      <c r="K1016" s="1" t="s">
        <v>7455</v>
      </c>
    </row>
    <row r="1017" spans="1:11" x14ac:dyDescent="0.3">
      <c r="A1017" s="1">
        <v>1016</v>
      </c>
      <c r="B1017" s="1" t="s">
        <v>3057</v>
      </c>
      <c r="C1017" s="1" t="s">
        <v>3058</v>
      </c>
      <c r="D1017" s="1" t="s">
        <v>3059</v>
      </c>
      <c r="F1017" s="1" t="s">
        <v>3060</v>
      </c>
      <c r="G1017" s="1">
        <v>1</v>
      </c>
      <c r="H1017" s="7">
        <v>45560</v>
      </c>
      <c r="I1017" s="1" t="s">
        <v>7455</v>
      </c>
      <c r="J1017" s="7">
        <v>45560</v>
      </c>
      <c r="K1017" s="1" t="s">
        <v>7455</v>
      </c>
    </row>
    <row r="1018" spans="1:11" x14ac:dyDescent="0.3">
      <c r="A1018" s="1">
        <v>1017</v>
      </c>
      <c r="B1018" s="1" t="s">
        <v>3061</v>
      </c>
      <c r="C1018" s="1" t="s">
        <v>3062</v>
      </c>
      <c r="F1018" s="1" t="s">
        <v>3063</v>
      </c>
      <c r="G1018" s="1">
        <v>1</v>
      </c>
      <c r="H1018" s="7">
        <v>45560</v>
      </c>
      <c r="I1018" s="1" t="s">
        <v>7455</v>
      </c>
      <c r="J1018" s="7">
        <v>45560</v>
      </c>
      <c r="K1018" s="1" t="s">
        <v>7455</v>
      </c>
    </row>
    <row r="1019" spans="1:11" x14ac:dyDescent="0.3">
      <c r="A1019" s="1">
        <v>1018</v>
      </c>
      <c r="B1019" s="1" t="s">
        <v>3064</v>
      </c>
      <c r="C1019" s="1" t="s">
        <v>3065</v>
      </c>
      <c r="F1019" s="1" t="s">
        <v>3066</v>
      </c>
      <c r="G1019" s="1">
        <v>1</v>
      </c>
      <c r="H1019" s="7">
        <v>45560</v>
      </c>
      <c r="I1019" s="1" t="s">
        <v>7455</v>
      </c>
      <c r="J1019" s="7">
        <v>45560</v>
      </c>
      <c r="K1019" s="1" t="s">
        <v>7455</v>
      </c>
    </row>
    <row r="1020" spans="1:11" x14ac:dyDescent="0.3">
      <c r="A1020" s="1">
        <v>1019</v>
      </c>
      <c r="B1020" s="1" t="s">
        <v>3067</v>
      </c>
      <c r="C1020" s="1" t="s">
        <v>3068</v>
      </c>
      <c r="F1020" s="1" t="s">
        <v>3069</v>
      </c>
      <c r="G1020" s="1">
        <v>1</v>
      </c>
      <c r="H1020" s="7">
        <v>45560</v>
      </c>
      <c r="I1020" s="1" t="s">
        <v>7455</v>
      </c>
      <c r="J1020" s="7">
        <v>45560</v>
      </c>
      <c r="K1020" s="1" t="s">
        <v>7455</v>
      </c>
    </row>
    <row r="1021" spans="1:11" x14ac:dyDescent="0.3">
      <c r="A1021" s="1">
        <v>1020</v>
      </c>
      <c r="B1021" s="1" t="s">
        <v>3070</v>
      </c>
      <c r="C1021" s="1" t="s">
        <v>3071</v>
      </c>
      <c r="F1021" s="1" t="s">
        <v>3072</v>
      </c>
      <c r="G1021" s="1">
        <v>1</v>
      </c>
      <c r="H1021" s="7">
        <v>45560</v>
      </c>
      <c r="I1021" s="1" t="s">
        <v>7455</v>
      </c>
      <c r="J1021" s="7">
        <v>45560</v>
      </c>
      <c r="K1021" s="1" t="s">
        <v>7455</v>
      </c>
    </row>
    <row r="1022" spans="1:11" x14ac:dyDescent="0.3">
      <c r="A1022" s="1">
        <v>1021</v>
      </c>
      <c r="B1022" s="1" t="s">
        <v>3073</v>
      </c>
      <c r="C1022" s="1" t="s">
        <v>3074</v>
      </c>
      <c r="F1022" s="1" t="s">
        <v>3075</v>
      </c>
      <c r="G1022" s="1">
        <v>1</v>
      </c>
      <c r="H1022" s="7">
        <v>45560</v>
      </c>
      <c r="I1022" s="1" t="s">
        <v>7455</v>
      </c>
      <c r="J1022" s="7">
        <v>45560</v>
      </c>
      <c r="K1022" s="1" t="s">
        <v>7455</v>
      </c>
    </row>
    <row r="1023" spans="1:11" x14ac:dyDescent="0.3">
      <c r="A1023" s="1">
        <v>1022</v>
      </c>
      <c r="B1023" s="1" t="s">
        <v>3076</v>
      </c>
      <c r="C1023" s="1" t="s">
        <v>3077</v>
      </c>
      <c r="F1023" s="1" t="s">
        <v>3078</v>
      </c>
      <c r="G1023" s="1">
        <v>1</v>
      </c>
      <c r="H1023" s="7">
        <v>45560</v>
      </c>
      <c r="I1023" s="1" t="s">
        <v>7455</v>
      </c>
      <c r="J1023" s="7">
        <v>45560</v>
      </c>
      <c r="K1023" s="1" t="s">
        <v>7455</v>
      </c>
    </row>
    <row r="1024" spans="1:11" x14ac:dyDescent="0.3">
      <c r="A1024" s="1">
        <v>1023</v>
      </c>
      <c r="B1024" s="1" t="s">
        <v>3079</v>
      </c>
      <c r="C1024" s="1" t="s">
        <v>3080</v>
      </c>
      <c r="F1024" s="1" t="s">
        <v>3081</v>
      </c>
      <c r="G1024" s="1">
        <v>1</v>
      </c>
      <c r="H1024" s="7">
        <v>45560</v>
      </c>
      <c r="I1024" s="1" t="s">
        <v>7455</v>
      </c>
      <c r="J1024" s="7">
        <v>45560</v>
      </c>
      <c r="K1024" s="1" t="s">
        <v>7455</v>
      </c>
    </row>
    <row r="1025" spans="1:11" x14ac:dyDescent="0.3">
      <c r="A1025" s="1">
        <v>1024</v>
      </c>
      <c r="B1025" s="1" t="s">
        <v>3082</v>
      </c>
      <c r="C1025" s="1" t="s">
        <v>3083</v>
      </c>
      <c r="F1025" s="1" t="s">
        <v>3084</v>
      </c>
      <c r="G1025" s="1">
        <v>1</v>
      </c>
      <c r="H1025" s="7">
        <v>45560</v>
      </c>
      <c r="I1025" s="1" t="s">
        <v>7455</v>
      </c>
      <c r="J1025" s="7">
        <v>45560</v>
      </c>
      <c r="K1025" s="1" t="s">
        <v>7455</v>
      </c>
    </row>
    <row r="1026" spans="1:11" x14ac:dyDescent="0.3">
      <c r="A1026" s="1">
        <v>1025</v>
      </c>
      <c r="B1026" s="1" t="s">
        <v>3085</v>
      </c>
      <c r="C1026" s="1" t="s">
        <v>3086</v>
      </c>
      <c r="F1026" s="1" t="s">
        <v>3087</v>
      </c>
      <c r="G1026" s="1">
        <v>1</v>
      </c>
      <c r="H1026" s="7">
        <v>45560</v>
      </c>
      <c r="I1026" s="1" t="s">
        <v>7455</v>
      </c>
      <c r="J1026" s="7">
        <v>45560</v>
      </c>
      <c r="K1026" s="1" t="s">
        <v>7455</v>
      </c>
    </row>
    <row r="1027" spans="1:11" x14ac:dyDescent="0.3">
      <c r="A1027" s="1">
        <v>1026</v>
      </c>
      <c r="B1027" s="1" t="s">
        <v>3088</v>
      </c>
      <c r="C1027" s="1" t="s">
        <v>3089</v>
      </c>
      <c r="F1027" s="1" t="s">
        <v>3090</v>
      </c>
      <c r="G1027" s="1">
        <v>1</v>
      </c>
      <c r="H1027" s="7">
        <v>45560</v>
      </c>
      <c r="I1027" s="1" t="s">
        <v>7455</v>
      </c>
      <c r="J1027" s="7">
        <v>45560</v>
      </c>
      <c r="K1027" s="1" t="s">
        <v>7455</v>
      </c>
    </row>
    <row r="1028" spans="1:11" x14ac:dyDescent="0.3">
      <c r="A1028" s="1">
        <v>1027</v>
      </c>
      <c r="B1028" s="1" t="s">
        <v>3091</v>
      </c>
      <c r="C1028" s="1" t="s">
        <v>3092</v>
      </c>
      <c r="F1028" s="1" t="s">
        <v>3093</v>
      </c>
      <c r="G1028" s="1">
        <v>1</v>
      </c>
      <c r="H1028" s="7">
        <v>45560</v>
      </c>
      <c r="I1028" s="1" t="s">
        <v>7455</v>
      </c>
      <c r="J1028" s="7">
        <v>45560</v>
      </c>
      <c r="K1028" s="1" t="s">
        <v>7455</v>
      </c>
    </row>
    <row r="1029" spans="1:11" x14ac:dyDescent="0.3">
      <c r="A1029" s="1">
        <v>1028</v>
      </c>
      <c r="B1029" s="1" t="s">
        <v>3094</v>
      </c>
      <c r="C1029" s="1" t="s">
        <v>3095</v>
      </c>
      <c r="F1029" s="1" t="s">
        <v>3096</v>
      </c>
      <c r="G1029" s="1">
        <v>1</v>
      </c>
      <c r="H1029" s="7">
        <v>45560</v>
      </c>
      <c r="I1029" s="1" t="s">
        <v>7455</v>
      </c>
      <c r="J1029" s="7">
        <v>45560</v>
      </c>
      <c r="K1029" s="1" t="s">
        <v>7455</v>
      </c>
    </row>
    <row r="1030" spans="1:11" x14ac:dyDescent="0.3">
      <c r="A1030" s="1">
        <v>1029</v>
      </c>
      <c r="B1030" s="1" t="s">
        <v>3097</v>
      </c>
      <c r="C1030" s="1" t="s">
        <v>3098</v>
      </c>
      <c r="F1030" s="1" t="s">
        <v>3099</v>
      </c>
      <c r="G1030" s="1">
        <v>1</v>
      </c>
      <c r="H1030" s="7">
        <v>45560</v>
      </c>
      <c r="I1030" s="1" t="s">
        <v>7455</v>
      </c>
      <c r="J1030" s="7">
        <v>45560</v>
      </c>
      <c r="K1030" s="1" t="s">
        <v>7455</v>
      </c>
    </row>
    <row r="1031" spans="1:11" x14ac:dyDescent="0.3">
      <c r="A1031" s="1">
        <v>1030</v>
      </c>
      <c r="B1031" s="1" t="s">
        <v>3100</v>
      </c>
      <c r="C1031" s="1" t="s">
        <v>3101</v>
      </c>
      <c r="F1031" s="1" t="s">
        <v>3102</v>
      </c>
      <c r="G1031" s="1">
        <v>1</v>
      </c>
      <c r="H1031" s="7">
        <v>45560</v>
      </c>
      <c r="I1031" s="1" t="s">
        <v>7455</v>
      </c>
      <c r="J1031" s="7">
        <v>45560</v>
      </c>
      <c r="K1031" s="1" t="s">
        <v>7455</v>
      </c>
    </row>
    <row r="1032" spans="1:11" x14ac:dyDescent="0.3">
      <c r="A1032" s="1">
        <v>1031</v>
      </c>
      <c r="B1032" s="1" t="s">
        <v>3103</v>
      </c>
      <c r="C1032" s="1" t="s">
        <v>3104</v>
      </c>
      <c r="F1032" s="1" t="s">
        <v>3105</v>
      </c>
      <c r="G1032" s="1">
        <v>1</v>
      </c>
      <c r="H1032" s="7">
        <v>45560</v>
      </c>
      <c r="I1032" s="1" t="s">
        <v>7455</v>
      </c>
      <c r="J1032" s="7">
        <v>45560</v>
      </c>
      <c r="K1032" s="1" t="s">
        <v>7455</v>
      </c>
    </row>
    <row r="1033" spans="1:11" x14ac:dyDescent="0.3">
      <c r="A1033" s="1">
        <v>1032</v>
      </c>
      <c r="B1033" s="1" t="s">
        <v>3106</v>
      </c>
      <c r="C1033" s="1" t="s">
        <v>3107</v>
      </c>
      <c r="F1033" s="1" t="s">
        <v>3108</v>
      </c>
      <c r="G1033" s="1">
        <v>1</v>
      </c>
      <c r="H1033" s="7">
        <v>45560</v>
      </c>
      <c r="I1033" s="1" t="s">
        <v>7455</v>
      </c>
      <c r="J1033" s="7">
        <v>45560</v>
      </c>
      <c r="K1033" s="1" t="s">
        <v>7455</v>
      </c>
    </row>
    <row r="1034" spans="1:11" x14ac:dyDescent="0.3">
      <c r="A1034" s="1">
        <v>1033</v>
      </c>
      <c r="B1034" s="1" t="s">
        <v>3109</v>
      </c>
      <c r="C1034" s="1" t="s">
        <v>3110</v>
      </c>
      <c r="F1034" s="1" t="s">
        <v>3111</v>
      </c>
      <c r="G1034" s="1">
        <v>1</v>
      </c>
      <c r="H1034" s="7">
        <v>45560</v>
      </c>
      <c r="I1034" s="1" t="s">
        <v>7455</v>
      </c>
      <c r="J1034" s="7">
        <v>45560</v>
      </c>
      <c r="K1034" s="1" t="s">
        <v>7455</v>
      </c>
    </row>
    <row r="1035" spans="1:11" x14ac:dyDescent="0.3">
      <c r="A1035" s="1">
        <v>1034</v>
      </c>
      <c r="B1035" s="1" t="s">
        <v>3112</v>
      </c>
      <c r="C1035" s="1" t="s">
        <v>3113</v>
      </c>
      <c r="F1035" s="1" t="s">
        <v>3114</v>
      </c>
      <c r="G1035" s="1">
        <v>1</v>
      </c>
      <c r="H1035" s="7">
        <v>45560</v>
      </c>
      <c r="I1035" s="1" t="s">
        <v>7455</v>
      </c>
      <c r="J1035" s="7">
        <v>45560</v>
      </c>
      <c r="K1035" s="1" t="s">
        <v>7455</v>
      </c>
    </row>
    <row r="1036" spans="1:11" x14ac:dyDescent="0.3">
      <c r="A1036" s="1">
        <v>1035</v>
      </c>
      <c r="B1036" s="1" t="s">
        <v>3115</v>
      </c>
      <c r="C1036" s="1" t="s">
        <v>3116</v>
      </c>
      <c r="F1036" s="1" t="s">
        <v>3117</v>
      </c>
      <c r="G1036" s="1">
        <v>1</v>
      </c>
      <c r="H1036" s="7">
        <v>45560</v>
      </c>
      <c r="I1036" s="1" t="s">
        <v>7455</v>
      </c>
      <c r="J1036" s="7">
        <v>45560</v>
      </c>
      <c r="K1036" s="1" t="s">
        <v>7455</v>
      </c>
    </row>
    <row r="1037" spans="1:11" x14ac:dyDescent="0.3">
      <c r="A1037" s="1">
        <v>1036</v>
      </c>
      <c r="B1037" s="1" t="s">
        <v>3118</v>
      </c>
      <c r="C1037" s="1" t="s">
        <v>3119</v>
      </c>
      <c r="F1037" s="1" t="s">
        <v>3120</v>
      </c>
      <c r="G1037" s="1">
        <v>1</v>
      </c>
      <c r="H1037" s="7">
        <v>45560</v>
      </c>
      <c r="I1037" s="1" t="s">
        <v>7455</v>
      </c>
      <c r="J1037" s="7">
        <v>45560</v>
      </c>
      <c r="K1037" s="1" t="s">
        <v>7455</v>
      </c>
    </row>
    <row r="1038" spans="1:11" x14ac:dyDescent="0.3">
      <c r="A1038" s="1">
        <v>1037</v>
      </c>
      <c r="B1038" s="1" t="s">
        <v>3121</v>
      </c>
      <c r="C1038" s="1" t="s">
        <v>3122</v>
      </c>
      <c r="F1038" s="1" t="s">
        <v>3123</v>
      </c>
      <c r="G1038" s="1">
        <v>1</v>
      </c>
      <c r="H1038" s="7">
        <v>45560</v>
      </c>
      <c r="I1038" s="1" t="s">
        <v>7455</v>
      </c>
      <c r="J1038" s="7">
        <v>45560</v>
      </c>
      <c r="K1038" s="1" t="s">
        <v>7455</v>
      </c>
    </row>
    <row r="1039" spans="1:11" x14ac:dyDescent="0.3">
      <c r="A1039" s="1">
        <v>1038</v>
      </c>
      <c r="B1039" s="1" t="s">
        <v>3124</v>
      </c>
      <c r="C1039" s="1" t="s">
        <v>3125</v>
      </c>
      <c r="F1039" s="1" t="s">
        <v>3126</v>
      </c>
      <c r="G1039" s="1">
        <v>1</v>
      </c>
      <c r="H1039" s="7">
        <v>45560</v>
      </c>
      <c r="I1039" s="1" t="s">
        <v>7455</v>
      </c>
      <c r="J1039" s="7">
        <v>45560</v>
      </c>
      <c r="K1039" s="1" t="s">
        <v>7455</v>
      </c>
    </row>
    <row r="1040" spans="1:11" x14ac:dyDescent="0.3">
      <c r="A1040" s="1">
        <v>1039</v>
      </c>
      <c r="B1040" s="1" t="s">
        <v>3127</v>
      </c>
      <c r="C1040" s="1" t="s">
        <v>3128</v>
      </c>
      <c r="F1040" s="1" t="s">
        <v>3129</v>
      </c>
      <c r="G1040" s="1">
        <v>1</v>
      </c>
      <c r="H1040" s="7">
        <v>45560</v>
      </c>
      <c r="I1040" s="1" t="s">
        <v>7455</v>
      </c>
      <c r="J1040" s="7">
        <v>45560</v>
      </c>
      <c r="K1040" s="1" t="s">
        <v>7455</v>
      </c>
    </row>
    <row r="1041" spans="1:11" x14ac:dyDescent="0.3">
      <c r="A1041" s="1">
        <v>1040</v>
      </c>
      <c r="B1041" s="1" t="s">
        <v>3130</v>
      </c>
      <c r="C1041" s="1" t="s">
        <v>3131</v>
      </c>
      <c r="F1041" s="1" t="s">
        <v>3132</v>
      </c>
      <c r="G1041" s="1">
        <v>1</v>
      </c>
      <c r="H1041" s="7">
        <v>45560</v>
      </c>
      <c r="I1041" s="1" t="s">
        <v>7455</v>
      </c>
      <c r="J1041" s="7">
        <v>45560</v>
      </c>
      <c r="K1041" s="1" t="s">
        <v>7455</v>
      </c>
    </row>
    <row r="1042" spans="1:11" x14ac:dyDescent="0.3">
      <c r="A1042" s="1">
        <v>1041</v>
      </c>
      <c r="B1042" s="1" t="s">
        <v>3133</v>
      </c>
      <c r="C1042" s="1" t="s">
        <v>3134</v>
      </c>
      <c r="F1042" s="1" t="s">
        <v>3135</v>
      </c>
      <c r="G1042" s="1">
        <v>1</v>
      </c>
      <c r="H1042" s="7">
        <v>45560</v>
      </c>
      <c r="I1042" s="1" t="s">
        <v>7455</v>
      </c>
      <c r="J1042" s="7">
        <v>45560</v>
      </c>
      <c r="K1042" s="1" t="s">
        <v>7455</v>
      </c>
    </row>
    <row r="1043" spans="1:11" x14ac:dyDescent="0.3">
      <c r="A1043" s="1">
        <v>1042</v>
      </c>
      <c r="B1043" s="1" t="s">
        <v>3136</v>
      </c>
      <c r="C1043" s="1" t="s">
        <v>3137</v>
      </c>
      <c r="F1043" s="1" t="s">
        <v>3138</v>
      </c>
      <c r="G1043" s="1">
        <v>1</v>
      </c>
      <c r="H1043" s="7">
        <v>45560</v>
      </c>
      <c r="I1043" s="1" t="s">
        <v>7455</v>
      </c>
      <c r="J1043" s="7">
        <v>45560</v>
      </c>
      <c r="K1043" s="1" t="s">
        <v>7455</v>
      </c>
    </row>
    <row r="1044" spans="1:11" x14ac:dyDescent="0.3">
      <c r="A1044" s="1">
        <v>1043</v>
      </c>
      <c r="B1044" s="1" t="s">
        <v>3139</v>
      </c>
      <c r="C1044" s="1" t="s">
        <v>3140</v>
      </c>
      <c r="F1044" s="1" t="s">
        <v>3141</v>
      </c>
      <c r="G1044" s="1">
        <v>1</v>
      </c>
      <c r="H1044" s="7">
        <v>45560</v>
      </c>
      <c r="I1044" s="1" t="s">
        <v>7455</v>
      </c>
      <c r="J1044" s="7">
        <v>45560</v>
      </c>
      <c r="K1044" s="1" t="s">
        <v>7455</v>
      </c>
    </row>
    <row r="1045" spans="1:11" x14ac:dyDescent="0.3">
      <c r="A1045" s="1">
        <v>1044</v>
      </c>
      <c r="B1045" s="1" t="s">
        <v>3142</v>
      </c>
      <c r="C1045" s="1" t="s">
        <v>3143</v>
      </c>
      <c r="F1045" s="1" t="s">
        <v>3144</v>
      </c>
      <c r="G1045" s="1">
        <v>1</v>
      </c>
      <c r="H1045" s="7">
        <v>45560</v>
      </c>
      <c r="I1045" s="1" t="s">
        <v>7455</v>
      </c>
      <c r="J1045" s="7">
        <v>45560</v>
      </c>
      <c r="K1045" s="1" t="s">
        <v>7455</v>
      </c>
    </row>
    <row r="1046" spans="1:11" x14ac:dyDescent="0.3">
      <c r="A1046" s="1">
        <v>1045</v>
      </c>
      <c r="B1046" s="1" t="s">
        <v>3145</v>
      </c>
      <c r="C1046" s="1" t="s">
        <v>3146</v>
      </c>
      <c r="F1046" s="1" t="s">
        <v>3147</v>
      </c>
      <c r="G1046" s="1">
        <v>1</v>
      </c>
      <c r="H1046" s="7">
        <v>45560</v>
      </c>
      <c r="I1046" s="1" t="s">
        <v>7455</v>
      </c>
      <c r="J1046" s="7">
        <v>45560</v>
      </c>
      <c r="K1046" s="1" t="s">
        <v>7455</v>
      </c>
    </row>
    <row r="1047" spans="1:11" x14ac:dyDescent="0.3">
      <c r="A1047" s="1">
        <v>1046</v>
      </c>
      <c r="B1047" s="1" t="s">
        <v>3148</v>
      </c>
      <c r="C1047" s="1" t="s">
        <v>3149</v>
      </c>
      <c r="F1047" s="1" t="s">
        <v>3150</v>
      </c>
      <c r="G1047" s="1">
        <v>1</v>
      </c>
      <c r="H1047" s="7">
        <v>45560</v>
      </c>
      <c r="I1047" s="1" t="s">
        <v>7455</v>
      </c>
      <c r="J1047" s="7">
        <v>45560</v>
      </c>
      <c r="K1047" s="1" t="s">
        <v>7455</v>
      </c>
    </row>
    <row r="1048" spans="1:11" x14ac:dyDescent="0.3">
      <c r="A1048" s="1">
        <v>1047</v>
      </c>
      <c r="B1048" s="1" t="s">
        <v>3151</v>
      </c>
      <c r="C1048" s="1" t="s">
        <v>3152</v>
      </c>
      <c r="F1048" s="1" t="s">
        <v>3153</v>
      </c>
      <c r="G1048" s="1">
        <v>1</v>
      </c>
      <c r="H1048" s="7">
        <v>45560</v>
      </c>
      <c r="I1048" s="1" t="s">
        <v>7455</v>
      </c>
      <c r="J1048" s="7">
        <v>45560</v>
      </c>
      <c r="K1048" s="1" t="s">
        <v>7455</v>
      </c>
    </row>
    <row r="1049" spans="1:11" x14ac:dyDescent="0.3">
      <c r="A1049" s="1">
        <v>1048</v>
      </c>
      <c r="B1049" s="1" t="s">
        <v>3154</v>
      </c>
      <c r="C1049" s="1" t="s">
        <v>3155</v>
      </c>
      <c r="F1049" s="1" t="s">
        <v>3156</v>
      </c>
      <c r="G1049" s="1">
        <v>1</v>
      </c>
      <c r="H1049" s="7">
        <v>45560</v>
      </c>
      <c r="I1049" s="1" t="s">
        <v>7455</v>
      </c>
      <c r="J1049" s="7">
        <v>45560</v>
      </c>
      <c r="K1049" s="1" t="s">
        <v>7455</v>
      </c>
    </row>
    <row r="1050" spans="1:11" x14ac:dyDescent="0.3">
      <c r="A1050" s="1">
        <v>1049</v>
      </c>
      <c r="B1050" s="1" t="s">
        <v>3157</v>
      </c>
      <c r="C1050" s="1" t="s">
        <v>3158</v>
      </c>
      <c r="F1050" s="1" t="s">
        <v>3159</v>
      </c>
      <c r="G1050" s="1">
        <v>1</v>
      </c>
      <c r="H1050" s="7">
        <v>45560</v>
      </c>
      <c r="I1050" s="1" t="s">
        <v>7455</v>
      </c>
      <c r="J1050" s="7">
        <v>45560</v>
      </c>
      <c r="K1050" s="1" t="s">
        <v>7455</v>
      </c>
    </row>
    <row r="1051" spans="1:11" x14ac:dyDescent="0.3">
      <c r="A1051" s="1">
        <v>1050</v>
      </c>
      <c r="B1051" s="1" t="s">
        <v>3160</v>
      </c>
      <c r="C1051" s="1" t="s">
        <v>3161</v>
      </c>
      <c r="F1051" s="1" t="s">
        <v>3162</v>
      </c>
      <c r="G1051" s="1">
        <v>1</v>
      </c>
      <c r="H1051" s="7">
        <v>45560</v>
      </c>
      <c r="I1051" s="1" t="s">
        <v>7455</v>
      </c>
      <c r="J1051" s="7">
        <v>45560</v>
      </c>
      <c r="K1051" s="1" t="s">
        <v>7455</v>
      </c>
    </row>
    <row r="1052" spans="1:11" x14ac:dyDescent="0.3">
      <c r="A1052" s="1">
        <v>1051</v>
      </c>
      <c r="B1052" s="1" t="s">
        <v>3163</v>
      </c>
      <c r="C1052" s="1" t="s">
        <v>3164</v>
      </c>
      <c r="F1052" s="1" t="s">
        <v>3165</v>
      </c>
      <c r="G1052" s="1">
        <v>1</v>
      </c>
      <c r="H1052" s="7">
        <v>45560</v>
      </c>
      <c r="I1052" s="1" t="s">
        <v>7455</v>
      </c>
      <c r="J1052" s="7">
        <v>45560</v>
      </c>
      <c r="K1052" s="1" t="s">
        <v>7455</v>
      </c>
    </row>
    <row r="1053" spans="1:11" x14ac:dyDescent="0.3">
      <c r="A1053" s="1">
        <v>1052</v>
      </c>
      <c r="B1053" s="1" t="s">
        <v>3166</v>
      </c>
      <c r="C1053" s="1" t="s">
        <v>3167</v>
      </c>
      <c r="F1053" s="1" t="s">
        <v>3168</v>
      </c>
      <c r="G1053" s="1">
        <v>1</v>
      </c>
      <c r="H1053" s="7">
        <v>45560</v>
      </c>
      <c r="I1053" s="1" t="s">
        <v>7455</v>
      </c>
      <c r="J1053" s="7">
        <v>45560</v>
      </c>
      <c r="K1053" s="1" t="s">
        <v>7455</v>
      </c>
    </row>
    <row r="1054" spans="1:11" x14ac:dyDescent="0.3">
      <c r="A1054" s="1">
        <v>1053</v>
      </c>
      <c r="B1054" s="1" t="s">
        <v>3169</v>
      </c>
      <c r="C1054" s="1" t="s">
        <v>3170</v>
      </c>
      <c r="F1054" s="1" t="s">
        <v>3171</v>
      </c>
      <c r="G1054" s="1">
        <v>1</v>
      </c>
      <c r="H1054" s="7">
        <v>45560</v>
      </c>
      <c r="I1054" s="1" t="s">
        <v>7455</v>
      </c>
      <c r="J1054" s="7">
        <v>45560</v>
      </c>
      <c r="K1054" s="1" t="s">
        <v>7455</v>
      </c>
    </row>
    <row r="1055" spans="1:11" x14ac:dyDescent="0.3">
      <c r="A1055" s="1">
        <v>1054</v>
      </c>
      <c r="B1055" s="1" t="s">
        <v>3172</v>
      </c>
      <c r="C1055" s="1" t="s">
        <v>3173</v>
      </c>
      <c r="F1055" s="1" t="s">
        <v>3174</v>
      </c>
      <c r="G1055" s="1">
        <v>1</v>
      </c>
      <c r="H1055" s="7">
        <v>45560</v>
      </c>
      <c r="I1055" s="1" t="s">
        <v>7455</v>
      </c>
      <c r="J1055" s="7">
        <v>45560</v>
      </c>
      <c r="K1055" s="1" t="s">
        <v>7455</v>
      </c>
    </row>
    <row r="1056" spans="1:11" x14ac:dyDescent="0.3">
      <c r="A1056" s="1">
        <v>1055</v>
      </c>
      <c r="B1056" s="1" t="s">
        <v>3175</v>
      </c>
      <c r="C1056" s="1" t="s">
        <v>3176</v>
      </c>
      <c r="D1056" s="1" t="s">
        <v>3177</v>
      </c>
      <c r="F1056" s="1" t="s">
        <v>3178</v>
      </c>
      <c r="G1056" s="1">
        <v>1</v>
      </c>
      <c r="H1056" s="7">
        <v>45560</v>
      </c>
      <c r="I1056" s="1" t="s">
        <v>7455</v>
      </c>
      <c r="J1056" s="7">
        <v>45560</v>
      </c>
      <c r="K1056" s="1" t="s">
        <v>7455</v>
      </c>
    </row>
    <row r="1057" spans="1:11" x14ac:dyDescent="0.3">
      <c r="A1057" s="1">
        <v>1056</v>
      </c>
      <c r="B1057" s="1" t="s">
        <v>3179</v>
      </c>
      <c r="C1057" s="1" t="s">
        <v>3180</v>
      </c>
      <c r="D1057" s="1" t="s">
        <v>3181</v>
      </c>
      <c r="F1057" s="1" t="s">
        <v>3182</v>
      </c>
      <c r="G1057" s="1">
        <v>1</v>
      </c>
      <c r="H1057" s="7">
        <v>45560</v>
      </c>
      <c r="I1057" s="1" t="s">
        <v>7455</v>
      </c>
      <c r="J1057" s="7">
        <v>45560</v>
      </c>
      <c r="K1057" s="1" t="s">
        <v>7455</v>
      </c>
    </row>
    <row r="1058" spans="1:11" x14ac:dyDescent="0.3">
      <c r="A1058" s="1">
        <v>1057</v>
      </c>
      <c r="B1058" s="1" t="s">
        <v>3183</v>
      </c>
      <c r="C1058" s="1" t="s">
        <v>3184</v>
      </c>
      <c r="D1058" s="1" t="s">
        <v>3185</v>
      </c>
      <c r="F1058" s="1" t="s">
        <v>3186</v>
      </c>
      <c r="G1058" s="1">
        <v>1</v>
      </c>
      <c r="H1058" s="7">
        <v>45560</v>
      </c>
      <c r="I1058" s="1" t="s">
        <v>7455</v>
      </c>
      <c r="J1058" s="7">
        <v>45560</v>
      </c>
      <c r="K1058" s="1" t="s">
        <v>7455</v>
      </c>
    </row>
    <row r="1059" spans="1:11" x14ac:dyDescent="0.3">
      <c r="A1059" s="1">
        <v>1058</v>
      </c>
      <c r="B1059" s="1" t="s">
        <v>3187</v>
      </c>
      <c r="C1059" s="1" t="s">
        <v>3188</v>
      </c>
      <c r="F1059" s="1" t="s">
        <v>3189</v>
      </c>
      <c r="G1059" s="1">
        <v>1</v>
      </c>
      <c r="H1059" s="7">
        <v>45560</v>
      </c>
      <c r="I1059" s="1" t="s">
        <v>7455</v>
      </c>
      <c r="J1059" s="7">
        <v>45560</v>
      </c>
      <c r="K1059" s="1" t="s">
        <v>7455</v>
      </c>
    </row>
    <row r="1060" spans="1:11" x14ac:dyDescent="0.3">
      <c r="A1060" s="1">
        <v>1059</v>
      </c>
      <c r="B1060" s="1" t="s">
        <v>3190</v>
      </c>
      <c r="C1060" s="1" t="s">
        <v>3191</v>
      </c>
      <c r="F1060" s="1" t="s">
        <v>3192</v>
      </c>
      <c r="G1060" s="1">
        <v>1</v>
      </c>
      <c r="H1060" s="7">
        <v>45560</v>
      </c>
      <c r="I1060" s="1" t="s">
        <v>7455</v>
      </c>
      <c r="J1060" s="7">
        <v>45560</v>
      </c>
      <c r="K1060" s="1" t="s">
        <v>7455</v>
      </c>
    </row>
    <row r="1061" spans="1:11" x14ac:dyDescent="0.3">
      <c r="A1061" s="1">
        <v>1060</v>
      </c>
      <c r="B1061" s="1" t="s">
        <v>3193</v>
      </c>
      <c r="C1061" s="1" t="s">
        <v>3194</v>
      </c>
      <c r="F1061" s="1" t="s">
        <v>3195</v>
      </c>
      <c r="G1061" s="1">
        <v>1</v>
      </c>
      <c r="H1061" s="7">
        <v>45560</v>
      </c>
      <c r="I1061" s="1" t="s">
        <v>7455</v>
      </c>
      <c r="J1061" s="7">
        <v>45560</v>
      </c>
      <c r="K1061" s="1" t="s">
        <v>7455</v>
      </c>
    </row>
    <row r="1062" spans="1:11" x14ac:dyDescent="0.3">
      <c r="A1062" s="1">
        <v>1061</v>
      </c>
      <c r="B1062" s="1" t="s">
        <v>3196</v>
      </c>
      <c r="C1062" s="1" t="s">
        <v>3197</v>
      </c>
      <c r="D1062" s="1" t="s">
        <v>3198</v>
      </c>
      <c r="F1062" s="1" t="s">
        <v>3199</v>
      </c>
      <c r="G1062" s="1">
        <v>1</v>
      </c>
      <c r="H1062" s="7">
        <v>45560</v>
      </c>
      <c r="I1062" s="1" t="s">
        <v>7455</v>
      </c>
      <c r="J1062" s="7">
        <v>45560</v>
      </c>
      <c r="K1062" s="1" t="s">
        <v>7455</v>
      </c>
    </row>
    <row r="1063" spans="1:11" x14ac:dyDescent="0.3">
      <c r="A1063" s="1">
        <v>1062</v>
      </c>
      <c r="B1063" s="1" t="s">
        <v>3200</v>
      </c>
      <c r="C1063" s="1" t="s">
        <v>3201</v>
      </c>
      <c r="E1063" s="1" t="s">
        <v>73</v>
      </c>
      <c r="F1063" s="1" t="s">
        <v>3202</v>
      </c>
      <c r="G1063" s="1">
        <v>1</v>
      </c>
      <c r="H1063" s="7">
        <v>45560</v>
      </c>
      <c r="I1063" s="1" t="s">
        <v>7455</v>
      </c>
      <c r="J1063" s="7">
        <v>45560</v>
      </c>
      <c r="K1063" s="1" t="s">
        <v>7455</v>
      </c>
    </row>
    <row r="1064" spans="1:11" ht="28.8" x14ac:dyDescent="0.3">
      <c r="A1064" s="1">
        <v>1063</v>
      </c>
      <c r="B1064" s="1" t="s">
        <v>3203</v>
      </c>
      <c r="C1064" s="1" t="s">
        <v>3204</v>
      </c>
      <c r="D1064" s="8" t="s">
        <v>3205</v>
      </c>
      <c r="F1064" s="1" t="s">
        <v>3206</v>
      </c>
      <c r="G1064" s="1">
        <v>1</v>
      </c>
      <c r="H1064" s="7">
        <v>45560</v>
      </c>
      <c r="I1064" s="1" t="s">
        <v>7455</v>
      </c>
      <c r="J1064" s="7">
        <v>45560</v>
      </c>
      <c r="K1064" s="1" t="s">
        <v>7455</v>
      </c>
    </row>
    <row r="1065" spans="1:11" x14ac:dyDescent="0.3">
      <c r="A1065" s="1">
        <v>1064</v>
      </c>
      <c r="B1065" s="1" t="s">
        <v>3207</v>
      </c>
      <c r="C1065" s="1" t="s">
        <v>3208</v>
      </c>
      <c r="D1065" s="1" t="s">
        <v>3209</v>
      </c>
      <c r="F1065" s="1" t="s">
        <v>3210</v>
      </c>
      <c r="G1065" s="1">
        <v>1</v>
      </c>
      <c r="H1065" s="7">
        <v>45560</v>
      </c>
      <c r="I1065" s="1" t="s">
        <v>7455</v>
      </c>
      <c r="J1065" s="7">
        <v>45560</v>
      </c>
      <c r="K1065" s="1" t="s">
        <v>7455</v>
      </c>
    </row>
    <row r="1066" spans="1:11" x14ac:dyDescent="0.3">
      <c r="A1066" s="1">
        <v>1065</v>
      </c>
      <c r="B1066" s="1" t="s">
        <v>3211</v>
      </c>
      <c r="C1066" s="1" t="s">
        <v>3212</v>
      </c>
      <c r="F1066" s="1" t="s">
        <v>3213</v>
      </c>
      <c r="G1066" s="1">
        <v>1</v>
      </c>
      <c r="H1066" s="7">
        <v>45560</v>
      </c>
      <c r="I1066" s="1" t="s">
        <v>7455</v>
      </c>
      <c r="J1066" s="7">
        <v>45560</v>
      </c>
      <c r="K1066" s="1" t="s">
        <v>7455</v>
      </c>
    </row>
    <row r="1067" spans="1:11" x14ac:dyDescent="0.3">
      <c r="A1067" s="1">
        <v>1066</v>
      </c>
      <c r="B1067" s="1" t="s">
        <v>3214</v>
      </c>
      <c r="C1067" s="1" t="s">
        <v>3215</v>
      </c>
      <c r="D1067" s="1" t="s">
        <v>3216</v>
      </c>
      <c r="F1067" s="1" t="s">
        <v>3217</v>
      </c>
      <c r="G1067" s="1">
        <v>1</v>
      </c>
      <c r="H1067" s="7">
        <v>45560</v>
      </c>
      <c r="I1067" s="1" t="s">
        <v>7455</v>
      </c>
      <c r="J1067" s="7">
        <v>45560</v>
      </c>
      <c r="K1067" s="1" t="s">
        <v>7455</v>
      </c>
    </row>
    <row r="1068" spans="1:11" x14ac:dyDescent="0.3">
      <c r="A1068" s="1">
        <v>1067</v>
      </c>
      <c r="B1068" s="1" t="s">
        <v>3218</v>
      </c>
      <c r="C1068" s="1" t="s">
        <v>3219</v>
      </c>
      <c r="F1068" s="1" t="s">
        <v>3220</v>
      </c>
      <c r="G1068" s="1">
        <v>1</v>
      </c>
      <c r="H1068" s="7">
        <v>45560</v>
      </c>
      <c r="I1068" s="1" t="s">
        <v>7455</v>
      </c>
      <c r="J1068" s="7">
        <v>45560</v>
      </c>
      <c r="K1068" s="1" t="s">
        <v>7455</v>
      </c>
    </row>
    <row r="1069" spans="1:11" x14ac:dyDescent="0.3">
      <c r="A1069" s="1">
        <v>1068</v>
      </c>
      <c r="B1069" s="1" t="s">
        <v>3221</v>
      </c>
      <c r="C1069" s="1" t="s">
        <v>3222</v>
      </c>
      <c r="F1069" s="1" t="s">
        <v>3223</v>
      </c>
      <c r="G1069" s="1">
        <v>1</v>
      </c>
      <c r="H1069" s="7">
        <v>45560</v>
      </c>
      <c r="I1069" s="1" t="s">
        <v>7455</v>
      </c>
      <c r="J1069" s="7">
        <v>45560</v>
      </c>
      <c r="K1069" s="1" t="s">
        <v>7455</v>
      </c>
    </row>
    <row r="1070" spans="1:11" x14ac:dyDescent="0.3">
      <c r="A1070" s="1">
        <v>1069</v>
      </c>
      <c r="B1070" s="1" t="s">
        <v>3224</v>
      </c>
      <c r="C1070" s="1" t="s">
        <v>3225</v>
      </c>
      <c r="F1070" s="1" t="s">
        <v>3226</v>
      </c>
      <c r="G1070" s="1">
        <v>1</v>
      </c>
      <c r="H1070" s="7">
        <v>45560</v>
      </c>
      <c r="I1070" s="1" t="s">
        <v>7455</v>
      </c>
      <c r="J1070" s="7">
        <v>45560</v>
      </c>
      <c r="K1070" s="1" t="s">
        <v>7455</v>
      </c>
    </row>
    <row r="1071" spans="1:11" x14ac:dyDescent="0.3">
      <c r="A1071" s="1">
        <v>1070</v>
      </c>
      <c r="B1071" s="1" t="s">
        <v>3227</v>
      </c>
      <c r="C1071" s="1" t="s">
        <v>3228</v>
      </c>
      <c r="D1071" s="1" t="s">
        <v>3229</v>
      </c>
      <c r="G1071" s="1">
        <v>1</v>
      </c>
      <c r="H1071" s="7">
        <v>45560</v>
      </c>
      <c r="I1071" s="1" t="s">
        <v>7455</v>
      </c>
      <c r="J1071" s="7">
        <v>45560</v>
      </c>
      <c r="K1071" s="1" t="s">
        <v>7455</v>
      </c>
    </row>
    <row r="1072" spans="1:11" x14ac:dyDescent="0.3">
      <c r="A1072" s="1">
        <v>1071</v>
      </c>
      <c r="B1072" s="1" t="s">
        <v>3230</v>
      </c>
      <c r="C1072" s="1" t="s">
        <v>3231</v>
      </c>
      <c r="F1072" s="1" t="s">
        <v>3232</v>
      </c>
      <c r="G1072" s="1">
        <v>1</v>
      </c>
      <c r="H1072" s="7">
        <v>45560</v>
      </c>
      <c r="I1072" s="1" t="s">
        <v>7455</v>
      </c>
      <c r="J1072" s="7">
        <v>45560</v>
      </c>
      <c r="K1072" s="1" t="s">
        <v>7455</v>
      </c>
    </row>
    <row r="1073" spans="1:11" x14ac:dyDescent="0.3">
      <c r="A1073" s="1">
        <v>1072</v>
      </c>
      <c r="B1073" s="1" t="s">
        <v>3233</v>
      </c>
      <c r="C1073" s="1" t="s">
        <v>3234</v>
      </c>
      <c r="D1073" s="1" t="s">
        <v>3235</v>
      </c>
      <c r="F1073" s="1" t="s">
        <v>3236</v>
      </c>
      <c r="G1073" s="1">
        <v>1</v>
      </c>
      <c r="H1073" s="7">
        <v>45560</v>
      </c>
      <c r="I1073" s="1" t="s">
        <v>7455</v>
      </c>
      <c r="J1073" s="7">
        <v>45560</v>
      </c>
      <c r="K1073" s="1" t="s">
        <v>7455</v>
      </c>
    </row>
    <row r="1074" spans="1:11" x14ac:dyDescent="0.3">
      <c r="A1074" s="1">
        <v>1073</v>
      </c>
      <c r="B1074" s="1" t="s">
        <v>3237</v>
      </c>
      <c r="C1074" s="1" t="s">
        <v>3238</v>
      </c>
      <c r="D1074" s="1" t="s">
        <v>3239</v>
      </c>
      <c r="F1074" s="1" t="s">
        <v>3240</v>
      </c>
      <c r="G1074" s="1">
        <v>1</v>
      </c>
      <c r="H1074" s="7">
        <v>45560</v>
      </c>
      <c r="I1074" s="1" t="s">
        <v>7455</v>
      </c>
      <c r="J1074" s="7">
        <v>45560</v>
      </c>
      <c r="K1074" s="1" t="s">
        <v>7455</v>
      </c>
    </row>
    <row r="1075" spans="1:11" x14ac:dyDescent="0.3">
      <c r="A1075" s="1">
        <v>1074</v>
      </c>
      <c r="B1075" s="1" t="s">
        <v>3241</v>
      </c>
      <c r="C1075" s="1" t="s">
        <v>3242</v>
      </c>
      <c r="D1075" s="1" t="s">
        <v>3243</v>
      </c>
      <c r="F1075" s="1" t="s">
        <v>3244</v>
      </c>
      <c r="G1075" s="1">
        <v>1</v>
      </c>
      <c r="H1075" s="7">
        <v>45560</v>
      </c>
      <c r="I1075" s="1" t="s">
        <v>7455</v>
      </c>
      <c r="J1075" s="7">
        <v>45560</v>
      </c>
      <c r="K1075" s="1" t="s">
        <v>7455</v>
      </c>
    </row>
    <row r="1076" spans="1:11" x14ac:dyDescent="0.3">
      <c r="A1076" s="1">
        <v>1075</v>
      </c>
      <c r="B1076" s="1" t="s">
        <v>3245</v>
      </c>
      <c r="C1076" s="1" t="s">
        <v>3246</v>
      </c>
      <c r="D1076" s="1" t="s">
        <v>3247</v>
      </c>
      <c r="F1076" s="1" t="s">
        <v>3248</v>
      </c>
      <c r="G1076" s="1">
        <v>1</v>
      </c>
      <c r="H1076" s="7">
        <v>45560</v>
      </c>
      <c r="I1076" s="1" t="s">
        <v>7455</v>
      </c>
      <c r="J1076" s="7">
        <v>45560</v>
      </c>
      <c r="K1076" s="1" t="s">
        <v>7455</v>
      </c>
    </row>
    <row r="1077" spans="1:11" x14ac:dyDescent="0.3">
      <c r="A1077" s="1">
        <v>1076</v>
      </c>
      <c r="B1077" s="1" t="s">
        <v>3249</v>
      </c>
      <c r="C1077" s="1" t="s">
        <v>3250</v>
      </c>
      <c r="D1077" s="1" t="s">
        <v>3251</v>
      </c>
      <c r="F1077" s="1" t="s">
        <v>3252</v>
      </c>
      <c r="G1077" s="1">
        <v>1</v>
      </c>
      <c r="H1077" s="7">
        <v>45560</v>
      </c>
      <c r="I1077" s="1" t="s">
        <v>7455</v>
      </c>
      <c r="J1077" s="7">
        <v>45560</v>
      </c>
      <c r="K1077" s="1" t="s">
        <v>7455</v>
      </c>
    </row>
    <row r="1078" spans="1:11" x14ac:dyDescent="0.3">
      <c r="A1078" s="1">
        <v>1077</v>
      </c>
      <c r="B1078" s="1" t="s">
        <v>3253</v>
      </c>
      <c r="C1078" s="1" t="s">
        <v>3254</v>
      </c>
      <c r="D1078" s="1" t="s">
        <v>3255</v>
      </c>
      <c r="F1078" s="1" t="s">
        <v>3256</v>
      </c>
      <c r="G1078" s="1">
        <v>1</v>
      </c>
      <c r="H1078" s="7">
        <v>45560</v>
      </c>
      <c r="I1078" s="1" t="s">
        <v>7455</v>
      </c>
      <c r="J1078" s="7">
        <v>45560</v>
      </c>
      <c r="K1078" s="1" t="s">
        <v>7455</v>
      </c>
    </row>
    <row r="1079" spans="1:11" x14ac:dyDescent="0.3">
      <c r="A1079" s="1">
        <v>1078</v>
      </c>
      <c r="B1079" s="1" t="s">
        <v>3257</v>
      </c>
      <c r="C1079" s="1" t="s">
        <v>3258</v>
      </c>
      <c r="D1079" s="1" t="s">
        <v>3259</v>
      </c>
      <c r="F1079" s="1" t="s">
        <v>3260</v>
      </c>
      <c r="G1079" s="1">
        <v>1</v>
      </c>
      <c r="H1079" s="7">
        <v>45560</v>
      </c>
      <c r="I1079" s="1" t="s">
        <v>7455</v>
      </c>
      <c r="J1079" s="7">
        <v>45560</v>
      </c>
      <c r="K1079" s="1" t="s">
        <v>7455</v>
      </c>
    </row>
    <row r="1080" spans="1:11" x14ac:dyDescent="0.3">
      <c r="A1080" s="1">
        <v>1079</v>
      </c>
      <c r="B1080" s="1" t="s">
        <v>3261</v>
      </c>
      <c r="C1080" s="1" t="s">
        <v>3262</v>
      </c>
      <c r="D1080" s="1" t="s">
        <v>3259</v>
      </c>
      <c r="F1080" s="1" t="s">
        <v>3263</v>
      </c>
      <c r="G1080" s="1">
        <v>1</v>
      </c>
      <c r="H1080" s="7">
        <v>45560</v>
      </c>
      <c r="I1080" s="1" t="s">
        <v>7455</v>
      </c>
      <c r="J1080" s="7">
        <v>45560</v>
      </c>
      <c r="K1080" s="1" t="s">
        <v>7455</v>
      </c>
    </row>
    <row r="1081" spans="1:11" x14ac:dyDescent="0.3">
      <c r="A1081" s="1">
        <v>1080</v>
      </c>
      <c r="B1081" s="1" t="s">
        <v>3264</v>
      </c>
      <c r="C1081" s="1" t="s">
        <v>3265</v>
      </c>
      <c r="D1081" s="1" t="s">
        <v>3266</v>
      </c>
      <c r="F1081" s="1" t="s">
        <v>3267</v>
      </c>
      <c r="G1081" s="1">
        <v>1</v>
      </c>
      <c r="H1081" s="7">
        <v>45560</v>
      </c>
      <c r="I1081" s="1" t="s">
        <v>7455</v>
      </c>
      <c r="J1081" s="7">
        <v>45560</v>
      </c>
      <c r="K1081" s="1" t="s">
        <v>7455</v>
      </c>
    </row>
    <row r="1082" spans="1:11" x14ac:dyDescent="0.3">
      <c r="A1082" s="1">
        <v>1081</v>
      </c>
      <c r="B1082" s="1" t="s">
        <v>3268</v>
      </c>
      <c r="C1082" s="1" t="s">
        <v>3269</v>
      </c>
      <c r="D1082" s="1" t="s">
        <v>3270</v>
      </c>
      <c r="F1082" s="1" t="s">
        <v>3271</v>
      </c>
      <c r="G1082" s="1">
        <v>1</v>
      </c>
      <c r="H1082" s="7">
        <v>45560</v>
      </c>
      <c r="I1082" s="1" t="s">
        <v>7455</v>
      </c>
      <c r="J1082" s="7">
        <v>45560</v>
      </c>
      <c r="K1082" s="1" t="s">
        <v>7455</v>
      </c>
    </row>
    <row r="1083" spans="1:11" x14ac:dyDescent="0.3">
      <c r="A1083" s="1">
        <v>1082</v>
      </c>
      <c r="B1083" s="1" t="s">
        <v>3272</v>
      </c>
      <c r="C1083" s="1" t="s">
        <v>3273</v>
      </c>
      <c r="D1083" s="1" t="s">
        <v>3274</v>
      </c>
      <c r="G1083" s="1">
        <v>1</v>
      </c>
      <c r="H1083" s="7">
        <v>45560</v>
      </c>
      <c r="I1083" s="1" t="s">
        <v>7455</v>
      </c>
      <c r="J1083" s="7">
        <v>45560</v>
      </c>
      <c r="K1083" s="1" t="s">
        <v>7455</v>
      </c>
    </row>
    <row r="1084" spans="1:11" x14ac:dyDescent="0.3">
      <c r="A1084" s="1">
        <v>1083</v>
      </c>
      <c r="B1084" s="1" t="s">
        <v>3275</v>
      </c>
      <c r="C1084" s="1" t="s">
        <v>3276</v>
      </c>
      <c r="D1084" s="1" t="s">
        <v>3277</v>
      </c>
      <c r="E1084" s="1" t="s">
        <v>73</v>
      </c>
      <c r="F1084" s="1" t="s">
        <v>3278</v>
      </c>
      <c r="G1084" s="1">
        <v>1</v>
      </c>
      <c r="H1084" s="7">
        <v>45560</v>
      </c>
      <c r="I1084" s="1" t="s">
        <v>7455</v>
      </c>
      <c r="J1084" s="7">
        <v>45560</v>
      </c>
      <c r="K1084" s="1" t="s">
        <v>7455</v>
      </c>
    </row>
    <row r="1085" spans="1:11" x14ac:dyDescent="0.3">
      <c r="A1085" s="1">
        <v>1084</v>
      </c>
      <c r="B1085" s="1" t="s">
        <v>3279</v>
      </c>
      <c r="C1085" s="1" t="s">
        <v>3280</v>
      </c>
      <c r="F1085" s="1" t="s">
        <v>3281</v>
      </c>
      <c r="G1085" s="1">
        <v>1</v>
      </c>
      <c r="H1085" s="7">
        <v>45560</v>
      </c>
      <c r="I1085" s="1" t="s">
        <v>7455</v>
      </c>
      <c r="J1085" s="7">
        <v>45560</v>
      </c>
      <c r="K1085" s="1" t="s">
        <v>7455</v>
      </c>
    </row>
    <row r="1086" spans="1:11" x14ac:dyDescent="0.3">
      <c r="A1086" s="1">
        <v>1085</v>
      </c>
      <c r="B1086" s="1" t="s">
        <v>3282</v>
      </c>
      <c r="C1086" s="1" t="s">
        <v>3283</v>
      </c>
      <c r="D1086" s="1" t="s">
        <v>3284</v>
      </c>
      <c r="G1086" s="1">
        <v>1</v>
      </c>
      <c r="H1086" s="7">
        <v>45560</v>
      </c>
      <c r="I1086" s="1" t="s">
        <v>7455</v>
      </c>
      <c r="J1086" s="7">
        <v>45560</v>
      </c>
      <c r="K1086" s="1" t="s">
        <v>7455</v>
      </c>
    </row>
    <row r="1087" spans="1:11" x14ac:dyDescent="0.3">
      <c r="A1087" s="1">
        <v>1086</v>
      </c>
      <c r="B1087" s="1" t="s">
        <v>3285</v>
      </c>
      <c r="C1087" s="1" t="s">
        <v>3286</v>
      </c>
      <c r="D1087" s="1" t="s">
        <v>3287</v>
      </c>
      <c r="G1087" s="1">
        <v>1</v>
      </c>
      <c r="H1087" s="7">
        <v>45560</v>
      </c>
      <c r="I1087" s="1" t="s">
        <v>7455</v>
      </c>
      <c r="J1087" s="7">
        <v>45560</v>
      </c>
      <c r="K1087" s="1" t="s">
        <v>7455</v>
      </c>
    </row>
    <row r="1088" spans="1:11" x14ac:dyDescent="0.3">
      <c r="A1088" s="1">
        <v>1087</v>
      </c>
      <c r="B1088" s="1" t="s">
        <v>3288</v>
      </c>
      <c r="C1088" s="1" t="s">
        <v>3289</v>
      </c>
      <c r="E1088" s="1" t="s">
        <v>52</v>
      </c>
      <c r="G1088" s="1">
        <v>1</v>
      </c>
      <c r="H1088" s="7">
        <v>45560</v>
      </c>
      <c r="I1088" s="1" t="s">
        <v>7455</v>
      </c>
      <c r="J1088" s="7">
        <v>45560</v>
      </c>
      <c r="K1088" s="1" t="s">
        <v>7455</v>
      </c>
    </row>
    <row r="1089" spans="1:11" x14ac:dyDescent="0.3">
      <c r="A1089" s="1">
        <v>1088</v>
      </c>
      <c r="B1089" s="1" t="s">
        <v>3290</v>
      </c>
      <c r="C1089" s="1" t="s">
        <v>3291</v>
      </c>
      <c r="D1089" s="1" t="s">
        <v>3292</v>
      </c>
      <c r="G1089" s="1">
        <v>1</v>
      </c>
      <c r="H1089" s="7">
        <v>45560</v>
      </c>
      <c r="I1089" s="1" t="s">
        <v>7455</v>
      </c>
      <c r="J1089" s="7">
        <v>45560</v>
      </c>
      <c r="K1089" s="1" t="s">
        <v>7455</v>
      </c>
    </row>
    <row r="1090" spans="1:11" x14ac:dyDescent="0.3">
      <c r="A1090" s="1">
        <v>1089</v>
      </c>
      <c r="B1090" s="1" t="s">
        <v>3293</v>
      </c>
      <c r="C1090" s="1" t="s">
        <v>3294</v>
      </c>
      <c r="E1090" s="1" t="s">
        <v>52</v>
      </c>
      <c r="G1090" s="1">
        <v>1</v>
      </c>
      <c r="H1090" s="7">
        <v>45560</v>
      </c>
      <c r="I1090" s="1" t="s">
        <v>7455</v>
      </c>
      <c r="J1090" s="7">
        <v>45560</v>
      </c>
      <c r="K1090" s="1" t="s">
        <v>7455</v>
      </c>
    </row>
    <row r="1091" spans="1:11" x14ac:dyDescent="0.3">
      <c r="A1091" s="1">
        <v>1090</v>
      </c>
      <c r="B1091" s="1" t="s">
        <v>3295</v>
      </c>
      <c r="C1091" s="1" t="s">
        <v>3296</v>
      </c>
      <c r="D1091" s="1" t="s">
        <v>3297</v>
      </c>
      <c r="G1091" s="1">
        <v>1</v>
      </c>
      <c r="H1091" s="7">
        <v>45560</v>
      </c>
      <c r="I1091" s="1" t="s">
        <v>7455</v>
      </c>
      <c r="J1091" s="7">
        <v>45560</v>
      </c>
      <c r="K1091" s="1" t="s">
        <v>7455</v>
      </c>
    </row>
    <row r="1092" spans="1:11" x14ac:dyDescent="0.3">
      <c r="A1092" s="1">
        <v>1091</v>
      </c>
      <c r="B1092" s="1" t="s">
        <v>3298</v>
      </c>
      <c r="C1092" s="1" t="s">
        <v>3299</v>
      </c>
      <c r="E1092" s="1" t="s">
        <v>52</v>
      </c>
      <c r="G1092" s="1">
        <v>1</v>
      </c>
      <c r="H1092" s="7">
        <v>45560</v>
      </c>
      <c r="I1092" s="1" t="s">
        <v>7455</v>
      </c>
      <c r="J1092" s="7">
        <v>45560</v>
      </c>
      <c r="K1092" s="1" t="s">
        <v>7455</v>
      </c>
    </row>
    <row r="1093" spans="1:11" x14ac:dyDescent="0.3">
      <c r="A1093" s="1">
        <v>1092</v>
      </c>
      <c r="B1093" s="1" t="s">
        <v>3300</v>
      </c>
      <c r="C1093" s="1" t="s">
        <v>3301</v>
      </c>
      <c r="F1093" s="1" t="s">
        <v>3302</v>
      </c>
      <c r="G1093" s="1">
        <v>1</v>
      </c>
      <c r="H1093" s="7">
        <v>45560</v>
      </c>
      <c r="I1093" s="1" t="s">
        <v>7455</v>
      </c>
      <c r="J1093" s="7">
        <v>45560</v>
      </c>
      <c r="K1093" s="1" t="s">
        <v>7455</v>
      </c>
    </row>
    <row r="1094" spans="1:11" x14ac:dyDescent="0.3">
      <c r="A1094" s="1">
        <v>1093</v>
      </c>
      <c r="B1094" s="1" t="s">
        <v>3303</v>
      </c>
      <c r="C1094" s="1" t="s">
        <v>3304</v>
      </c>
      <c r="D1094" s="1" t="s">
        <v>3305</v>
      </c>
      <c r="G1094" s="1">
        <v>1</v>
      </c>
      <c r="H1094" s="7">
        <v>45560</v>
      </c>
      <c r="I1094" s="1" t="s">
        <v>7455</v>
      </c>
      <c r="J1094" s="7">
        <v>45560</v>
      </c>
      <c r="K1094" s="1" t="s">
        <v>7455</v>
      </c>
    </row>
    <row r="1095" spans="1:11" x14ac:dyDescent="0.3">
      <c r="A1095" s="1">
        <v>1094</v>
      </c>
      <c r="B1095" s="1" t="s">
        <v>3306</v>
      </c>
      <c r="C1095" s="1" t="s">
        <v>3307</v>
      </c>
      <c r="E1095" s="1" t="s">
        <v>52</v>
      </c>
      <c r="G1095" s="1">
        <v>1</v>
      </c>
      <c r="H1095" s="7">
        <v>45560</v>
      </c>
      <c r="I1095" s="1" t="s">
        <v>7455</v>
      </c>
      <c r="J1095" s="7">
        <v>45560</v>
      </c>
      <c r="K1095" s="1" t="s">
        <v>7455</v>
      </c>
    </row>
    <row r="1096" spans="1:11" x14ac:dyDescent="0.3">
      <c r="A1096" s="1">
        <v>1095</v>
      </c>
      <c r="B1096" s="1" t="s">
        <v>3308</v>
      </c>
      <c r="C1096" s="1" t="s">
        <v>3309</v>
      </c>
      <c r="D1096" s="1" t="s">
        <v>3310</v>
      </c>
      <c r="G1096" s="1">
        <v>1</v>
      </c>
      <c r="H1096" s="7">
        <v>45560</v>
      </c>
      <c r="I1096" s="1" t="s">
        <v>7455</v>
      </c>
      <c r="J1096" s="7">
        <v>45560</v>
      </c>
      <c r="K1096" s="1" t="s">
        <v>7455</v>
      </c>
    </row>
    <row r="1097" spans="1:11" x14ac:dyDescent="0.3">
      <c r="A1097" s="1">
        <v>1096</v>
      </c>
      <c r="B1097" s="1" t="s">
        <v>3311</v>
      </c>
      <c r="C1097" s="1" t="s">
        <v>3312</v>
      </c>
      <c r="E1097" s="1" t="s">
        <v>73</v>
      </c>
      <c r="F1097" s="1" t="s">
        <v>3313</v>
      </c>
      <c r="G1097" s="1">
        <v>1</v>
      </c>
      <c r="H1097" s="7">
        <v>45560</v>
      </c>
      <c r="I1097" s="1" t="s">
        <v>7455</v>
      </c>
      <c r="J1097" s="7">
        <v>45560</v>
      </c>
      <c r="K1097" s="1" t="s">
        <v>7455</v>
      </c>
    </row>
    <row r="1098" spans="1:11" x14ac:dyDescent="0.3">
      <c r="A1098" s="1">
        <v>1097</v>
      </c>
      <c r="B1098" s="1" t="s">
        <v>3314</v>
      </c>
      <c r="C1098" s="1" t="s">
        <v>3315</v>
      </c>
      <c r="E1098" s="1" t="s">
        <v>52</v>
      </c>
      <c r="G1098" s="1">
        <v>1</v>
      </c>
      <c r="H1098" s="7">
        <v>45560</v>
      </c>
      <c r="I1098" s="1" t="s">
        <v>7455</v>
      </c>
      <c r="J1098" s="7">
        <v>45560</v>
      </c>
      <c r="K1098" s="1" t="s">
        <v>7455</v>
      </c>
    </row>
    <row r="1099" spans="1:11" x14ac:dyDescent="0.3">
      <c r="A1099" s="1">
        <v>1098</v>
      </c>
      <c r="B1099" s="1" t="s">
        <v>3316</v>
      </c>
      <c r="C1099" s="1" t="s">
        <v>3317</v>
      </c>
      <c r="D1099" s="1" t="s">
        <v>3318</v>
      </c>
      <c r="G1099" s="1">
        <v>1</v>
      </c>
      <c r="H1099" s="7">
        <v>45560</v>
      </c>
      <c r="I1099" s="1" t="s">
        <v>7455</v>
      </c>
      <c r="J1099" s="7">
        <v>45560</v>
      </c>
      <c r="K1099" s="1" t="s">
        <v>7455</v>
      </c>
    </row>
    <row r="1100" spans="1:11" x14ac:dyDescent="0.3">
      <c r="A1100" s="1">
        <v>1099</v>
      </c>
      <c r="B1100" s="1" t="s">
        <v>3319</v>
      </c>
      <c r="C1100" s="1" t="s">
        <v>3320</v>
      </c>
      <c r="E1100" s="1" t="s">
        <v>52</v>
      </c>
      <c r="G1100" s="1">
        <v>1</v>
      </c>
      <c r="H1100" s="7">
        <v>45560</v>
      </c>
      <c r="I1100" s="1" t="s">
        <v>7455</v>
      </c>
      <c r="J1100" s="7">
        <v>45560</v>
      </c>
      <c r="K1100" s="1" t="s">
        <v>7455</v>
      </c>
    </row>
    <row r="1101" spans="1:11" x14ac:dyDescent="0.3">
      <c r="A1101" s="1">
        <v>1100</v>
      </c>
      <c r="B1101" s="1" t="s">
        <v>3321</v>
      </c>
      <c r="C1101" s="1" t="s">
        <v>3322</v>
      </c>
      <c r="D1101" s="1" t="s">
        <v>3323</v>
      </c>
      <c r="F1101" s="1" t="s">
        <v>3324</v>
      </c>
      <c r="G1101" s="1">
        <v>1</v>
      </c>
      <c r="H1101" s="7">
        <v>45560</v>
      </c>
      <c r="I1101" s="1" t="s">
        <v>7455</v>
      </c>
      <c r="J1101" s="7">
        <v>45560</v>
      </c>
      <c r="K1101" s="1" t="s">
        <v>7455</v>
      </c>
    </row>
    <row r="1102" spans="1:11" x14ac:dyDescent="0.3">
      <c r="A1102" s="1">
        <v>1101</v>
      </c>
      <c r="B1102" s="1" t="s">
        <v>3325</v>
      </c>
      <c r="C1102" s="1" t="s">
        <v>3326</v>
      </c>
      <c r="F1102" s="1" t="s">
        <v>3327</v>
      </c>
      <c r="G1102" s="1">
        <v>1</v>
      </c>
      <c r="H1102" s="7">
        <v>45560</v>
      </c>
      <c r="I1102" s="1" t="s">
        <v>7455</v>
      </c>
      <c r="J1102" s="7">
        <v>45560</v>
      </c>
      <c r="K1102" s="1" t="s">
        <v>7455</v>
      </c>
    </row>
    <row r="1103" spans="1:11" x14ac:dyDescent="0.3">
      <c r="A1103" s="1">
        <v>1102</v>
      </c>
      <c r="B1103" s="1" t="s">
        <v>3328</v>
      </c>
      <c r="C1103" s="1" t="s">
        <v>3329</v>
      </c>
      <c r="D1103" s="1" t="s">
        <v>3330</v>
      </c>
      <c r="F1103" s="1" t="s">
        <v>3331</v>
      </c>
      <c r="G1103" s="1">
        <v>1</v>
      </c>
      <c r="H1103" s="7">
        <v>45560</v>
      </c>
      <c r="I1103" s="1" t="s">
        <v>7455</v>
      </c>
      <c r="J1103" s="7">
        <v>45560</v>
      </c>
      <c r="K1103" s="1" t="s">
        <v>7455</v>
      </c>
    </row>
    <row r="1104" spans="1:11" x14ac:dyDescent="0.3">
      <c r="A1104" s="1">
        <v>1103</v>
      </c>
      <c r="B1104" s="1" t="s">
        <v>3332</v>
      </c>
      <c r="C1104" s="1" t="s">
        <v>3333</v>
      </c>
      <c r="D1104" s="1" t="s">
        <v>3334</v>
      </c>
      <c r="F1104" s="1" t="s">
        <v>3335</v>
      </c>
      <c r="G1104" s="1">
        <v>1</v>
      </c>
      <c r="H1104" s="7">
        <v>45560</v>
      </c>
      <c r="I1104" s="1" t="s">
        <v>7455</v>
      </c>
      <c r="J1104" s="7">
        <v>45560</v>
      </c>
      <c r="K1104" s="1" t="s">
        <v>7455</v>
      </c>
    </row>
    <row r="1105" spans="1:11" x14ac:dyDescent="0.3">
      <c r="A1105" s="1">
        <v>1104</v>
      </c>
      <c r="B1105" s="1" t="s">
        <v>3336</v>
      </c>
      <c r="C1105" s="1" t="s">
        <v>3337</v>
      </c>
      <c r="E1105" s="1" t="s">
        <v>73</v>
      </c>
      <c r="F1105" s="1" t="s">
        <v>3338</v>
      </c>
      <c r="G1105" s="1">
        <v>1</v>
      </c>
      <c r="H1105" s="7">
        <v>45560</v>
      </c>
      <c r="I1105" s="1" t="s">
        <v>7455</v>
      </c>
      <c r="J1105" s="7">
        <v>45560</v>
      </c>
      <c r="K1105" s="1" t="s">
        <v>7455</v>
      </c>
    </row>
    <row r="1106" spans="1:11" x14ac:dyDescent="0.3">
      <c r="A1106" s="1">
        <v>1105</v>
      </c>
      <c r="B1106" s="1" t="s">
        <v>3339</v>
      </c>
      <c r="C1106" s="1" t="s">
        <v>3340</v>
      </c>
      <c r="E1106" s="1" t="s">
        <v>52</v>
      </c>
      <c r="G1106" s="1">
        <v>1</v>
      </c>
      <c r="H1106" s="7">
        <v>45560</v>
      </c>
      <c r="I1106" s="1" t="s">
        <v>7455</v>
      </c>
      <c r="J1106" s="7">
        <v>45560</v>
      </c>
      <c r="K1106" s="1" t="s">
        <v>7455</v>
      </c>
    </row>
    <row r="1107" spans="1:11" x14ac:dyDescent="0.3">
      <c r="A1107" s="1">
        <v>1106</v>
      </c>
      <c r="B1107" s="1" t="s">
        <v>3341</v>
      </c>
      <c r="C1107" s="1" t="s">
        <v>3342</v>
      </c>
      <c r="E1107" s="1" t="s">
        <v>73</v>
      </c>
      <c r="F1107" s="1" t="s">
        <v>3343</v>
      </c>
      <c r="G1107" s="1">
        <v>1</v>
      </c>
      <c r="H1107" s="7">
        <v>45560</v>
      </c>
      <c r="I1107" s="1" t="s">
        <v>7455</v>
      </c>
      <c r="J1107" s="7">
        <v>45560</v>
      </c>
      <c r="K1107" s="1" t="s">
        <v>7455</v>
      </c>
    </row>
    <row r="1108" spans="1:11" x14ac:dyDescent="0.3">
      <c r="A1108" s="1">
        <v>1107</v>
      </c>
      <c r="B1108" s="1" t="s">
        <v>3344</v>
      </c>
      <c r="C1108" s="1" t="s">
        <v>3345</v>
      </c>
      <c r="D1108" s="1" t="s">
        <v>3346</v>
      </c>
      <c r="G1108" s="1">
        <v>1</v>
      </c>
      <c r="H1108" s="7">
        <v>45560</v>
      </c>
      <c r="I1108" s="1" t="s">
        <v>7455</v>
      </c>
      <c r="J1108" s="7">
        <v>45560</v>
      </c>
      <c r="K1108" s="1" t="s">
        <v>7455</v>
      </c>
    </row>
    <row r="1109" spans="1:11" x14ac:dyDescent="0.3">
      <c r="A1109" s="1">
        <v>1108</v>
      </c>
      <c r="B1109" s="1" t="s">
        <v>3347</v>
      </c>
      <c r="C1109" s="1" t="s">
        <v>3348</v>
      </c>
      <c r="E1109" s="1" t="s">
        <v>52</v>
      </c>
      <c r="G1109" s="1">
        <v>1</v>
      </c>
      <c r="H1109" s="7">
        <v>45560</v>
      </c>
      <c r="I1109" s="1" t="s">
        <v>7455</v>
      </c>
      <c r="J1109" s="7">
        <v>45560</v>
      </c>
      <c r="K1109" s="1" t="s">
        <v>7455</v>
      </c>
    </row>
    <row r="1110" spans="1:11" x14ac:dyDescent="0.3">
      <c r="A1110" s="1">
        <v>1109</v>
      </c>
      <c r="B1110" s="1" t="s">
        <v>3349</v>
      </c>
      <c r="C1110" s="1" t="s">
        <v>3350</v>
      </c>
      <c r="E1110" s="1" t="s">
        <v>52</v>
      </c>
      <c r="G1110" s="1">
        <v>1</v>
      </c>
      <c r="H1110" s="7">
        <v>45560</v>
      </c>
      <c r="I1110" s="1" t="s">
        <v>7455</v>
      </c>
      <c r="J1110" s="7">
        <v>45560</v>
      </c>
      <c r="K1110" s="1" t="s">
        <v>7455</v>
      </c>
    </row>
    <row r="1111" spans="1:11" x14ac:dyDescent="0.3">
      <c r="A1111" s="1">
        <v>1110</v>
      </c>
      <c r="B1111" s="1" t="s">
        <v>3351</v>
      </c>
      <c r="C1111" s="1" t="s">
        <v>3352</v>
      </c>
      <c r="D1111" s="1" t="s">
        <v>3353</v>
      </c>
      <c r="F1111" s="1" t="s">
        <v>3354</v>
      </c>
      <c r="G1111" s="1">
        <v>1</v>
      </c>
      <c r="H1111" s="7">
        <v>45560</v>
      </c>
      <c r="I1111" s="1" t="s">
        <v>7455</v>
      </c>
      <c r="J1111" s="7">
        <v>45560</v>
      </c>
      <c r="K1111" s="1" t="s">
        <v>7455</v>
      </c>
    </row>
    <row r="1112" spans="1:11" x14ac:dyDescent="0.3">
      <c r="A1112" s="1">
        <v>1111</v>
      </c>
      <c r="B1112" s="1" t="s">
        <v>3355</v>
      </c>
      <c r="C1112" s="1" t="s">
        <v>3356</v>
      </c>
      <c r="D1112" s="1" t="s">
        <v>3357</v>
      </c>
      <c r="F1112" s="1" t="s">
        <v>3358</v>
      </c>
      <c r="G1112" s="1">
        <v>1</v>
      </c>
      <c r="H1112" s="7">
        <v>45560</v>
      </c>
      <c r="I1112" s="1" t="s">
        <v>7455</v>
      </c>
      <c r="J1112" s="7">
        <v>45560</v>
      </c>
      <c r="K1112" s="1" t="s">
        <v>7455</v>
      </c>
    </row>
    <row r="1113" spans="1:11" x14ac:dyDescent="0.3">
      <c r="A1113" s="1">
        <v>1112</v>
      </c>
      <c r="B1113" s="1" t="s">
        <v>3359</v>
      </c>
      <c r="C1113" s="1" t="s">
        <v>3360</v>
      </c>
      <c r="E1113" s="1" t="s">
        <v>52</v>
      </c>
      <c r="G1113" s="1">
        <v>1</v>
      </c>
      <c r="H1113" s="7">
        <v>45560</v>
      </c>
      <c r="I1113" s="1" t="s">
        <v>7455</v>
      </c>
      <c r="J1113" s="7">
        <v>45560</v>
      </c>
      <c r="K1113" s="1" t="s">
        <v>7455</v>
      </c>
    </row>
    <row r="1114" spans="1:11" x14ac:dyDescent="0.3">
      <c r="A1114" s="1">
        <v>1113</v>
      </c>
      <c r="B1114" s="1" t="s">
        <v>3361</v>
      </c>
      <c r="C1114" s="1" t="s">
        <v>3362</v>
      </c>
      <c r="F1114" s="1" t="s">
        <v>3363</v>
      </c>
      <c r="G1114" s="1">
        <v>1</v>
      </c>
      <c r="H1114" s="7">
        <v>45560</v>
      </c>
      <c r="I1114" s="1" t="s">
        <v>7455</v>
      </c>
      <c r="J1114" s="7">
        <v>45560</v>
      </c>
      <c r="K1114" s="1" t="s">
        <v>7455</v>
      </c>
    </row>
    <row r="1115" spans="1:11" x14ac:dyDescent="0.3">
      <c r="A1115" s="1">
        <v>1114</v>
      </c>
      <c r="B1115" s="1" t="s">
        <v>3364</v>
      </c>
      <c r="C1115" s="1" t="s">
        <v>3365</v>
      </c>
      <c r="E1115" s="1" t="s">
        <v>52</v>
      </c>
      <c r="G1115" s="1">
        <v>1</v>
      </c>
      <c r="H1115" s="7">
        <v>45560</v>
      </c>
      <c r="I1115" s="1" t="s">
        <v>7455</v>
      </c>
      <c r="J1115" s="7">
        <v>45560</v>
      </c>
      <c r="K1115" s="1" t="s">
        <v>7455</v>
      </c>
    </row>
    <row r="1116" spans="1:11" x14ac:dyDescent="0.3">
      <c r="A1116" s="1">
        <v>1115</v>
      </c>
      <c r="B1116" s="1" t="s">
        <v>3366</v>
      </c>
      <c r="C1116" s="1" t="s">
        <v>3367</v>
      </c>
      <c r="D1116" s="1" t="s">
        <v>3368</v>
      </c>
      <c r="G1116" s="1">
        <v>1</v>
      </c>
      <c r="H1116" s="7">
        <v>45560</v>
      </c>
      <c r="I1116" s="1" t="s">
        <v>7455</v>
      </c>
      <c r="J1116" s="7">
        <v>45560</v>
      </c>
      <c r="K1116" s="1" t="s">
        <v>7455</v>
      </c>
    </row>
    <row r="1117" spans="1:11" x14ac:dyDescent="0.3">
      <c r="A1117" s="1">
        <v>1116</v>
      </c>
      <c r="B1117" s="1" t="s">
        <v>3369</v>
      </c>
      <c r="C1117" s="1" t="s">
        <v>3370</v>
      </c>
      <c r="D1117" s="1" t="s">
        <v>3371</v>
      </c>
      <c r="E1117" s="1" t="s">
        <v>52</v>
      </c>
      <c r="G1117" s="1">
        <v>1</v>
      </c>
      <c r="H1117" s="7">
        <v>45560</v>
      </c>
      <c r="I1117" s="1" t="s">
        <v>7455</v>
      </c>
      <c r="J1117" s="7">
        <v>45560</v>
      </c>
      <c r="K1117" s="1" t="s">
        <v>7455</v>
      </c>
    </row>
    <row r="1118" spans="1:11" x14ac:dyDescent="0.3">
      <c r="A1118" s="1">
        <v>1117</v>
      </c>
      <c r="B1118" s="1" t="s">
        <v>3372</v>
      </c>
      <c r="C1118" s="1" t="s">
        <v>3373</v>
      </c>
      <c r="E1118" s="1" t="s">
        <v>52</v>
      </c>
      <c r="G1118" s="1">
        <v>1</v>
      </c>
      <c r="H1118" s="7">
        <v>45560</v>
      </c>
      <c r="I1118" s="1" t="s">
        <v>7455</v>
      </c>
      <c r="J1118" s="7">
        <v>45560</v>
      </c>
      <c r="K1118" s="1" t="s">
        <v>7455</v>
      </c>
    </row>
    <row r="1119" spans="1:11" x14ac:dyDescent="0.3">
      <c r="A1119" s="1">
        <v>1118</v>
      </c>
      <c r="B1119" s="1" t="s">
        <v>3374</v>
      </c>
      <c r="C1119" s="1" t="s">
        <v>3375</v>
      </c>
      <c r="E1119" s="1" t="s">
        <v>52</v>
      </c>
      <c r="G1119" s="1">
        <v>1</v>
      </c>
      <c r="H1119" s="7">
        <v>45560</v>
      </c>
      <c r="I1119" s="1" t="s">
        <v>7455</v>
      </c>
      <c r="J1119" s="7">
        <v>45560</v>
      </c>
      <c r="K1119" s="1" t="s">
        <v>7455</v>
      </c>
    </row>
    <row r="1120" spans="1:11" x14ac:dyDescent="0.3">
      <c r="A1120" s="1">
        <v>1119</v>
      </c>
      <c r="B1120" s="1" t="s">
        <v>3376</v>
      </c>
      <c r="C1120" s="1" t="s">
        <v>3377</v>
      </c>
      <c r="D1120" s="1" t="s">
        <v>3378</v>
      </c>
      <c r="F1120" s="1" t="s">
        <v>3379</v>
      </c>
      <c r="G1120" s="1">
        <v>1</v>
      </c>
      <c r="H1120" s="7">
        <v>45560</v>
      </c>
      <c r="I1120" s="1" t="s">
        <v>7455</v>
      </c>
      <c r="J1120" s="7">
        <v>45560</v>
      </c>
      <c r="K1120" s="1" t="s">
        <v>7455</v>
      </c>
    </row>
    <row r="1121" spans="1:11" x14ac:dyDescent="0.3">
      <c r="A1121" s="1">
        <v>1120</v>
      </c>
      <c r="B1121" s="1" t="s">
        <v>3380</v>
      </c>
      <c r="C1121" s="1" t="s">
        <v>3381</v>
      </c>
      <c r="D1121" s="1" t="s">
        <v>3382</v>
      </c>
      <c r="F1121" s="1" t="s">
        <v>3383</v>
      </c>
      <c r="G1121" s="1">
        <v>1</v>
      </c>
      <c r="H1121" s="7">
        <v>45560</v>
      </c>
      <c r="I1121" s="1" t="s">
        <v>7455</v>
      </c>
      <c r="J1121" s="7">
        <v>45560</v>
      </c>
      <c r="K1121" s="1" t="s">
        <v>7455</v>
      </c>
    </row>
    <row r="1122" spans="1:11" x14ac:dyDescent="0.3">
      <c r="A1122" s="1">
        <v>1121</v>
      </c>
      <c r="B1122" s="1" t="s">
        <v>3384</v>
      </c>
      <c r="C1122" s="1" t="s">
        <v>3385</v>
      </c>
      <c r="D1122" s="1" t="s">
        <v>3386</v>
      </c>
      <c r="F1122" s="1" t="s">
        <v>3387</v>
      </c>
      <c r="G1122" s="1">
        <v>1</v>
      </c>
      <c r="H1122" s="7">
        <v>45560</v>
      </c>
      <c r="I1122" s="1" t="s">
        <v>7455</v>
      </c>
      <c r="J1122" s="7">
        <v>45560</v>
      </c>
      <c r="K1122" s="1" t="s">
        <v>7455</v>
      </c>
    </row>
    <row r="1123" spans="1:11" x14ac:dyDescent="0.3">
      <c r="A1123" s="1">
        <v>1122</v>
      </c>
      <c r="B1123" s="1" t="s">
        <v>3388</v>
      </c>
      <c r="C1123" s="1" t="s">
        <v>3389</v>
      </c>
      <c r="E1123" s="1" t="s">
        <v>52</v>
      </c>
      <c r="G1123" s="1">
        <v>1</v>
      </c>
      <c r="H1123" s="7">
        <v>45560</v>
      </c>
      <c r="I1123" s="1" t="s">
        <v>7455</v>
      </c>
      <c r="J1123" s="7">
        <v>45560</v>
      </c>
      <c r="K1123" s="1" t="s">
        <v>7455</v>
      </c>
    </row>
    <row r="1124" spans="1:11" x14ac:dyDescent="0.3">
      <c r="A1124" s="1">
        <v>1123</v>
      </c>
      <c r="B1124" s="1" t="s">
        <v>3390</v>
      </c>
      <c r="C1124" s="1" t="s">
        <v>3391</v>
      </c>
      <c r="D1124" s="1" t="s">
        <v>3392</v>
      </c>
      <c r="G1124" s="1">
        <v>1</v>
      </c>
      <c r="H1124" s="7">
        <v>45560</v>
      </c>
      <c r="I1124" s="1" t="s">
        <v>7455</v>
      </c>
      <c r="J1124" s="7">
        <v>45560</v>
      </c>
      <c r="K1124" s="1" t="s">
        <v>7455</v>
      </c>
    </row>
    <row r="1125" spans="1:11" x14ac:dyDescent="0.3">
      <c r="A1125" s="1">
        <v>1124</v>
      </c>
      <c r="B1125" s="1" t="s">
        <v>3393</v>
      </c>
      <c r="C1125" s="1" t="s">
        <v>3394</v>
      </c>
      <c r="E1125" s="1" t="s">
        <v>52</v>
      </c>
      <c r="G1125" s="1">
        <v>1</v>
      </c>
      <c r="H1125" s="7">
        <v>45560</v>
      </c>
      <c r="I1125" s="1" t="s">
        <v>7455</v>
      </c>
      <c r="J1125" s="7">
        <v>45560</v>
      </c>
      <c r="K1125" s="1" t="s">
        <v>7455</v>
      </c>
    </row>
    <row r="1126" spans="1:11" x14ac:dyDescent="0.3">
      <c r="A1126" s="1">
        <v>1125</v>
      </c>
      <c r="B1126" s="1" t="s">
        <v>3395</v>
      </c>
      <c r="C1126" s="1" t="s">
        <v>3396</v>
      </c>
      <c r="F1126" s="1" t="s">
        <v>3397</v>
      </c>
      <c r="G1126" s="1">
        <v>1</v>
      </c>
      <c r="H1126" s="7">
        <v>45560</v>
      </c>
      <c r="I1126" s="1" t="s">
        <v>7455</v>
      </c>
      <c r="J1126" s="7">
        <v>45560</v>
      </c>
      <c r="K1126" s="1" t="s">
        <v>7455</v>
      </c>
    </row>
    <row r="1127" spans="1:11" x14ac:dyDescent="0.3">
      <c r="A1127" s="1">
        <v>1126</v>
      </c>
      <c r="B1127" s="1" t="s">
        <v>3398</v>
      </c>
      <c r="C1127" s="1" t="s">
        <v>3399</v>
      </c>
      <c r="F1127" s="1" t="s">
        <v>3400</v>
      </c>
      <c r="G1127" s="1">
        <v>1</v>
      </c>
      <c r="H1127" s="7">
        <v>45560</v>
      </c>
      <c r="I1127" s="1" t="s">
        <v>7455</v>
      </c>
      <c r="J1127" s="7">
        <v>45560</v>
      </c>
      <c r="K1127" s="1" t="s">
        <v>7455</v>
      </c>
    </row>
    <row r="1128" spans="1:11" x14ac:dyDescent="0.3">
      <c r="A1128" s="1">
        <v>1127</v>
      </c>
      <c r="B1128" s="1" t="s">
        <v>3401</v>
      </c>
      <c r="C1128" s="1" t="s">
        <v>3402</v>
      </c>
      <c r="D1128" s="1" t="s">
        <v>3403</v>
      </c>
      <c r="F1128" s="1" t="s">
        <v>3404</v>
      </c>
      <c r="G1128" s="1">
        <v>1</v>
      </c>
      <c r="H1128" s="7">
        <v>45560</v>
      </c>
      <c r="I1128" s="1" t="s">
        <v>7455</v>
      </c>
      <c r="J1128" s="7">
        <v>45560</v>
      </c>
      <c r="K1128" s="1" t="s">
        <v>7455</v>
      </c>
    </row>
    <row r="1129" spans="1:11" x14ac:dyDescent="0.3">
      <c r="A1129" s="1">
        <v>1128</v>
      </c>
      <c r="B1129" s="1" t="s">
        <v>3405</v>
      </c>
      <c r="C1129" s="1" t="s">
        <v>3406</v>
      </c>
      <c r="D1129" s="1" t="s">
        <v>3407</v>
      </c>
      <c r="F1129" s="1" t="s">
        <v>3408</v>
      </c>
      <c r="G1129" s="1">
        <v>1</v>
      </c>
      <c r="H1129" s="7">
        <v>45560</v>
      </c>
      <c r="I1129" s="1" t="s">
        <v>7455</v>
      </c>
      <c r="J1129" s="7">
        <v>45560</v>
      </c>
      <c r="K1129" s="1" t="s">
        <v>7455</v>
      </c>
    </row>
    <row r="1130" spans="1:11" x14ac:dyDescent="0.3">
      <c r="A1130" s="1">
        <v>1129</v>
      </c>
      <c r="B1130" s="1" t="s">
        <v>3409</v>
      </c>
      <c r="C1130" s="1" t="s">
        <v>3410</v>
      </c>
      <c r="D1130" s="1" t="s">
        <v>3411</v>
      </c>
      <c r="F1130" s="1" t="s">
        <v>3412</v>
      </c>
      <c r="G1130" s="1">
        <v>1</v>
      </c>
      <c r="H1130" s="7">
        <v>45560</v>
      </c>
      <c r="I1130" s="1" t="s">
        <v>7455</v>
      </c>
      <c r="J1130" s="7">
        <v>45560</v>
      </c>
      <c r="K1130" s="1" t="s">
        <v>7455</v>
      </c>
    </row>
    <row r="1131" spans="1:11" x14ac:dyDescent="0.3">
      <c r="A1131" s="1">
        <v>1130</v>
      </c>
      <c r="B1131" s="1" t="s">
        <v>3413</v>
      </c>
      <c r="C1131" s="1" t="s">
        <v>3414</v>
      </c>
      <c r="D1131" s="1" t="s">
        <v>3415</v>
      </c>
      <c r="F1131" s="1" t="s">
        <v>3416</v>
      </c>
      <c r="G1131" s="1">
        <v>1</v>
      </c>
      <c r="H1131" s="7">
        <v>45560</v>
      </c>
      <c r="I1131" s="1" t="s">
        <v>7455</v>
      </c>
      <c r="J1131" s="7">
        <v>45560</v>
      </c>
      <c r="K1131" s="1" t="s">
        <v>7455</v>
      </c>
    </row>
    <row r="1132" spans="1:11" x14ac:dyDescent="0.3">
      <c r="A1132" s="1">
        <v>1131</v>
      </c>
      <c r="B1132" s="1" t="s">
        <v>3417</v>
      </c>
      <c r="C1132" s="1" t="s">
        <v>3418</v>
      </c>
      <c r="D1132" s="1" t="s">
        <v>3419</v>
      </c>
      <c r="F1132" s="1" t="s">
        <v>3420</v>
      </c>
      <c r="G1132" s="1">
        <v>1</v>
      </c>
      <c r="H1132" s="7">
        <v>45560</v>
      </c>
      <c r="I1132" s="1" t="s">
        <v>7455</v>
      </c>
      <c r="J1132" s="7">
        <v>45560</v>
      </c>
      <c r="K1132" s="1" t="s">
        <v>7455</v>
      </c>
    </row>
    <row r="1133" spans="1:11" x14ac:dyDescent="0.3">
      <c r="A1133" s="1">
        <v>1132</v>
      </c>
      <c r="B1133" s="1" t="s">
        <v>3421</v>
      </c>
      <c r="C1133" s="1" t="s">
        <v>3422</v>
      </c>
      <c r="D1133" s="1" t="s">
        <v>3423</v>
      </c>
      <c r="F1133" s="1" t="s">
        <v>3424</v>
      </c>
      <c r="G1133" s="1">
        <v>1</v>
      </c>
      <c r="H1133" s="7">
        <v>45560</v>
      </c>
      <c r="I1133" s="1" t="s">
        <v>7455</v>
      </c>
      <c r="J1133" s="7">
        <v>45560</v>
      </c>
      <c r="K1133" s="1" t="s">
        <v>7455</v>
      </c>
    </row>
    <row r="1134" spans="1:11" x14ac:dyDescent="0.3">
      <c r="A1134" s="1">
        <v>1133</v>
      </c>
      <c r="B1134" s="1" t="s">
        <v>3425</v>
      </c>
      <c r="C1134" s="1" t="s">
        <v>3426</v>
      </c>
      <c r="D1134" s="1" t="s">
        <v>3427</v>
      </c>
      <c r="F1134" s="1" t="s">
        <v>3428</v>
      </c>
      <c r="G1134" s="1">
        <v>1</v>
      </c>
      <c r="H1134" s="7">
        <v>45560</v>
      </c>
      <c r="I1134" s="1" t="s">
        <v>7455</v>
      </c>
      <c r="J1134" s="7">
        <v>45560</v>
      </c>
      <c r="K1134" s="1" t="s">
        <v>7455</v>
      </c>
    </row>
    <row r="1135" spans="1:11" x14ac:dyDescent="0.3">
      <c r="A1135" s="1">
        <v>1134</v>
      </c>
      <c r="B1135" s="1" t="s">
        <v>3429</v>
      </c>
      <c r="C1135" s="1" t="s">
        <v>3430</v>
      </c>
      <c r="D1135" s="1" t="s">
        <v>3431</v>
      </c>
      <c r="F1135" s="1" t="s">
        <v>3432</v>
      </c>
      <c r="G1135" s="1">
        <v>1</v>
      </c>
      <c r="H1135" s="7">
        <v>45560</v>
      </c>
      <c r="I1135" s="1" t="s">
        <v>7455</v>
      </c>
      <c r="J1135" s="7">
        <v>45560</v>
      </c>
      <c r="K1135" s="1" t="s">
        <v>7455</v>
      </c>
    </row>
    <row r="1136" spans="1:11" x14ac:dyDescent="0.3">
      <c r="A1136" s="1">
        <v>1135</v>
      </c>
      <c r="B1136" s="1" t="s">
        <v>3433</v>
      </c>
      <c r="C1136" s="1" t="s">
        <v>3434</v>
      </c>
      <c r="F1136" s="1" t="s">
        <v>3435</v>
      </c>
      <c r="G1136" s="1">
        <v>1</v>
      </c>
      <c r="H1136" s="7">
        <v>45560</v>
      </c>
      <c r="I1136" s="1" t="s">
        <v>7455</v>
      </c>
      <c r="J1136" s="7">
        <v>45560</v>
      </c>
      <c r="K1136" s="1" t="s">
        <v>7455</v>
      </c>
    </row>
    <row r="1137" spans="1:11" x14ac:dyDescent="0.3">
      <c r="A1137" s="1">
        <v>1136</v>
      </c>
      <c r="B1137" s="1" t="s">
        <v>3436</v>
      </c>
      <c r="C1137" s="1" t="s">
        <v>3437</v>
      </c>
      <c r="F1137" s="1" t="s">
        <v>3438</v>
      </c>
      <c r="G1137" s="1">
        <v>1</v>
      </c>
      <c r="H1137" s="7">
        <v>45560</v>
      </c>
      <c r="I1137" s="1" t="s">
        <v>7455</v>
      </c>
      <c r="J1137" s="7">
        <v>45560</v>
      </c>
      <c r="K1137" s="1" t="s">
        <v>7455</v>
      </c>
    </row>
    <row r="1138" spans="1:11" x14ac:dyDescent="0.3">
      <c r="A1138" s="1">
        <v>1137</v>
      </c>
      <c r="B1138" s="1" t="s">
        <v>3439</v>
      </c>
      <c r="C1138" s="1" t="s">
        <v>3440</v>
      </c>
      <c r="F1138" s="1" t="s">
        <v>3441</v>
      </c>
      <c r="G1138" s="1">
        <v>1</v>
      </c>
      <c r="H1138" s="7">
        <v>45560</v>
      </c>
      <c r="I1138" s="1" t="s">
        <v>7455</v>
      </c>
      <c r="J1138" s="7">
        <v>45560</v>
      </c>
      <c r="K1138" s="1" t="s">
        <v>7455</v>
      </c>
    </row>
    <row r="1139" spans="1:11" x14ac:dyDescent="0.3">
      <c r="A1139" s="1">
        <v>1138</v>
      </c>
      <c r="B1139" s="1" t="s">
        <v>3442</v>
      </c>
      <c r="C1139" s="1" t="s">
        <v>3443</v>
      </c>
      <c r="F1139" s="1" t="s">
        <v>3444</v>
      </c>
      <c r="G1139" s="1">
        <v>1</v>
      </c>
      <c r="H1139" s="7">
        <v>45560</v>
      </c>
      <c r="I1139" s="1" t="s">
        <v>7455</v>
      </c>
      <c r="J1139" s="7">
        <v>45560</v>
      </c>
      <c r="K1139" s="1" t="s">
        <v>7455</v>
      </c>
    </row>
    <row r="1140" spans="1:11" x14ac:dyDescent="0.3">
      <c r="A1140" s="1">
        <v>1139</v>
      </c>
      <c r="B1140" s="1" t="s">
        <v>3445</v>
      </c>
      <c r="C1140" s="1" t="s">
        <v>3446</v>
      </c>
      <c r="F1140" s="1" t="s">
        <v>3447</v>
      </c>
      <c r="G1140" s="1">
        <v>1</v>
      </c>
      <c r="H1140" s="7">
        <v>45560</v>
      </c>
      <c r="I1140" s="1" t="s">
        <v>7455</v>
      </c>
      <c r="J1140" s="7">
        <v>45560</v>
      </c>
      <c r="K1140" s="1" t="s">
        <v>7455</v>
      </c>
    </row>
    <row r="1141" spans="1:11" x14ac:dyDescent="0.3">
      <c r="A1141" s="1">
        <v>1140</v>
      </c>
      <c r="B1141" s="1" t="s">
        <v>3448</v>
      </c>
      <c r="C1141" s="1" t="s">
        <v>3449</v>
      </c>
      <c r="F1141" s="1" t="s">
        <v>3450</v>
      </c>
      <c r="G1141" s="1">
        <v>1</v>
      </c>
      <c r="H1141" s="7">
        <v>45560</v>
      </c>
      <c r="I1141" s="1" t="s">
        <v>7455</v>
      </c>
      <c r="J1141" s="7">
        <v>45560</v>
      </c>
      <c r="K1141" s="1" t="s">
        <v>7455</v>
      </c>
    </row>
    <row r="1142" spans="1:11" x14ac:dyDescent="0.3">
      <c r="A1142" s="1">
        <v>1141</v>
      </c>
      <c r="B1142" s="1" t="s">
        <v>3451</v>
      </c>
      <c r="C1142" s="1" t="s">
        <v>3452</v>
      </c>
      <c r="F1142" s="1" t="s">
        <v>3453</v>
      </c>
      <c r="G1142" s="1">
        <v>1</v>
      </c>
      <c r="H1142" s="7">
        <v>45560</v>
      </c>
      <c r="I1142" s="1" t="s">
        <v>7455</v>
      </c>
      <c r="J1142" s="7">
        <v>45560</v>
      </c>
      <c r="K1142" s="1" t="s">
        <v>7455</v>
      </c>
    </row>
    <row r="1143" spans="1:11" x14ac:dyDescent="0.3">
      <c r="A1143" s="1">
        <v>1142</v>
      </c>
      <c r="B1143" s="1" t="s">
        <v>3454</v>
      </c>
      <c r="C1143" s="1" t="s">
        <v>3455</v>
      </c>
      <c r="F1143" s="1" t="s">
        <v>3456</v>
      </c>
      <c r="G1143" s="1">
        <v>1</v>
      </c>
      <c r="H1143" s="7">
        <v>45560</v>
      </c>
      <c r="I1143" s="1" t="s">
        <v>7455</v>
      </c>
      <c r="J1143" s="7">
        <v>45560</v>
      </c>
      <c r="K1143" s="1" t="s">
        <v>7455</v>
      </c>
    </row>
    <row r="1144" spans="1:11" x14ac:dyDescent="0.3">
      <c r="A1144" s="1">
        <v>1143</v>
      </c>
      <c r="B1144" s="1" t="s">
        <v>3457</v>
      </c>
      <c r="C1144" s="1" t="s">
        <v>3458</v>
      </c>
      <c r="F1144" s="1" t="s">
        <v>3459</v>
      </c>
      <c r="G1144" s="1">
        <v>1</v>
      </c>
      <c r="H1144" s="7">
        <v>45560</v>
      </c>
      <c r="I1144" s="1" t="s">
        <v>7455</v>
      </c>
      <c r="J1144" s="7">
        <v>45560</v>
      </c>
      <c r="K1144" s="1" t="s">
        <v>7455</v>
      </c>
    </row>
    <row r="1145" spans="1:11" x14ac:dyDescent="0.3">
      <c r="A1145" s="1">
        <v>1144</v>
      </c>
      <c r="B1145" s="1" t="s">
        <v>3460</v>
      </c>
      <c r="C1145" s="1" t="s">
        <v>3461</v>
      </c>
      <c r="D1145" s="1" t="s">
        <v>3462</v>
      </c>
      <c r="F1145" s="1" t="s">
        <v>3463</v>
      </c>
      <c r="G1145" s="1">
        <v>1</v>
      </c>
      <c r="H1145" s="7">
        <v>45560</v>
      </c>
      <c r="I1145" s="1" t="s">
        <v>7455</v>
      </c>
      <c r="J1145" s="7">
        <v>45560</v>
      </c>
      <c r="K1145" s="1" t="s">
        <v>7455</v>
      </c>
    </row>
    <row r="1146" spans="1:11" x14ac:dyDescent="0.3">
      <c r="A1146" s="1">
        <v>1145</v>
      </c>
      <c r="B1146" s="1" t="s">
        <v>3464</v>
      </c>
      <c r="C1146" s="1" t="s">
        <v>3465</v>
      </c>
      <c r="F1146" s="1" t="s">
        <v>3466</v>
      </c>
      <c r="G1146" s="1">
        <v>1</v>
      </c>
      <c r="H1146" s="7">
        <v>45560</v>
      </c>
      <c r="I1146" s="1" t="s">
        <v>7455</v>
      </c>
      <c r="J1146" s="7">
        <v>45560</v>
      </c>
      <c r="K1146" s="1" t="s">
        <v>7455</v>
      </c>
    </row>
    <row r="1147" spans="1:11" x14ac:dyDescent="0.3">
      <c r="A1147" s="1">
        <v>1146</v>
      </c>
      <c r="B1147" s="1" t="s">
        <v>3467</v>
      </c>
      <c r="C1147" s="1" t="s">
        <v>3468</v>
      </c>
      <c r="F1147" s="1" t="s">
        <v>3469</v>
      </c>
      <c r="G1147" s="1">
        <v>1</v>
      </c>
      <c r="H1147" s="7">
        <v>45560</v>
      </c>
      <c r="I1147" s="1" t="s">
        <v>7455</v>
      </c>
      <c r="J1147" s="7">
        <v>45560</v>
      </c>
      <c r="K1147" s="1" t="s">
        <v>7455</v>
      </c>
    </row>
    <row r="1148" spans="1:11" x14ac:dyDescent="0.3">
      <c r="A1148" s="1">
        <v>1147</v>
      </c>
      <c r="B1148" s="1" t="s">
        <v>3470</v>
      </c>
      <c r="C1148" s="1" t="s">
        <v>3471</v>
      </c>
      <c r="F1148" s="1" t="s">
        <v>3472</v>
      </c>
      <c r="G1148" s="1">
        <v>1</v>
      </c>
      <c r="H1148" s="7">
        <v>45560</v>
      </c>
      <c r="I1148" s="1" t="s">
        <v>7455</v>
      </c>
      <c r="J1148" s="7">
        <v>45560</v>
      </c>
      <c r="K1148" s="1" t="s">
        <v>7455</v>
      </c>
    </row>
    <row r="1149" spans="1:11" x14ac:dyDescent="0.3">
      <c r="A1149" s="1">
        <v>1148</v>
      </c>
      <c r="B1149" s="1" t="s">
        <v>3473</v>
      </c>
      <c r="C1149" s="1" t="s">
        <v>3474</v>
      </c>
      <c r="D1149" s="1" t="s">
        <v>3475</v>
      </c>
      <c r="F1149" s="1" t="s">
        <v>3476</v>
      </c>
      <c r="G1149" s="1">
        <v>1</v>
      </c>
      <c r="H1149" s="7">
        <v>45560</v>
      </c>
      <c r="I1149" s="1" t="s">
        <v>7455</v>
      </c>
      <c r="J1149" s="7">
        <v>45560</v>
      </c>
      <c r="K1149" s="1" t="s">
        <v>7455</v>
      </c>
    </row>
    <row r="1150" spans="1:11" x14ac:dyDescent="0.3">
      <c r="A1150" s="1">
        <v>1149</v>
      </c>
      <c r="B1150" s="1" t="s">
        <v>3477</v>
      </c>
      <c r="C1150" s="1" t="s">
        <v>3478</v>
      </c>
      <c r="F1150" s="1" t="s">
        <v>3479</v>
      </c>
      <c r="G1150" s="1">
        <v>1</v>
      </c>
      <c r="H1150" s="7">
        <v>45560</v>
      </c>
      <c r="I1150" s="1" t="s">
        <v>7455</v>
      </c>
      <c r="J1150" s="7">
        <v>45560</v>
      </c>
      <c r="K1150" s="1" t="s">
        <v>7455</v>
      </c>
    </row>
    <row r="1151" spans="1:11" x14ac:dyDescent="0.3">
      <c r="A1151" s="1">
        <v>1150</v>
      </c>
      <c r="B1151" s="1" t="s">
        <v>3480</v>
      </c>
      <c r="C1151" s="1" t="s">
        <v>3481</v>
      </c>
      <c r="F1151" s="1" t="s">
        <v>3482</v>
      </c>
      <c r="G1151" s="1">
        <v>1</v>
      </c>
      <c r="H1151" s="7">
        <v>45560</v>
      </c>
      <c r="I1151" s="1" t="s">
        <v>7455</v>
      </c>
      <c r="J1151" s="7">
        <v>45560</v>
      </c>
      <c r="K1151" s="1" t="s">
        <v>7455</v>
      </c>
    </row>
    <row r="1152" spans="1:11" x14ac:dyDescent="0.3">
      <c r="A1152" s="1">
        <v>1151</v>
      </c>
      <c r="B1152" s="1" t="s">
        <v>3483</v>
      </c>
      <c r="C1152" s="1" t="s">
        <v>3484</v>
      </c>
      <c r="F1152" s="1" t="s">
        <v>3485</v>
      </c>
      <c r="G1152" s="1">
        <v>1</v>
      </c>
      <c r="H1152" s="7">
        <v>45560</v>
      </c>
      <c r="I1152" s="1" t="s">
        <v>7455</v>
      </c>
      <c r="J1152" s="7">
        <v>45560</v>
      </c>
      <c r="K1152" s="1" t="s">
        <v>7455</v>
      </c>
    </row>
    <row r="1153" spans="1:11" x14ac:dyDescent="0.3">
      <c r="A1153" s="1">
        <v>1152</v>
      </c>
      <c r="B1153" s="1" t="s">
        <v>3486</v>
      </c>
      <c r="C1153" s="1" t="s">
        <v>3487</v>
      </c>
      <c r="F1153" s="1" t="s">
        <v>3488</v>
      </c>
      <c r="G1153" s="1">
        <v>1</v>
      </c>
      <c r="H1153" s="7">
        <v>45560</v>
      </c>
      <c r="I1153" s="1" t="s">
        <v>7455</v>
      </c>
      <c r="J1153" s="7">
        <v>45560</v>
      </c>
      <c r="K1153" s="1" t="s">
        <v>7455</v>
      </c>
    </row>
    <row r="1154" spans="1:11" x14ac:dyDescent="0.3">
      <c r="A1154" s="1">
        <v>1153</v>
      </c>
      <c r="B1154" s="1" t="s">
        <v>3489</v>
      </c>
      <c r="C1154" s="1" t="s">
        <v>3490</v>
      </c>
      <c r="F1154" s="1" t="s">
        <v>3491</v>
      </c>
      <c r="G1154" s="1">
        <v>1</v>
      </c>
      <c r="H1154" s="7">
        <v>45560</v>
      </c>
      <c r="I1154" s="1" t="s">
        <v>7455</v>
      </c>
      <c r="J1154" s="7">
        <v>45560</v>
      </c>
      <c r="K1154" s="1" t="s">
        <v>7455</v>
      </c>
    </row>
    <row r="1155" spans="1:11" x14ac:dyDescent="0.3">
      <c r="A1155" s="1">
        <v>1154</v>
      </c>
      <c r="B1155" s="1" t="s">
        <v>3492</v>
      </c>
      <c r="C1155" s="1" t="s">
        <v>3493</v>
      </c>
      <c r="D1155" s="1" t="s">
        <v>3494</v>
      </c>
      <c r="F1155" s="1" t="s">
        <v>3495</v>
      </c>
      <c r="G1155" s="1">
        <v>1</v>
      </c>
      <c r="H1155" s="7">
        <v>45560</v>
      </c>
      <c r="I1155" s="1" t="s">
        <v>7455</v>
      </c>
      <c r="J1155" s="7">
        <v>45560</v>
      </c>
      <c r="K1155" s="1" t="s">
        <v>7455</v>
      </c>
    </row>
    <row r="1156" spans="1:11" x14ac:dyDescent="0.3">
      <c r="A1156" s="1">
        <v>1155</v>
      </c>
      <c r="B1156" s="1" t="s">
        <v>3496</v>
      </c>
      <c r="C1156" s="1" t="s">
        <v>3497</v>
      </c>
      <c r="F1156" s="1" t="s">
        <v>3498</v>
      </c>
      <c r="G1156" s="1">
        <v>1</v>
      </c>
      <c r="H1156" s="7">
        <v>45560</v>
      </c>
      <c r="I1156" s="1" t="s">
        <v>7455</v>
      </c>
      <c r="J1156" s="7">
        <v>45560</v>
      </c>
      <c r="K1156" s="1" t="s">
        <v>7455</v>
      </c>
    </row>
    <row r="1157" spans="1:11" x14ac:dyDescent="0.3">
      <c r="A1157" s="1">
        <v>1156</v>
      </c>
      <c r="B1157" s="1" t="s">
        <v>3499</v>
      </c>
      <c r="C1157" s="1" t="s">
        <v>3500</v>
      </c>
      <c r="F1157" s="1" t="s">
        <v>3501</v>
      </c>
      <c r="G1157" s="1">
        <v>1</v>
      </c>
      <c r="H1157" s="7">
        <v>45560</v>
      </c>
      <c r="I1157" s="1" t="s">
        <v>7455</v>
      </c>
      <c r="J1157" s="7">
        <v>45560</v>
      </c>
      <c r="K1157" s="1" t="s">
        <v>7455</v>
      </c>
    </row>
    <row r="1158" spans="1:11" x14ac:dyDescent="0.3">
      <c r="A1158" s="1">
        <v>1157</v>
      </c>
      <c r="B1158" s="1" t="s">
        <v>3502</v>
      </c>
      <c r="C1158" s="1" t="s">
        <v>3503</v>
      </c>
      <c r="F1158" s="1" t="s">
        <v>3504</v>
      </c>
      <c r="G1158" s="1">
        <v>1</v>
      </c>
      <c r="H1158" s="7">
        <v>45560</v>
      </c>
      <c r="I1158" s="1" t="s">
        <v>7455</v>
      </c>
      <c r="J1158" s="7">
        <v>45560</v>
      </c>
      <c r="K1158" s="1" t="s">
        <v>7455</v>
      </c>
    </row>
    <row r="1159" spans="1:11" x14ac:dyDescent="0.3">
      <c r="A1159" s="1">
        <v>1158</v>
      </c>
      <c r="B1159" s="1" t="s">
        <v>3505</v>
      </c>
      <c r="C1159" s="1" t="s">
        <v>3506</v>
      </c>
      <c r="F1159" s="1" t="s">
        <v>3507</v>
      </c>
      <c r="G1159" s="1">
        <v>1</v>
      </c>
      <c r="H1159" s="7">
        <v>45560</v>
      </c>
      <c r="I1159" s="1" t="s">
        <v>7455</v>
      </c>
      <c r="J1159" s="7">
        <v>45560</v>
      </c>
      <c r="K1159" s="1" t="s">
        <v>7455</v>
      </c>
    </row>
    <row r="1160" spans="1:11" x14ac:dyDescent="0.3">
      <c r="A1160" s="1">
        <v>1159</v>
      </c>
      <c r="B1160" s="1" t="s">
        <v>3508</v>
      </c>
      <c r="C1160" s="1" t="s">
        <v>3509</v>
      </c>
      <c r="F1160" s="1" t="s">
        <v>3510</v>
      </c>
      <c r="G1160" s="1">
        <v>1</v>
      </c>
      <c r="H1160" s="7">
        <v>45560</v>
      </c>
      <c r="I1160" s="1" t="s">
        <v>7455</v>
      </c>
      <c r="J1160" s="7">
        <v>45560</v>
      </c>
      <c r="K1160" s="1" t="s">
        <v>7455</v>
      </c>
    </row>
    <row r="1161" spans="1:11" x14ac:dyDescent="0.3">
      <c r="A1161" s="1">
        <v>1160</v>
      </c>
      <c r="B1161" s="1" t="s">
        <v>3511</v>
      </c>
      <c r="C1161" s="1" t="s">
        <v>3512</v>
      </c>
      <c r="F1161" s="1" t="s">
        <v>3513</v>
      </c>
      <c r="G1161" s="1">
        <v>1</v>
      </c>
      <c r="H1161" s="7">
        <v>45560</v>
      </c>
      <c r="I1161" s="1" t="s">
        <v>7455</v>
      </c>
      <c r="J1161" s="7">
        <v>45560</v>
      </c>
      <c r="K1161" s="1" t="s">
        <v>7455</v>
      </c>
    </row>
    <row r="1162" spans="1:11" x14ac:dyDescent="0.3">
      <c r="A1162" s="1">
        <v>1161</v>
      </c>
      <c r="B1162" s="1" t="s">
        <v>3514</v>
      </c>
      <c r="C1162" s="1" t="s">
        <v>3515</v>
      </c>
      <c r="F1162" s="1" t="s">
        <v>3516</v>
      </c>
      <c r="G1162" s="1">
        <v>1</v>
      </c>
      <c r="H1162" s="7">
        <v>45560</v>
      </c>
      <c r="I1162" s="1" t="s">
        <v>7455</v>
      </c>
      <c r="J1162" s="7">
        <v>45560</v>
      </c>
      <c r="K1162" s="1" t="s">
        <v>7455</v>
      </c>
    </row>
    <row r="1163" spans="1:11" x14ac:dyDescent="0.3">
      <c r="A1163" s="1">
        <v>1162</v>
      </c>
      <c r="B1163" s="1" t="s">
        <v>3517</v>
      </c>
      <c r="C1163" s="1" t="s">
        <v>3518</v>
      </c>
      <c r="F1163" s="1" t="s">
        <v>3519</v>
      </c>
      <c r="G1163" s="1">
        <v>1</v>
      </c>
      <c r="H1163" s="7">
        <v>45560</v>
      </c>
      <c r="I1163" s="1" t="s">
        <v>7455</v>
      </c>
      <c r="J1163" s="7">
        <v>45560</v>
      </c>
      <c r="K1163" s="1" t="s">
        <v>7455</v>
      </c>
    </row>
    <row r="1164" spans="1:11" x14ac:dyDescent="0.3">
      <c r="A1164" s="1">
        <v>1163</v>
      </c>
      <c r="B1164" s="1" t="s">
        <v>3520</v>
      </c>
      <c r="C1164" s="1" t="s">
        <v>3521</v>
      </c>
      <c r="F1164" s="1" t="s">
        <v>3522</v>
      </c>
      <c r="G1164" s="1">
        <v>1</v>
      </c>
      <c r="H1164" s="7">
        <v>45560</v>
      </c>
      <c r="I1164" s="1" t="s">
        <v>7455</v>
      </c>
      <c r="J1164" s="7">
        <v>45560</v>
      </c>
      <c r="K1164" s="1" t="s">
        <v>7455</v>
      </c>
    </row>
    <row r="1165" spans="1:11" x14ac:dyDescent="0.3">
      <c r="A1165" s="1">
        <v>1164</v>
      </c>
      <c r="B1165" s="1" t="s">
        <v>3523</v>
      </c>
      <c r="C1165" s="1" t="s">
        <v>3524</v>
      </c>
      <c r="F1165" s="1" t="s">
        <v>3525</v>
      </c>
      <c r="G1165" s="1">
        <v>1</v>
      </c>
      <c r="H1165" s="7">
        <v>45560</v>
      </c>
      <c r="I1165" s="1" t="s">
        <v>7455</v>
      </c>
      <c r="J1165" s="7">
        <v>45560</v>
      </c>
      <c r="K1165" s="1" t="s">
        <v>7455</v>
      </c>
    </row>
    <row r="1166" spans="1:11" x14ac:dyDescent="0.3">
      <c r="A1166" s="1">
        <v>1165</v>
      </c>
      <c r="B1166" s="1" t="s">
        <v>3526</v>
      </c>
      <c r="C1166" s="1" t="s">
        <v>3527</v>
      </c>
      <c r="F1166" s="1" t="s">
        <v>3528</v>
      </c>
      <c r="G1166" s="1">
        <v>1</v>
      </c>
      <c r="H1166" s="7">
        <v>45560</v>
      </c>
      <c r="I1166" s="1" t="s">
        <v>7455</v>
      </c>
      <c r="J1166" s="7">
        <v>45560</v>
      </c>
      <c r="K1166" s="1" t="s">
        <v>7455</v>
      </c>
    </row>
    <row r="1167" spans="1:11" x14ac:dyDescent="0.3">
      <c r="A1167" s="1">
        <v>1166</v>
      </c>
      <c r="B1167" s="1" t="s">
        <v>3529</v>
      </c>
      <c r="C1167" s="1" t="s">
        <v>3530</v>
      </c>
      <c r="F1167" s="1" t="s">
        <v>3531</v>
      </c>
      <c r="G1167" s="1">
        <v>1</v>
      </c>
      <c r="H1167" s="7">
        <v>45560</v>
      </c>
      <c r="I1167" s="1" t="s">
        <v>7455</v>
      </c>
      <c r="J1167" s="7">
        <v>45560</v>
      </c>
      <c r="K1167" s="1" t="s">
        <v>7455</v>
      </c>
    </row>
    <row r="1168" spans="1:11" x14ac:dyDescent="0.3">
      <c r="A1168" s="1">
        <v>1167</v>
      </c>
      <c r="B1168" s="1" t="s">
        <v>3532</v>
      </c>
      <c r="C1168" s="1" t="s">
        <v>3533</v>
      </c>
      <c r="F1168" s="1" t="s">
        <v>3534</v>
      </c>
      <c r="G1168" s="1">
        <v>1</v>
      </c>
      <c r="H1168" s="7">
        <v>45560</v>
      </c>
      <c r="I1168" s="1" t="s">
        <v>7455</v>
      </c>
      <c r="J1168" s="7">
        <v>45560</v>
      </c>
      <c r="K1168" s="1" t="s">
        <v>7455</v>
      </c>
    </row>
    <row r="1169" spans="1:11" x14ac:dyDescent="0.3">
      <c r="A1169" s="1">
        <v>1168</v>
      </c>
      <c r="B1169" s="1" t="s">
        <v>3535</v>
      </c>
      <c r="C1169" s="1" t="s">
        <v>3536</v>
      </c>
      <c r="F1169" s="1" t="s">
        <v>3537</v>
      </c>
      <c r="G1169" s="1">
        <v>1</v>
      </c>
      <c r="H1169" s="7">
        <v>45560</v>
      </c>
      <c r="I1169" s="1" t="s">
        <v>7455</v>
      </c>
      <c r="J1169" s="7">
        <v>45560</v>
      </c>
      <c r="K1169" s="1" t="s">
        <v>7455</v>
      </c>
    </row>
    <row r="1170" spans="1:11" x14ac:dyDescent="0.3">
      <c r="A1170" s="1">
        <v>1169</v>
      </c>
      <c r="B1170" s="1" t="s">
        <v>3538</v>
      </c>
      <c r="C1170" s="1" t="s">
        <v>3539</v>
      </c>
      <c r="F1170" s="1" t="s">
        <v>3540</v>
      </c>
      <c r="G1170" s="1">
        <v>1</v>
      </c>
      <c r="H1170" s="7">
        <v>45560</v>
      </c>
      <c r="I1170" s="1" t="s">
        <v>7455</v>
      </c>
      <c r="J1170" s="7">
        <v>45560</v>
      </c>
      <c r="K1170" s="1" t="s">
        <v>7455</v>
      </c>
    </row>
    <row r="1171" spans="1:11" x14ac:dyDescent="0.3">
      <c r="A1171" s="1">
        <v>1170</v>
      </c>
      <c r="B1171" s="1" t="s">
        <v>3541</v>
      </c>
      <c r="C1171" s="1" t="s">
        <v>3542</v>
      </c>
      <c r="D1171" s="1" t="s">
        <v>3543</v>
      </c>
      <c r="F1171" s="1" t="s">
        <v>3544</v>
      </c>
      <c r="G1171" s="1">
        <v>1</v>
      </c>
      <c r="H1171" s="7">
        <v>45560</v>
      </c>
      <c r="I1171" s="1" t="s">
        <v>7455</v>
      </c>
      <c r="J1171" s="7">
        <v>45560</v>
      </c>
      <c r="K1171" s="1" t="s">
        <v>7455</v>
      </c>
    </row>
    <row r="1172" spans="1:11" x14ac:dyDescent="0.3">
      <c r="A1172" s="1">
        <v>1171</v>
      </c>
      <c r="B1172" s="1" t="s">
        <v>3545</v>
      </c>
      <c r="C1172" s="1" t="s">
        <v>3546</v>
      </c>
      <c r="F1172" s="1" t="s">
        <v>3547</v>
      </c>
      <c r="G1172" s="1">
        <v>1</v>
      </c>
      <c r="H1172" s="7">
        <v>45560</v>
      </c>
      <c r="I1172" s="1" t="s">
        <v>7455</v>
      </c>
      <c r="J1172" s="7">
        <v>45560</v>
      </c>
      <c r="K1172" s="1" t="s">
        <v>7455</v>
      </c>
    </row>
    <row r="1173" spans="1:11" x14ac:dyDescent="0.3">
      <c r="A1173" s="1">
        <v>1172</v>
      </c>
      <c r="B1173" s="1" t="s">
        <v>3548</v>
      </c>
      <c r="C1173" s="1" t="s">
        <v>3549</v>
      </c>
      <c r="F1173" s="1" t="s">
        <v>3550</v>
      </c>
      <c r="G1173" s="1">
        <v>1</v>
      </c>
      <c r="H1173" s="7">
        <v>45560</v>
      </c>
      <c r="I1173" s="1" t="s">
        <v>7455</v>
      </c>
      <c r="J1173" s="7">
        <v>45560</v>
      </c>
      <c r="K1173" s="1" t="s">
        <v>7455</v>
      </c>
    </row>
    <row r="1174" spans="1:11" x14ac:dyDescent="0.3">
      <c r="A1174" s="1">
        <v>1173</v>
      </c>
      <c r="B1174" s="1" t="s">
        <v>3551</v>
      </c>
      <c r="C1174" s="1" t="s">
        <v>3552</v>
      </c>
      <c r="D1174" s="1" t="s">
        <v>3553</v>
      </c>
      <c r="F1174" s="1" t="s">
        <v>3554</v>
      </c>
      <c r="G1174" s="1">
        <v>1</v>
      </c>
      <c r="H1174" s="7">
        <v>45560</v>
      </c>
      <c r="I1174" s="1" t="s">
        <v>7455</v>
      </c>
      <c r="J1174" s="7">
        <v>45560</v>
      </c>
      <c r="K1174" s="1" t="s">
        <v>7455</v>
      </c>
    </row>
    <row r="1175" spans="1:11" x14ac:dyDescent="0.3">
      <c r="A1175" s="1">
        <v>1174</v>
      </c>
      <c r="B1175" s="1" t="s">
        <v>3555</v>
      </c>
      <c r="C1175" s="1" t="s">
        <v>3556</v>
      </c>
      <c r="F1175" s="1" t="s">
        <v>3557</v>
      </c>
      <c r="G1175" s="1">
        <v>1</v>
      </c>
      <c r="H1175" s="7">
        <v>45560</v>
      </c>
      <c r="I1175" s="1" t="s">
        <v>7455</v>
      </c>
      <c r="J1175" s="7">
        <v>45560</v>
      </c>
      <c r="K1175" s="1" t="s">
        <v>7455</v>
      </c>
    </row>
    <row r="1176" spans="1:11" x14ac:dyDescent="0.3">
      <c r="A1176" s="1">
        <v>1175</v>
      </c>
      <c r="B1176" s="1" t="s">
        <v>3558</v>
      </c>
      <c r="C1176" s="1" t="s">
        <v>3559</v>
      </c>
      <c r="F1176" s="1" t="s">
        <v>3560</v>
      </c>
      <c r="G1176" s="1">
        <v>1</v>
      </c>
      <c r="H1176" s="7">
        <v>45560</v>
      </c>
      <c r="I1176" s="1" t="s">
        <v>7455</v>
      </c>
      <c r="J1176" s="7">
        <v>45560</v>
      </c>
      <c r="K1176" s="1" t="s">
        <v>7455</v>
      </c>
    </row>
    <row r="1177" spans="1:11" x14ac:dyDescent="0.3">
      <c r="A1177" s="1">
        <v>1176</v>
      </c>
      <c r="B1177" s="1" t="s">
        <v>3561</v>
      </c>
      <c r="C1177" s="1" t="s">
        <v>3562</v>
      </c>
      <c r="F1177" s="1" t="s">
        <v>3563</v>
      </c>
      <c r="G1177" s="1">
        <v>1</v>
      </c>
      <c r="H1177" s="7">
        <v>45560</v>
      </c>
      <c r="I1177" s="1" t="s">
        <v>7455</v>
      </c>
      <c r="J1177" s="7">
        <v>45560</v>
      </c>
      <c r="K1177" s="1" t="s">
        <v>7455</v>
      </c>
    </row>
    <row r="1178" spans="1:11" x14ac:dyDescent="0.3">
      <c r="A1178" s="1">
        <v>1177</v>
      </c>
      <c r="B1178" s="1" t="s">
        <v>3564</v>
      </c>
      <c r="C1178" s="1" t="s">
        <v>3565</v>
      </c>
      <c r="F1178" s="1" t="s">
        <v>3566</v>
      </c>
      <c r="G1178" s="1">
        <v>1</v>
      </c>
      <c r="H1178" s="7">
        <v>45560</v>
      </c>
      <c r="I1178" s="1" t="s">
        <v>7455</v>
      </c>
      <c r="J1178" s="7">
        <v>45560</v>
      </c>
      <c r="K1178" s="1" t="s">
        <v>7455</v>
      </c>
    </row>
    <row r="1179" spans="1:11" x14ac:dyDescent="0.3">
      <c r="A1179" s="1">
        <v>1178</v>
      </c>
      <c r="B1179" s="1" t="s">
        <v>3567</v>
      </c>
      <c r="C1179" s="1" t="s">
        <v>3568</v>
      </c>
      <c r="F1179" s="1" t="s">
        <v>3569</v>
      </c>
      <c r="G1179" s="1">
        <v>1</v>
      </c>
      <c r="H1179" s="7">
        <v>45560</v>
      </c>
      <c r="I1179" s="1" t="s">
        <v>7455</v>
      </c>
      <c r="J1179" s="7">
        <v>45560</v>
      </c>
      <c r="K1179" s="1" t="s">
        <v>7455</v>
      </c>
    </row>
    <row r="1180" spans="1:11" x14ac:dyDescent="0.3">
      <c r="A1180" s="1">
        <v>1179</v>
      </c>
      <c r="B1180" s="1" t="s">
        <v>3570</v>
      </c>
      <c r="C1180" s="1" t="s">
        <v>3571</v>
      </c>
      <c r="F1180" s="1" t="s">
        <v>3572</v>
      </c>
      <c r="G1180" s="1">
        <v>1</v>
      </c>
      <c r="H1180" s="7">
        <v>45560</v>
      </c>
      <c r="I1180" s="1" t="s">
        <v>7455</v>
      </c>
      <c r="J1180" s="7">
        <v>45560</v>
      </c>
      <c r="K1180" s="1" t="s">
        <v>7455</v>
      </c>
    </row>
    <row r="1181" spans="1:11" x14ac:dyDescent="0.3">
      <c r="A1181" s="1">
        <v>1180</v>
      </c>
      <c r="B1181" s="1" t="s">
        <v>3573</v>
      </c>
      <c r="C1181" s="1" t="s">
        <v>3574</v>
      </c>
      <c r="F1181" s="1" t="s">
        <v>3575</v>
      </c>
      <c r="G1181" s="1">
        <v>1</v>
      </c>
      <c r="H1181" s="7">
        <v>45560</v>
      </c>
      <c r="I1181" s="1" t="s">
        <v>7455</v>
      </c>
      <c r="J1181" s="7">
        <v>45560</v>
      </c>
      <c r="K1181" s="1" t="s">
        <v>7455</v>
      </c>
    </row>
    <row r="1182" spans="1:11" x14ac:dyDescent="0.3">
      <c r="A1182" s="1">
        <v>1181</v>
      </c>
      <c r="B1182" s="1" t="s">
        <v>3576</v>
      </c>
      <c r="C1182" s="1" t="s">
        <v>3577</v>
      </c>
      <c r="F1182" s="1" t="s">
        <v>3578</v>
      </c>
      <c r="G1182" s="1">
        <v>1</v>
      </c>
      <c r="H1182" s="7">
        <v>45560</v>
      </c>
      <c r="I1182" s="1" t="s">
        <v>7455</v>
      </c>
      <c r="J1182" s="7">
        <v>45560</v>
      </c>
      <c r="K1182" s="1" t="s">
        <v>7455</v>
      </c>
    </row>
    <row r="1183" spans="1:11" x14ac:dyDescent="0.3">
      <c r="A1183" s="1">
        <v>1182</v>
      </c>
      <c r="B1183" s="1" t="s">
        <v>3579</v>
      </c>
      <c r="C1183" s="1" t="s">
        <v>3580</v>
      </c>
      <c r="F1183" s="1" t="s">
        <v>3581</v>
      </c>
      <c r="G1183" s="1">
        <v>1</v>
      </c>
      <c r="H1183" s="7">
        <v>45560</v>
      </c>
      <c r="I1183" s="1" t="s">
        <v>7455</v>
      </c>
      <c r="J1183" s="7">
        <v>45560</v>
      </c>
      <c r="K1183" s="1" t="s">
        <v>7455</v>
      </c>
    </row>
    <row r="1184" spans="1:11" x14ac:dyDescent="0.3">
      <c r="A1184" s="1">
        <v>1183</v>
      </c>
      <c r="B1184" s="1" t="s">
        <v>3582</v>
      </c>
      <c r="C1184" s="1" t="s">
        <v>3583</v>
      </c>
      <c r="F1184" s="1" t="s">
        <v>3584</v>
      </c>
      <c r="G1184" s="1">
        <v>1</v>
      </c>
      <c r="H1184" s="7">
        <v>45560</v>
      </c>
      <c r="I1184" s="1" t="s">
        <v>7455</v>
      </c>
      <c r="J1184" s="7">
        <v>45560</v>
      </c>
      <c r="K1184" s="1" t="s">
        <v>7455</v>
      </c>
    </row>
    <row r="1185" spans="1:11" x14ac:dyDescent="0.3">
      <c r="A1185" s="1">
        <v>1184</v>
      </c>
      <c r="B1185" s="1" t="s">
        <v>3585</v>
      </c>
      <c r="C1185" s="1" t="s">
        <v>3586</v>
      </c>
      <c r="F1185" s="1" t="s">
        <v>3587</v>
      </c>
      <c r="G1185" s="1">
        <v>1</v>
      </c>
      <c r="H1185" s="7">
        <v>45560</v>
      </c>
      <c r="I1185" s="1" t="s">
        <v>7455</v>
      </c>
      <c r="J1185" s="7">
        <v>45560</v>
      </c>
      <c r="K1185" s="1" t="s">
        <v>7455</v>
      </c>
    </row>
    <row r="1186" spans="1:11" x14ac:dyDescent="0.3">
      <c r="A1186" s="1">
        <v>1185</v>
      </c>
      <c r="B1186" s="1" t="s">
        <v>3588</v>
      </c>
      <c r="C1186" s="1" t="s">
        <v>3589</v>
      </c>
      <c r="F1186" s="1" t="s">
        <v>3590</v>
      </c>
      <c r="G1186" s="1">
        <v>1</v>
      </c>
      <c r="H1186" s="7">
        <v>45560</v>
      </c>
      <c r="I1186" s="1" t="s">
        <v>7455</v>
      </c>
      <c r="J1186" s="7">
        <v>45560</v>
      </c>
      <c r="K1186" s="1" t="s">
        <v>7455</v>
      </c>
    </row>
    <row r="1187" spans="1:11" x14ac:dyDescent="0.3">
      <c r="A1187" s="1">
        <v>1186</v>
      </c>
      <c r="B1187" s="1" t="s">
        <v>3591</v>
      </c>
      <c r="C1187" s="1" t="s">
        <v>3592</v>
      </c>
      <c r="F1187" s="1" t="s">
        <v>3593</v>
      </c>
      <c r="G1187" s="1">
        <v>1</v>
      </c>
      <c r="H1187" s="7">
        <v>45560</v>
      </c>
      <c r="I1187" s="1" t="s">
        <v>7455</v>
      </c>
      <c r="J1187" s="7">
        <v>45560</v>
      </c>
      <c r="K1187" s="1" t="s">
        <v>7455</v>
      </c>
    </row>
    <row r="1188" spans="1:11" x14ac:dyDescent="0.3">
      <c r="A1188" s="1">
        <v>1187</v>
      </c>
      <c r="B1188" s="1" t="s">
        <v>3594</v>
      </c>
      <c r="C1188" s="1" t="s">
        <v>3595</v>
      </c>
      <c r="F1188" s="1" t="s">
        <v>3596</v>
      </c>
      <c r="G1188" s="1">
        <v>1</v>
      </c>
      <c r="H1188" s="7">
        <v>45560</v>
      </c>
      <c r="I1188" s="1" t="s">
        <v>7455</v>
      </c>
      <c r="J1188" s="7">
        <v>45560</v>
      </c>
      <c r="K1188" s="1" t="s">
        <v>7455</v>
      </c>
    </row>
    <row r="1189" spans="1:11" x14ac:dyDescent="0.3">
      <c r="A1189" s="1">
        <v>1188</v>
      </c>
      <c r="B1189" s="1" t="s">
        <v>3597</v>
      </c>
      <c r="C1189" s="1" t="s">
        <v>3598</v>
      </c>
      <c r="F1189" s="1" t="s">
        <v>3599</v>
      </c>
      <c r="G1189" s="1">
        <v>1</v>
      </c>
      <c r="H1189" s="7">
        <v>45560</v>
      </c>
      <c r="I1189" s="1" t="s">
        <v>7455</v>
      </c>
      <c r="J1189" s="7">
        <v>45560</v>
      </c>
      <c r="K1189" s="1" t="s">
        <v>7455</v>
      </c>
    </row>
    <row r="1190" spans="1:11" x14ac:dyDescent="0.3">
      <c r="A1190" s="1">
        <v>1189</v>
      </c>
      <c r="B1190" s="1" t="s">
        <v>3600</v>
      </c>
      <c r="C1190" s="1" t="s">
        <v>3601</v>
      </c>
      <c r="F1190" s="1" t="s">
        <v>3602</v>
      </c>
      <c r="G1190" s="1">
        <v>1</v>
      </c>
      <c r="H1190" s="7">
        <v>45560</v>
      </c>
      <c r="I1190" s="1" t="s">
        <v>7455</v>
      </c>
      <c r="J1190" s="7">
        <v>45560</v>
      </c>
      <c r="K1190" s="1" t="s">
        <v>7455</v>
      </c>
    </row>
    <row r="1191" spans="1:11" x14ac:dyDescent="0.3">
      <c r="A1191" s="1">
        <v>1190</v>
      </c>
      <c r="B1191" s="1" t="s">
        <v>3603</v>
      </c>
      <c r="C1191" s="1" t="s">
        <v>3604</v>
      </c>
      <c r="F1191" s="1" t="s">
        <v>3605</v>
      </c>
      <c r="G1191" s="1">
        <v>1</v>
      </c>
      <c r="H1191" s="7">
        <v>45560</v>
      </c>
      <c r="I1191" s="1" t="s">
        <v>7455</v>
      </c>
      <c r="J1191" s="7">
        <v>45560</v>
      </c>
      <c r="K1191" s="1" t="s">
        <v>7455</v>
      </c>
    </row>
    <row r="1192" spans="1:11" x14ac:dyDescent="0.3">
      <c r="A1192" s="1">
        <v>1191</v>
      </c>
      <c r="B1192" s="1" t="s">
        <v>3606</v>
      </c>
      <c r="C1192" s="1" t="s">
        <v>3607</v>
      </c>
      <c r="D1192" s="1" t="s">
        <v>3608</v>
      </c>
      <c r="F1192" s="1" t="s">
        <v>3609</v>
      </c>
      <c r="G1192" s="1">
        <v>1</v>
      </c>
      <c r="H1192" s="7">
        <v>45560</v>
      </c>
      <c r="I1192" s="1" t="s">
        <v>7455</v>
      </c>
      <c r="J1192" s="7">
        <v>45560</v>
      </c>
      <c r="K1192" s="1" t="s">
        <v>7455</v>
      </c>
    </row>
    <row r="1193" spans="1:11" x14ac:dyDescent="0.3">
      <c r="A1193" s="1">
        <v>1192</v>
      </c>
      <c r="B1193" s="1" t="s">
        <v>3610</v>
      </c>
      <c r="C1193" s="1" t="s">
        <v>3611</v>
      </c>
      <c r="F1193" s="1" t="s">
        <v>3612</v>
      </c>
      <c r="G1193" s="1">
        <v>1</v>
      </c>
      <c r="H1193" s="7">
        <v>45560</v>
      </c>
      <c r="I1193" s="1" t="s">
        <v>7455</v>
      </c>
      <c r="J1193" s="7">
        <v>45560</v>
      </c>
      <c r="K1193" s="1" t="s">
        <v>7455</v>
      </c>
    </row>
    <row r="1194" spans="1:11" x14ac:dyDescent="0.3">
      <c r="A1194" s="1">
        <v>1193</v>
      </c>
      <c r="B1194" s="1" t="s">
        <v>3613</v>
      </c>
      <c r="C1194" s="1" t="s">
        <v>3614</v>
      </c>
      <c r="F1194" s="1" t="s">
        <v>3615</v>
      </c>
      <c r="G1194" s="1">
        <v>1</v>
      </c>
      <c r="H1194" s="7">
        <v>45560</v>
      </c>
      <c r="I1194" s="1" t="s">
        <v>7455</v>
      </c>
      <c r="J1194" s="7">
        <v>45560</v>
      </c>
      <c r="K1194" s="1" t="s">
        <v>7455</v>
      </c>
    </row>
    <row r="1195" spans="1:11" x14ac:dyDescent="0.3">
      <c r="A1195" s="1">
        <v>1194</v>
      </c>
      <c r="B1195" s="1" t="s">
        <v>3616</v>
      </c>
      <c r="C1195" s="1" t="s">
        <v>3617</v>
      </c>
      <c r="F1195" s="1" t="s">
        <v>3618</v>
      </c>
      <c r="G1195" s="1">
        <v>1</v>
      </c>
      <c r="H1195" s="7">
        <v>45560</v>
      </c>
      <c r="I1195" s="1" t="s">
        <v>7455</v>
      </c>
      <c r="J1195" s="7">
        <v>45560</v>
      </c>
      <c r="K1195" s="1" t="s">
        <v>7455</v>
      </c>
    </row>
    <row r="1196" spans="1:11" x14ac:dyDescent="0.3">
      <c r="A1196" s="1">
        <v>1195</v>
      </c>
      <c r="B1196" s="1" t="s">
        <v>3619</v>
      </c>
      <c r="C1196" s="1" t="s">
        <v>3620</v>
      </c>
      <c r="F1196" s="1" t="s">
        <v>3621</v>
      </c>
      <c r="G1196" s="1">
        <v>1</v>
      </c>
      <c r="H1196" s="7">
        <v>45560</v>
      </c>
      <c r="I1196" s="1" t="s">
        <v>7455</v>
      </c>
      <c r="J1196" s="7">
        <v>45560</v>
      </c>
      <c r="K1196" s="1" t="s">
        <v>7455</v>
      </c>
    </row>
    <row r="1197" spans="1:11" x14ac:dyDescent="0.3">
      <c r="A1197" s="1">
        <v>1196</v>
      </c>
      <c r="B1197" s="1" t="s">
        <v>3622</v>
      </c>
      <c r="C1197" s="1" t="s">
        <v>3623</v>
      </c>
      <c r="F1197" s="1" t="s">
        <v>3624</v>
      </c>
      <c r="G1197" s="1">
        <v>1</v>
      </c>
      <c r="H1197" s="7">
        <v>45560</v>
      </c>
      <c r="I1197" s="1" t="s">
        <v>7455</v>
      </c>
      <c r="J1197" s="7">
        <v>45560</v>
      </c>
      <c r="K1197" s="1" t="s">
        <v>7455</v>
      </c>
    </row>
    <row r="1198" spans="1:11" x14ac:dyDescent="0.3">
      <c r="A1198" s="1">
        <v>1197</v>
      </c>
      <c r="B1198" s="1" t="s">
        <v>3625</v>
      </c>
      <c r="C1198" s="1" t="s">
        <v>3626</v>
      </c>
      <c r="D1198" s="1" t="s">
        <v>3627</v>
      </c>
      <c r="F1198" s="1" t="s">
        <v>3628</v>
      </c>
      <c r="G1198" s="1">
        <v>1</v>
      </c>
      <c r="H1198" s="7">
        <v>45560</v>
      </c>
      <c r="I1198" s="1" t="s">
        <v>7455</v>
      </c>
      <c r="J1198" s="7">
        <v>45560</v>
      </c>
      <c r="K1198" s="1" t="s">
        <v>7455</v>
      </c>
    </row>
    <row r="1199" spans="1:11" x14ac:dyDescent="0.3">
      <c r="A1199" s="1">
        <v>1198</v>
      </c>
      <c r="B1199" s="1" t="s">
        <v>3629</v>
      </c>
      <c r="C1199" s="1" t="s">
        <v>3630</v>
      </c>
      <c r="F1199" s="1" t="s">
        <v>3631</v>
      </c>
      <c r="G1199" s="1">
        <v>1</v>
      </c>
      <c r="H1199" s="7">
        <v>45560</v>
      </c>
      <c r="I1199" s="1" t="s">
        <v>7455</v>
      </c>
      <c r="J1199" s="7">
        <v>45560</v>
      </c>
      <c r="K1199" s="1" t="s">
        <v>7455</v>
      </c>
    </row>
    <row r="1200" spans="1:11" x14ac:dyDescent="0.3">
      <c r="A1200" s="1">
        <v>1199</v>
      </c>
      <c r="B1200" s="1" t="s">
        <v>3632</v>
      </c>
      <c r="C1200" s="1" t="s">
        <v>3633</v>
      </c>
      <c r="F1200" s="1" t="s">
        <v>3634</v>
      </c>
      <c r="G1200" s="1">
        <v>1</v>
      </c>
      <c r="H1200" s="7">
        <v>45560</v>
      </c>
      <c r="I1200" s="1" t="s">
        <v>7455</v>
      </c>
      <c r="J1200" s="7">
        <v>45560</v>
      </c>
      <c r="K1200" s="1" t="s">
        <v>7455</v>
      </c>
    </row>
    <row r="1201" spans="1:11" x14ac:dyDescent="0.3">
      <c r="A1201" s="1">
        <v>1200</v>
      </c>
      <c r="B1201" s="1" t="s">
        <v>3635</v>
      </c>
      <c r="C1201" s="1" t="s">
        <v>3636</v>
      </c>
      <c r="F1201" s="1" t="s">
        <v>3637</v>
      </c>
      <c r="G1201" s="1">
        <v>1</v>
      </c>
      <c r="H1201" s="7">
        <v>45560</v>
      </c>
      <c r="I1201" s="1" t="s">
        <v>7455</v>
      </c>
      <c r="J1201" s="7">
        <v>45560</v>
      </c>
      <c r="K1201" s="1" t="s">
        <v>7455</v>
      </c>
    </row>
    <row r="1202" spans="1:11" x14ac:dyDescent="0.3">
      <c r="A1202" s="1">
        <v>1201</v>
      </c>
      <c r="B1202" s="1" t="s">
        <v>3638</v>
      </c>
      <c r="C1202" s="1" t="s">
        <v>3639</v>
      </c>
      <c r="E1202" s="1" t="s">
        <v>73</v>
      </c>
      <c r="F1202" s="1" t="s">
        <v>3640</v>
      </c>
      <c r="G1202" s="1">
        <v>1</v>
      </c>
      <c r="H1202" s="7">
        <v>45560</v>
      </c>
      <c r="I1202" s="1" t="s">
        <v>7455</v>
      </c>
      <c r="J1202" s="7">
        <v>45560</v>
      </c>
      <c r="K1202" s="1" t="s">
        <v>7455</v>
      </c>
    </row>
    <row r="1203" spans="1:11" x14ac:dyDescent="0.3">
      <c r="A1203" s="1">
        <v>1202</v>
      </c>
      <c r="B1203" s="1" t="s">
        <v>3641</v>
      </c>
      <c r="C1203" s="1" t="s">
        <v>3642</v>
      </c>
      <c r="F1203" s="1" t="s">
        <v>3643</v>
      </c>
      <c r="G1203" s="1">
        <v>1</v>
      </c>
      <c r="H1203" s="7">
        <v>45560</v>
      </c>
      <c r="I1203" s="1" t="s">
        <v>7455</v>
      </c>
      <c r="J1203" s="7">
        <v>45560</v>
      </c>
      <c r="K1203" s="1" t="s">
        <v>7455</v>
      </c>
    </row>
    <row r="1204" spans="1:11" x14ac:dyDescent="0.3">
      <c r="A1204" s="1">
        <v>1203</v>
      </c>
      <c r="B1204" s="1" t="s">
        <v>3644</v>
      </c>
      <c r="C1204" s="1" t="s">
        <v>3645</v>
      </c>
      <c r="F1204" s="1" t="s">
        <v>3646</v>
      </c>
      <c r="G1204" s="1">
        <v>1</v>
      </c>
      <c r="H1204" s="7">
        <v>45560</v>
      </c>
      <c r="I1204" s="1" t="s">
        <v>7455</v>
      </c>
      <c r="J1204" s="7">
        <v>45560</v>
      </c>
      <c r="K1204" s="1" t="s">
        <v>7455</v>
      </c>
    </row>
    <row r="1205" spans="1:11" x14ac:dyDescent="0.3">
      <c r="A1205" s="1">
        <v>1204</v>
      </c>
      <c r="B1205" s="1" t="s">
        <v>3647</v>
      </c>
      <c r="C1205" s="1" t="s">
        <v>3648</v>
      </c>
      <c r="F1205" s="1" t="s">
        <v>3649</v>
      </c>
      <c r="G1205" s="1">
        <v>1</v>
      </c>
      <c r="H1205" s="7">
        <v>45560</v>
      </c>
      <c r="I1205" s="1" t="s">
        <v>7455</v>
      </c>
      <c r="J1205" s="7">
        <v>45560</v>
      </c>
      <c r="K1205" s="1" t="s">
        <v>7455</v>
      </c>
    </row>
    <row r="1206" spans="1:11" x14ac:dyDescent="0.3">
      <c r="A1206" s="1">
        <v>1205</v>
      </c>
      <c r="B1206" s="1" t="s">
        <v>3650</v>
      </c>
      <c r="C1206" s="1" t="s">
        <v>3651</v>
      </c>
      <c r="F1206" s="1" t="s">
        <v>3652</v>
      </c>
      <c r="G1206" s="1">
        <v>1</v>
      </c>
      <c r="H1206" s="7">
        <v>45560</v>
      </c>
      <c r="I1206" s="1" t="s">
        <v>7455</v>
      </c>
      <c r="J1206" s="7">
        <v>45560</v>
      </c>
      <c r="K1206" s="1" t="s">
        <v>7455</v>
      </c>
    </row>
    <row r="1207" spans="1:11" x14ac:dyDescent="0.3">
      <c r="A1207" s="1">
        <v>1206</v>
      </c>
      <c r="B1207" s="1" t="s">
        <v>3653</v>
      </c>
      <c r="C1207" s="1" t="s">
        <v>3654</v>
      </c>
      <c r="E1207" s="1" t="s">
        <v>73</v>
      </c>
      <c r="F1207" s="1" t="s">
        <v>3655</v>
      </c>
      <c r="G1207" s="1">
        <v>1</v>
      </c>
      <c r="H1207" s="7">
        <v>45560</v>
      </c>
      <c r="I1207" s="1" t="s">
        <v>7455</v>
      </c>
      <c r="J1207" s="7">
        <v>45560</v>
      </c>
      <c r="K1207" s="1" t="s">
        <v>7455</v>
      </c>
    </row>
    <row r="1208" spans="1:11" x14ac:dyDescent="0.3">
      <c r="A1208" s="1">
        <v>1207</v>
      </c>
      <c r="B1208" s="1" t="s">
        <v>3656</v>
      </c>
      <c r="C1208" s="1" t="s">
        <v>3657</v>
      </c>
      <c r="F1208" s="1" t="s">
        <v>3658</v>
      </c>
      <c r="G1208" s="1">
        <v>1</v>
      </c>
      <c r="H1208" s="7">
        <v>45560</v>
      </c>
      <c r="I1208" s="1" t="s">
        <v>7455</v>
      </c>
      <c r="J1208" s="7">
        <v>45560</v>
      </c>
      <c r="K1208" s="1" t="s">
        <v>7455</v>
      </c>
    </row>
    <row r="1209" spans="1:11" x14ac:dyDescent="0.3">
      <c r="A1209" s="1">
        <v>1208</v>
      </c>
      <c r="B1209" s="1" t="s">
        <v>3659</v>
      </c>
      <c r="C1209" s="1" t="s">
        <v>3660</v>
      </c>
      <c r="F1209" s="1" t="s">
        <v>3661</v>
      </c>
      <c r="G1209" s="1">
        <v>1</v>
      </c>
      <c r="H1209" s="7">
        <v>45560</v>
      </c>
      <c r="I1209" s="1" t="s">
        <v>7455</v>
      </c>
      <c r="J1209" s="7">
        <v>45560</v>
      </c>
      <c r="K1209" s="1" t="s">
        <v>7455</v>
      </c>
    </row>
    <row r="1210" spans="1:11" x14ac:dyDescent="0.3">
      <c r="A1210" s="1">
        <v>1209</v>
      </c>
      <c r="B1210" s="1" t="s">
        <v>3662</v>
      </c>
      <c r="C1210" s="1" t="s">
        <v>3663</v>
      </c>
      <c r="F1210" s="1" t="s">
        <v>3664</v>
      </c>
      <c r="G1210" s="1">
        <v>1</v>
      </c>
      <c r="H1210" s="7">
        <v>45560</v>
      </c>
      <c r="I1210" s="1" t="s">
        <v>7455</v>
      </c>
      <c r="J1210" s="7">
        <v>45560</v>
      </c>
      <c r="K1210" s="1" t="s">
        <v>7455</v>
      </c>
    </row>
    <row r="1211" spans="1:11" x14ac:dyDescent="0.3">
      <c r="A1211" s="1">
        <v>1210</v>
      </c>
      <c r="B1211" s="1" t="s">
        <v>3665</v>
      </c>
      <c r="C1211" s="1" t="s">
        <v>3666</v>
      </c>
      <c r="F1211" s="1" t="s">
        <v>3667</v>
      </c>
      <c r="G1211" s="1">
        <v>1</v>
      </c>
      <c r="H1211" s="7">
        <v>45560</v>
      </c>
      <c r="I1211" s="1" t="s">
        <v>7455</v>
      </c>
      <c r="J1211" s="7">
        <v>45560</v>
      </c>
      <c r="K1211" s="1" t="s">
        <v>7455</v>
      </c>
    </row>
    <row r="1212" spans="1:11" x14ac:dyDescent="0.3">
      <c r="A1212" s="1">
        <v>1211</v>
      </c>
      <c r="B1212" s="1" t="s">
        <v>3668</v>
      </c>
      <c r="C1212" s="1" t="s">
        <v>3669</v>
      </c>
      <c r="F1212" s="1" t="s">
        <v>3670</v>
      </c>
      <c r="G1212" s="1">
        <v>1</v>
      </c>
      <c r="H1212" s="7">
        <v>45560</v>
      </c>
      <c r="I1212" s="1" t="s">
        <v>7455</v>
      </c>
      <c r="J1212" s="7">
        <v>45560</v>
      </c>
      <c r="K1212" s="1" t="s">
        <v>7455</v>
      </c>
    </row>
    <row r="1213" spans="1:11" x14ac:dyDescent="0.3">
      <c r="A1213" s="1">
        <v>1212</v>
      </c>
      <c r="B1213" s="1" t="s">
        <v>3671</v>
      </c>
      <c r="C1213" s="1" t="s">
        <v>3672</v>
      </c>
      <c r="E1213" s="1" t="s">
        <v>52</v>
      </c>
      <c r="G1213" s="1">
        <v>1</v>
      </c>
      <c r="H1213" s="7">
        <v>45560</v>
      </c>
      <c r="I1213" s="1" t="s">
        <v>7455</v>
      </c>
      <c r="J1213" s="7">
        <v>45560</v>
      </c>
      <c r="K1213" s="1" t="s">
        <v>7455</v>
      </c>
    </row>
    <row r="1214" spans="1:11" x14ac:dyDescent="0.3">
      <c r="A1214" s="1">
        <v>1213</v>
      </c>
      <c r="B1214" s="1" t="s">
        <v>3673</v>
      </c>
      <c r="C1214" s="1" t="s">
        <v>3674</v>
      </c>
      <c r="D1214" s="1" t="s">
        <v>3675</v>
      </c>
      <c r="F1214" s="1" t="s">
        <v>3676</v>
      </c>
      <c r="G1214" s="1">
        <v>1</v>
      </c>
      <c r="H1214" s="7">
        <v>45560</v>
      </c>
      <c r="I1214" s="1" t="s">
        <v>7455</v>
      </c>
      <c r="J1214" s="7">
        <v>45560</v>
      </c>
      <c r="K1214" s="1" t="s">
        <v>7455</v>
      </c>
    </row>
    <row r="1215" spans="1:11" x14ac:dyDescent="0.3">
      <c r="A1215" s="1">
        <v>1214</v>
      </c>
      <c r="B1215" s="1" t="s">
        <v>3677</v>
      </c>
      <c r="C1215" s="1" t="s">
        <v>3678</v>
      </c>
      <c r="F1215" s="1" t="s">
        <v>3679</v>
      </c>
      <c r="G1215" s="1">
        <v>1</v>
      </c>
      <c r="H1215" s="7">
        <v>45560</v>
      </c>
      <c r="I1215" s="1" t="s">
        <v>7455</v>
      </c>
      <c r="J1215" s="7">
        <v>45560</v>
      </c>
      <c r="K1215" s="1" t="s">
        <v>7455</v>
      </c>
    </row>
    <row r="1216" spans="1:11" x14ac:dyDescent="0.3">
      <c r="A1216" s="1">
        <v>1215</v>
      </c>
      <c r="B1216" s="1" t="s">
        <v>3680</v>
      </c>
      <c r="C1216" s="1" t="s">
        <v>3681</v>
      </c>
      <c r="F1216" s="1" t="s">
        <v>3682</v>
      </c>
      <c r="G1216" s="1">
        <v>1</v>
      </c>
      <c r="H1216" s="7">
        <v>45560</v>
      </c>
      <c r="I1216" s="1" t="s">
        <v>7455</v>
      </c>
      <c r="J1216" s="7">
        <v>45560</v>
      </c>
      <c r="K1216" s="1" t="s">
        <v>7455</v>
      </c>
    </row>
    <row r="1217" spans="1:11" x14ac:dyDescent="0.3">
      <c r="A1217" s="1">
        <v>1216</v>
      </c>
      <c r="B1217" s="1" t="s">
        <v>3683</v>
      </c>
      <c r="C1217" s="1" t="s">
        <v>3684</v>
      </c>
      <c r="D1217" s="1" t="s">
        <v>3685</v>
      </c>
      <c r="G1217" s="1">
        <v>1</v>
      </c>
      <c r="H1217" s="7">
        <v>45560</v>
      </c>
      <c r="I1217" s="1" t="s">
        <v>7455</v>
      </c>
      <c r="J1217" s="7">
        <v>45560</v>
      </c>
      <c r="K1217" s="1" t="s">
        <v>7455</v>
      </c>
    </row>
    <row r="1218" spans="1:11" x14ac:dyDescent="0.3">
      <c r="A1218" s="1">
        <v>1217</v>
      </c>
      <c r="B1218" s="1" t="s">
        <v>3686</v>
      </c>
      <c r="C1218" s="1" t="s">
        <v>3687</v>
      </c>
      <c r="E1218" s="1" t="s">
        <v>52</v>
      </c>
      <c r="G1218" s="1">
        <v>1</v>
      </c>
      <c r="H1218" s="7">
        <v>45560</v>
      </c>
      <c r="I1218" s="1" t="s">
        <v>7455</v>
      </c>
      <c r="J1218" s="7">
        <v>45560</v>
      </c>
      <c r="K1218" s="1" t="s">
        <v>7455</v>
      </c>
    </row>
    <row r="1219" spans="1:11" x14ac:dyDescent="0.3">
      <c r="A1219" s="1">
        <v>1218</v>
      </c>
      <c r="B1219" s="1" t="s">
        <v>3688</v>
      </c>
      <c r="C1219" s="1" t="s">
        <v>3689</v>
      </c>
      <c r="D1219" s="1" t="s">
        <v>3690</v>
      </c>
      <c r="F1219" s="1" t="s">
        <v>3691</v>
      </c>
      <c r="G1219" s="1">
        <v>1</v>
      </c>
      <c r="H1219" s="7">
        <v>45560</v>
      </c>
      <c r="I1219" s="1" t="s">
        <v>7455</v>
      </c>
      <c r="J1219" s="7">
        <v>45560</v>
      </c>
      <c r="K1219" s="1" t="s">
        <v>7455</v>
      </c>
    </row>
    <row r="1220" spans="1:11" x14ac:dyDescent="0.3">
      <c r="A1220" s="1">
        <v>1219</v>
      </c>
      <c r="B1220" s="1" t="s">
        <v>3692</v>
      </c>
      <c r="C1220" s="1" t="s">
        <v>3693</v>
      </c>
      <c r="D1220" s="1" t="s">
        <v>3694</v>
      </c>
      <c r="G1220" s="1">
        <v>1</v>
      </c>
      <c r="H1220" s="7">
        <v>45560</v>
      </c>
      <c r="I1220" s="1" t="s">
        <v>7455</v>
      </c>
      <c r="J1220" s="7">
        <v>45560</v>
      </c>
      <c r="K1220" s="1" t="s">
        <v>7455</v>
      </c>
    </row>
    <row r="1221" spans="1:11" x14ac:dyDescent="0.3">
      <c r="A1221" s="1">
        <v>1220</v>
      </c>
      <c r="B1221" s="1" t="s">
        <v>3695</v>
      </c>
      <c r="C1221" s="1" t="s">
        <v>3696</v>
      </c>
      <c r="D1221" s="1" t="s">
        <v>3697</v>
      </c>
      <c r="G1221" s="1">
        <v>1</v>
      </c>
      <c r="H1221" s="7">
        <v>45560</v>
      </c>
      <c r="I1221" s="1" t="s">
        <v>7455</v>
      </c>
      <c r="J1221" s="7">
        <v>45560</v>
      </c>
      <c r="K1221" s="1" t="s">
        <v>7455</v>
      </c>
    </row>
    <row r="1222" spans="1:11" x14ac:dyDescent="0.3">
      <c r="A1222" s="1">
        <v>1221</v>
      </c>
      <c r="B1222" s="1" t="s">
        <v>3698</v>
      </c>
      <c r="C1222" s="1" t="s">
        <v>3699</v>
      </c>
      <c r="D1222" s="1" t="s">
        <v>3700</v>
      </c>
      <c r="G1222" s="1">
        <v>1</v>
      </c>
      <c r="H1222" s="7">
        <v>45560</v>
      </c>
      <c r="I1222" s="1" t="s">
        <v>7455</v>
      </c>
      <c r="J1222" s="7">
        <v>45560</v>
      </c>
      <c r="K1222" s="1" t="s">
        <v>7455</v>
      </c>
    </row>
    <row r="1223" spans="1:11" x14ac:dyDescent="0.3">
      <c r="A1223" s="1">
        <v>1222</v>
      </c>
      <c r="B1223" s="1" t="s">
        <v>3701</v>
      </c>
      <c r="C1223" s="1" t="s">
        <v>3702</v>
      </c>
      <c r="F1223" s="1" t="s">
        <v>3703</v>
      </c>
      <c r="G1223" s="1">
        <v>1</v>
      </c>
      <c r="H1223" s="7">
        <v>45560</v>
      </c>
      <c r="I1223" s="1" t="s">
        <v>7455</v>
      </c>
      <c r="J1223" s="7">
        <v>45560</v>
      </c>
      <c r="K1223" s="1" t="s">
        <v>7455</v>
      </c>
    </row>
    <row r="1224" spans="1:11" x14ac:dyDescent="0.3">
      <c r="A1224" s="1">
        <v>1223</v>
      </c>
      <c r="B1224" s="1" t="s">
        <v>3704</v>
      </c>
      <c r="C1224" s="1" t="s">
        <v>3705</v>
      </c>
      <c r="F1224" s="1" t="s">
        <v>3706</v>
      </c>
      <c r="G1224" s="1">
        <v>1</v>
      </c>
      <c r="H1224" s="7">
        <v>45560</v>
      </c>
      <c r="I1224" s="1" t="s">
        <v>7455</v>
      </c>
      <c r="J1224" s="7">
        <v>45560</v>
      </c>
      <c r="K1224" s="1" t="s">
        <v>7455</v>
      </c>
    </row>
    <row r="1225" spans="1:11" x14ac:dyDescent="0.3">
      <c r="A1225" s="1">
        <v>1224</v>
      </c>
      <c r="B1225" s="1" t="s">
        <v>3707</v>
      </c>
      <c r="C1225" s="1" t="s">
        <v>3708</v>
      </c>
      <c r="F1225" s="1" t="s">
        <v>3709</v>
      </c>
      <c r="G1225" s="1">
        <v>1</v>
      </c>
      <c r="H1225" s="7">
        <v>45560</v>
      </c>
      <c r="I1225" s="1" t="s">
        <v>7455</v>
      </c>
      <c r="J1225" s="7">
        <v>45560</v>
      </c>
      <c r="K1225" s="1" t="s">
        <v>7455</v>
      </c>
    </row>
    <row r="1226" spans="1:11" x14ac:dyDescent="0.3">
      <c r="A1226" s="1">
        <v>1225</v>
      </c>
      <c r="B1226" s="1" t="s">
        <v>3710</v>
      </c>
      <c r="C1226" s="1" t="s">
        <v>3711</v>
      </c>
      <c r="F1226" s="1" t="s">
        <v>3712</v>
      </c>
      <c r="G1226" s="1">
        <v>1</v>
      </c>
      <c r="H1226" s="7">
        <v>45560</v>
      </c>
      <c r="I1226" s="1" t="s">
        <v>7455</v>
      </c>
      <c r="J1226" s="7">
        <v>45560</v>
      </c>
      <c r="K1226" s="1" t="s">
        <v>7455</v>
      </c>
    </row>
    <row r="1227" spans="1:11" x14ac:dyDescent="0.3">
      <c r="A1227" s="1">
        <v>1226</v>
      </c>
      <c r="B1227" s="1" t="s">
        <v>3713</v>
      </c>
      <c r="C1227" s="1" t="s">
        <v>3714</v>
      </c>
      <c r="F1227" s="1" t="s">
        <v>3715</v>
      </c>
      <c r="G1227" s="1">
        <v>1</v>
      </c>
      <c r="H1227" s="7">
        <v>45560</v>
      </c>
      <c r="I1227" s="1" t="s">
        <v>7455</v>
      </c>
      <c r="J1227" s="7">
        <v>45560</v>
      </c>
      <c r="K1227" s="1" t="s">
        <v>7455</v>
      </c>
    </row>
    <row r="1228" spans="1:11" x14ac:dyDescent="0.3">
      <c r="A1228" s="1">
        <v>1227</v>
      </c>
      <c r="B1228" s="1" t="s">
        <v>3716</v>
      </c>
      <c r="C1228" s="1" t="s">
        <v>3717</v>
      </c>
      <c r="F1228" s="1" t="s">
        <v>3718</v>
      </c>
      <c r="G1228" s="1">
        <v>1</v>
      </c>
      <c r="H1228" s="7">
        <v>45560</v>
      </c>
      <c r="I1228" s="1" t="s">
        <v>7455</v>
      </c>
      <c r="J1228" s="7">
        <v>45560</v>
      </c>
      <c r="K1228" s="1" t="s">
        <v>7455</v>
      </c>
    </row>
    <row r="1229" spans="1:11" x14ac:dyDescent="0.3">
      <c r="A1229" s="1">
        <v>1228</v>
      </c>
      <c r="B1229" s="1" t="s">
        <v>3719</v>
      </c>
      <c r="C1229" s="1" t="s">
        <v>3720</v>
      </c>
      <c r="F1229" s="1" t="s">
        <v>3721</v>
      </c>
      <c r="G1229" s="1">
        <v>1</v>
      </c>
      <c r="H1229" s="7">
        <v>45560</v>
      </c>
      <c r="I1229" s="1" t="s">
        <v>7455</v>
      </c>
      <c r="J1229" s="7">
        <v>45560</v>
      </c>
      <c r="K1229" s="1" t="s">
        <v>7455</v>
      </c>
    </row>
    <row r="1230" spans="1:11" x14ac:dyDescent="0.3">
      <c r="A1230" s="1">
        <v>1229</v>
      </c>
      <c r="B1230" s="1" t="s">
        <v>3722</v>
      </c>
      <c r="C1230" s="1" t="s">
        <v>3723</v>
      </c>
      <c r="F1230" s="1" t="s">
        <v>3724</v>
      </c>
      <c r="G1230" s="1">
        <v>1</v>
      </c>
      <c r="H1230" s="7">
        <v>45560</v>
      </c>
      <c r="I1230" s="1" t="s">
        <v>7455</v>
      </c>
      <c r="J1230" s="7">
        <v>45560</v>
      </c>
      <c r="K1230" s="1" t="s">
        <v>7455</v>
      </c>
    </row>
    <row r="1231" spans="1:11" x14ac:dyDescent="0.3">
      <c r="A1231" s="1">
        <v>1230</v>
      </c>
      <c r="B1231" s="1" t="s">
        <v>3725</v>
      </c>
      <c r="C1231" s="1" t="s">
        <v>3726</v>
      </c>
      <c r="F1231" s="1" t="s">
        <v>3727</v>
      </c>
      <c r="G1231" s="1">
        <v>1</v>
      </c>
      <c r="H1231" s="7">
        <v>45560</v>
      </c>
      <c r="I1231" s="1" t="s">
        <v>7455</v>
      </c>
      <c r="J1231" s="7">
        <v>45560</v>
      </c>
      <c r="K1231" s="1" t="s">
        <v>7455</v>
      </c>
    </row>
    <row r="1232" spans="1:11" x14ac:dyDescent="0.3">
      <c r="A1232" s="1">
        <v>1231</v>
      </c>
      <c r="B1232" s="1" t="s">
        <v>3728</v>
      </c>
      <c r="C1232" s="1" t="s">
        <v>3729</v>
      </c>
      <c r="F1232" s="1" t="s">
        <v>3730</v>
      </c>
      <c r="G1232" s="1">
        <v>1</v>
      </c>
      <c r="H1232" s="7">
        <v>45560</v>
      </c>
      <c r="I1232" s="1" t="s">
        <v>7455</v>
      </c>
      <c r="J1232" s="7">
        <v>45560</v>
      </c>
      <c r="K1232" s="1" t="s">
        <v>7455</v>
      </c>
    </row>
    <row r="1233" spans="1:11" x14ac:dyDescent="0.3">
      <c r="A1233" s="1">
        <v>1232</v>
      </c>
      <c r="B1233" s="1" t="s">
        <v>3731</v>
      </c>
      <c r="C1233" s="1" t="s">
        <v>3732</v>
      </c>
      <c r="D1233" s="1" t="s">
        <v>3733</v>
      </c>
      <c r="G1233" s="1">
        <v>1</v>
      </c>
      <c r="H1233" s="7">
        <v>45560</v>
      </c>
      <c r="I1233" s="1" t="s">
        <v>7455</v>
      </c>
      <c r="J1233" s="7">
        <v>45560</v>
      </c>
      <c r="K1233" s="1" t="s">
        <v>7455</v>
      </c>
    </row>
    <row r="1234" spans="1:11" x14ac:dyDescent="0.3">
      <c r="A1234" s="1">
        <v>1233</v>
      </c>
      <c r="B1234" s="1" t="s">
        <v>3734</v>
      </c>
      <c r="C1234" s="1" t="s">
        <v>3735</v>
      </c>
      <c r="F1234" s="1" t="s">
        <v>3736</v>
      </c>
      <c r="G1234" s="1">
        <v>1</v>
      </c>
      <c r="H1234" s="7">
        <v>45560</v>
      </c>
      <c r="I1234" s="1" t="s">
        <v>7455</v>
      </c>
      <c r="J1234" s="7">
        <v>45560</v>
      </c>
      <c r="K1234" s="1" t="s">
        <v>7455</v>
      </c>
    </row>
    <row r="1235" spans="1:11" x14ac:dyDescent="0.3">
      <c r="A1235" s="1">
        <v>1234</v>
      </c>
      <c r="B1235" s="1" t="s">
        <v>3737</v>
      </c>
      <c r="C1235" s="1" t="s">
        <v>3738</v>
      </c>
      <c r="F1235" s="1" t="s">
        <v>3739</v>
      </c>
      <c r="G1235" s="1">
        <v>1</v>
      </c>
      <c r="H1235" s="7">
        <v>45560</v>
      </c>
      <c r="I1235" s="1" t="s">
        <v>7455</v>
      </c>
      <c r="J1235" s="7">
        <v>45560</v>
      </c>
      <c r="K1235" s="1" t="s">
        <v>7455</v>
      </c>
    </row>
    <row r="1236" spans="1:11" x14ac:dyDescent="0.3">
      <c r="A1236" s="1">
        <v>1235</v>
      </c>
      <c r="B1236" s="1" t="s">
        <v>3740</v>
      </c>
      <c r="C1236" s="1" t="s">
        <v>3741</v>
      </c>
      <c r="F1236" s="1" t="s">
        <v>3742</v>
      </c>
      <c r="G1236" s="1">
        <v>1</v>
      </c>
      <c r="H1236" s="7">
        <v>45560</v>
      </c>
      <c r="I1236" s="1" t="s">
        <v>7455</v>
      </c>
      <c r="J1236" s="7">
        <v>45560</v>
      </c>
      <c r="K1236" s="1" t="s">
        <v>7455</v>
      </c>
    </row>
    <row r="1237" spans="1:11" x14ac:dyDescent="0.3">
      <c r="A1237" s="1">
        <v>1236</v>
      </c>
      <c r="B1237" s="1" t="s">
        <v>3743</v>
      </c>
      <c r="C1237" s="1" t="s">
        <v>3744</v>
      </c>
      <c r="F1237" s="1" t="s">
        <v>3745</v>
      </c>
      <c r="G1237" s="1">
        <v>1</v>
      </c>
      <c r="H1237" s="7">
        <v>45560</v>
      </c>
      <c r="I1237" s="1" t="s">
        <v>7455</v>
      </c>
      <c r="J1237" s="7">
        <v>45560</v>
      </c>
      <c r="K1237" s="1" t="s">
        <v>7455</v>
      </c>
    </row>
    <row r="1238" spans="1:11" x14ac:dyDescent="0.3">
      <c r="A1238" s="1">
        <v>1237</v>
      </c>
      <c r="B1238" s="1" t="s">
        <v>3746</v>
      </c>
      <c r="C1238" s="1" t="s">
        <v>3747</v>
      </c>
      <c r="E1238" s="1" t="s">
        <v>73</v>
      </c>
      <c r="F1238" s="1" t="s">
        <v>3748</v>
      </c>
      <c r="G1238" s="1">
        <v>1</v>
      </c>
      <c r="H1238" s="7">
        <v>45560</v>
      </c>
      <c r="I1238" s="1" t="s">
        <v>7455</v>
      </c>
      <c r="J1238" s="7">
        <v>45560</v>
      </c>
      <c r="K1238" s="1" t="s">
        <v>7455</v>
      </c>
    </row>
    <row r="1239" spans="1:11" x14ac:dyDescent="0.3">
      <c r="A1239" s="1">
        <v>1238</v>
      </c>
      <c r="B1239" s="1" t="s">
        <v>3749</v>
      </c>
      <c r="C1239" s="1" t="s">
        <v>3750</v>
      </c>
      <c r="E1239" s="1" t="s">
        <v>73</v>
      </c>
      <c r="F1239" s="1" t="s">
        <v>3751</v>
      </c>
      <c r="G1239" s="1">
        <v>1</v>
      </c>
      <c r="H1239" s="7">
        <v>45560</v>
      </c>
      <c r="I1239" s="1" t="s">
        <v>7455</v>
      </c>
      <c r="J1239" s="7">
        <v>45560</v>
      </c>
      <c r="K1239" s="1" t="s">
        <v>7455</v>
      </c>
    </row>
    <row r="1240" spans="1:11" x14ac:dyDescent="0.3">
      <c r="A1240" s="1">
        <v>1239</v>
      </c>
      <c r="B1240" s="1" t="s">
        <v>3752</v>
      </c>
      <c r="C1240" s="1" t="s">
        <v>3753</v>
      </c>
      <c r="F1240" s="1" t="s">
        <v>3754</v>
      </c>
      <c r="G1240" s="1">
        <v>1</v>
      </c>
      <c r="H1240" s="7">
        <v>45560</v>
      </c>
      <c r="I1240" s="1" t="s">
        <v>7455</v>
      </c>
      <c r="J1240" s="7">
        <v>45560</v>
      </c>
      <c r="K1240" s="1" t="s">
        <v>7455</v>
      </c>
    </row>
    <row r="1241" spans="1:11" x14ac:dyDescent="0.3">
      <c r="A1241" s="1">
        <v>1240</v>
      </c>
      <c r="B1241" s="1" t="s">
        <v>3755</v>
      </c>
      <c r="C1241" s="1" t="s">
        <v>3756</v>
      </c>
      <c r="F1241" s="1" t="s">
        <v>3757</v>
      </c>
      <c r="G1241" s="1">
        <v>1</v>
      </c>
      <c r="H1241" s="7">
        <v>45560</v>
      </c>
      <c r="I1241" s="1" t="s">
        <v>7455</v>
      </c>
      <c r="J1241" s="7">
        <v>45560</v>
      </c>
      <c r="K1241" s="1" t="s">
        <v>7455</v>
      </c>
    </row>
    <row r="1242" spans="1:11" x14ac:dyDescent="0.3">
      <c r="A1242" s="1">
        <v>1241</v>
      </c>
      <c r="B1242" s="1" t="s">
        <v>3758</v>
      </c>
      <c r="C1242" s="1" t="s">
        <v>3759</v>
      </c>
      <c r="F1242" s="1" t="s">
        <v>3760</v>
      </c>
      <c r="G1242" s="1">
        <v>1</v>
      </c>
      <c r="H1242" s="7">
        <v>45560</v>
      </c>
      <c r="I1242" s="1" t="s">
        <v>7455</v>
      </c>
      <c r="J1242" s="7">
        <v>45560</v>
      </c>
      <c r="K1242" s="1" t="s">
        <v>7455</v>
      </c>
    </row>
    <row r="1243" spans="1:11" x14ac:dyDescent="0.3">
      <c r="A1243" s="1">
        <v>1242</v>
      </c>
      <c r="B1243" s="1" t="s">
        <v>3761</v>
      </c>
      <c r="C1243" s="1" t="s">
        <v>3762</v>
      </c>
      <c r="D1243" s="1" t="s">
        <v>3763</v>
      </c>
      <c r="F1243" s="1" t="s">
        <v>3764</v>
      </c>
      <c r="G1243" s="1">
        <v>1</v>
      </c>
      <c r="H1243" s="7">
        <v>45560</v>
      </c>
      <c r="I1243" s="1" t="s">
        <v>7455</v>
      </c>
      <c r="J1243" s="7">
        <v>45560</v>
      </c>
      <c r="K1243" s="1" t="s">
        <v>7455</v>
      </c>
    </row>
    <row r="1244" spans="1:11" x14ac:dyDescent="0.3">
      <c r="A1244" s="1">
        <v>1243</v>
      </c>
      <c r="B1244" s="1" t="s">
        <v>3765</v>
      </c>
      <c r="C1244" s="1" t="s">
        <v>3766</v>
      </c>
      <c r="F1244" s="1" t="s">
        <v>3767</v>
      </c>
      <c r="G1244" s="1">
        <v>1</v>
      </c>
      <c r="H1244" s="7">
        <v>45560</v>
      </c>
      <c r="I1244" s="1" t="s">
        <v>7455</v>
      </c>
      <c r="J1244" s="7">
        <v>45560</v>
      </c>
      <c r="K1244" s="1" t="s">
        <v>7455</v>
      </c>
    </row>
    <row r="1245" spans="1:11" x14ac:dyDescent="0.3">
      <c r="A1245" s="1">
        <v>1244</v>
      </c>
      <c r="B1245" s="1" t="s">
        <v>3768</v>
      </c>
      <c r="C1245" s="1" t="s">
        <v>3769</v>
      </c>
      <c r="F1245" s="1" t="s">
        <v>3770</v>
      </c>
      <c r="G1245" s="1">
        <v>1</v>
      </c>
      <c r="H1245" s="7">
        <v>45560</v>
      </c>
      <c r="I1245" s="1" t="s">
        <v>7455</v>
      </c>
      <c r="J1245" s="7">
        <v>45560</v>
      </c>
      <c r="K1245" s="1" t="s">
        <v>7455</v>
      </c>
    </row>
    <row r="1246" spans="1:11" x14ac:dyDescent="0.3">
      <c r="A1246" s="1">
        <v>1245</v>
      </c>
      <c r="B1246" s="1" t="s">
        <v>3771</v>
      </c>
      <c r="C1246" s="1" t="s">
        <v>3772</v>
      </c>
      <c r="D1246" s="1" t="s">
        <v>3773</v>
      </c>
      <c r="F1246" s="1" t="s">
        <v>3774</v>
      </c>
      <c r="G1246" s="1">
        <v>1</v>
      </c>
      <c r="H1246" s="7">
        <v>45560</v>
      </c>
      <c r="I1246" s="1" t="s">
        <v>7455</v>
      </c>
      <c r="J1246" s="7">
        <v>45560</v>
      </c>
      <c r="K1246" s="1" t="s">
        <v>7455</v>
      </c>
    </row>
    <row r="1247" spans="1:11" x14ac:dyDescent="0.3">
      <c r="A1247" s="1">
        <v>1246</v>
      </c>
      <c r="B1247" s="1" t="s">
        <v>3775</v>
      </c>
      <c r="C1247" s="1" t="s">
        <v>3776</v>
      </c>
      <c r="F1247" s="1" t="s">
        <v>3777</v>
      </c>
      <c r="G1247" s="1">
        <v>1</v>
      </c>
      <c r="H1247" s="7">
        <v>45560</v>
      </c>
      <c r="I1247" s="1" t="s">
        <v>7455</v>
      </c>
      <c r="J1247" s="7">
        <v>45560</v>
      </c>
      <c r="K1247" s="1" t="s">
        <v>7455</v>
      </c>
    </row>
    <row r="1248" spans="1:11" x14ac:dyDescent="0.3">
      <c r="A1248" s="1">
        <v>1247</v>
      </c>
      <c r="B1248" s="1" t="s">
        <v>3778</v>
      </c>
      <c r="C1248" s="1" t="s">
        <v>3779</v>
      </c>
      <c r="F1248" s="1" t="s">
        <v>3780</v>
      </c>
      <c r="G1248" s="1">
        <v>1</v>
      </c>
      <c r="H1248" s="7">
        <v>45560</v>
      </c>
      <c r="I1248" s="1" t="s">
        <v>7455</v>
      </c>
      <c r="J1248" s="7">
        <v>45560</v>
      </c>
      <c r="K1248" s="1" t="s">
        <v>7455</v>
      </c>
    </row>
    <row r="1249" spans="1:11" x14ac:dyDescent="0.3">
      <c r="A1249" s="1">
        <v>1248</v>
      </c>
      <c r="B1249" s="1" t="s">
        <v>3781</v>
      </c>
      <c r="C1249" s="1" t="s">
        <v>3782</v>
      </c>
      <c r="F1249" s="1" t="s">
        <v>3783</v>
      </c>
      <c r="G1249" s="1">
        <v>1</v>
      </c>
      <c r="H1249" s="7">
        <v>45560</v>
      </c>
      <c r="I1249" s="1" t="s">
        <v>7455</v>
      </c>
      <c r="J1249" s="7">
        <v>45560</v>
      </c>
      <c r="K1249" s="1" t="s">
        <v>7455</v>
      </c>
    </row>
    <row r="1250" spans="1:11" x14ac:dyDescent="0.3">
      <c r="A1250" s="1">
        <v>1249</v>
      </c>
      <c r="B1250" s="1" t="s">
        <v>3784</v>
      </c>
      <c r="C1250" s="1" t="s">
        <v>3785</v>
      </c>
      <c r="F1250" s="1" t="s">
        <v>3786</v>
      </c>
      <c r="G1250" s="1">
        <v>1</v>
      </c>
      <c r="H1250" s="7">
        <v>45560</v>
      </c>
      <c r="I1250" s="1" t="s">
        <v>7455</v>
      </c>
      <c r="J1250" s="7">
        <v>45560</v>
      </c>
      <c r="K1250" s="1" t="s">
        <v>7455</v>
      </c>
    </row>
    <row r="1251" spans="1:11" x14ac:dyDescent="0.3">
      <c r="A1251" s="1">
        <v>1250</v>
      </c>
      <c r="B1251" s="1" t="s">
        <v>3787</v>
      </c>
      <c r="C1251" s="1" t="s">
        <v>3788</v>
      </c>
      <c r="F1251" s="1" t="s">
        <v>3789</v>
      </c>
      <c r="G1251" s="1">
        <v>1</v>
      </c>
      <c r="H1251" s="7">
        <v>45560</v>
      </c>
      <c r="I1251" s="1" t="s">
        <v>7455</v>
      </c>
      <c r="J1251" s="7">
        <v>45560</v>
      </c>
      <c r="K1251" s="1" t="s">
        <v>7455</v>
      </c>
    </row>
    <row r="1252" spans="1:11" x14ac:dyDescent="0.3">
      <c r="A1252" s="1">
        <v>1251</v>
      </c>
      <c r="B1252" s="1" t="s">
        <v>3790</v>
      </c>
      <c r="C1252" s="1" t="s">
        <v>3791</v>
      </c>
      <c r="F1252" s="1" t="s">
        <v>3792</v>
      </c>
      <c r="G1252" s="1">
        <v>1</v>
      </c>
      <c r="H1252" s="7">
        <v>45560</v>
      </c>
      <c r="I1252" s="1" t="s">
        <v>7455</v>
      </c>
      <c r="J1252" s="7">
        <v>45560</v>
      </c>
      <c r="K1252" s="1" t="s">
        <v>7455</v>
      </c>
    </row>
    <row r="1253" spans="1:11" x14ac:dyDescent="0.3">
      <c r="A1253" s="1">
        <v>1252</v>
      </c>
      <c r="B1253" s="1" t="s">
        <v>3793</v>
      </c>
      <c r="C1253" s="1" t="s">
        <v>3794</v>
      </c>
      <c r="F1253" s="1" t="s">
        <v>3795</v>
      </c>
      <c r="G1253" s="1">
        <v>1</v>
      </c>
      <c r="H1253" s="7">
        <v>45560</v>
      </c>
      <c r="I1253" s="1" t="s">
        <v>7455</v>
      </c>
      <c r="J1253" s="7">
        <v>45560</v>
      </c>
      <c r="K1253" s="1" t="s">
        <v>7455</v>
      </c>
    </row>
    <row r="1254" spans="1:11" x14ac:dyDescent="0.3">
      <c r="A1254" s="1">
        <v>1253</v>
      </c>
      <c r="B1254" s="1" t="s">
        <v>3796</v>
      </c>
      <c r="C1254" s="1" t="s">
        <v>3797</v>
      </c>
      <c r="D1254" s="1" t="s">
        <v>3798</v>
      </c>
      <c r="F1254" s="1" t="s">
        <v>3799</v>
      </c>
      <c r="G1254" s="1">
        <v>1</v>
      </c>
      <c r="H1254" s="7">
        <v>45560</v>
      </c>
      <c r="I1254" s="1" t="s">
        <v>7455</v>
      </c>
      <c r="J1254" s="7">
        <v>45560</v>
      </c>
      <c r="K1254" s="1" t="s">
        <v>7455</v>
      </c>
    </row>
    <row r="1255" spans="1:11" x14ac:dyDescent="0.3">
      <c r="A1255" s="1">
        <v>1254</v>
      </c>
      <c r="B1255" s="1" t="s">
        <v>3800</v>
      </c>
      <c r="C1255" s="1" t="s">
        <v>3801</v>
      </c>
      <c r="F1255" s="1" t="s">
        <v>3802</v>
      </c>
      <c r="G1255" s="1">
        <v>1</v>
      </c>
      <c r="H1255" s="7">
        <v>45560</v>
      </c>
      <c r="I1255" s="1" t="s">
        <v>7455</v>
      </c>
      <c r="J1255" s="7">
        <v>45560</v>
      </c>
      <c r="K1255" s="1" t="s">
        <v>7455</v>
      </c>
    </row>
    <row r="1256" spans="1:11" x14ac:dyDescent="0.3">
      <c r="A1256" s="1">
        <v>1255</v>
      </c>
      <c r="B1256" s="1" t="s">
        <v>3803</v>
      </c>
      <c r="C1256" s="1" t="s">
        <v>3804</v>
      </c>
      <c r="D1256" s="1" t="s">
        <v>3805</v>
      </c>
      <c r="F1256" s="1" t="s">
        <v>3806</v>
      </c>
      <c r="G1256" s="1">
        <v>1</v>
      </c>
      <c r="H1256" s="7">
        <v>45560</v>
      </c>
      <c r="I1256" s="1" t="s">
        <v>7455</v>
      </c>
      <c r="J1256" s="7">
        <v>45560</v>
      </c>
      <c r="K1256" s="1" t="s">
        <v>7455</v>
      </c>
    </row>
    <row r="1257" spans="1:11" x14ac:dyDescent="0.3">
      <c r="A1257" s="1">
        <v>1256</v>
      </c>
      <c r="B1257" s="1" t="s">
        <v>3807</v>
      </c>
      <c r="C1257" s="1" t="s">
        <v>3808</v>
      </c>
      <c r="D1257" s="1" t="s">
        <v>3809</v>
      </c>
      <c r="F1257" s="1" t="s">
        <v>3810</v>
      </c>
      <c r="G1257" s="1">
        <v>1</v>
      </c>
      <c r="H1257" s="7">
        <v>45560</v>
      </c>
      <c r="I1257" s="1" t="s">
        <v>7455</v>
      </c>
      <c r="J1257" s="7">
        <v>45560</v>
      </c>
      <c r="K1257" s="1" t="s">
        <v>7455</v>
      </c>
    </row>
    <row r="1258" spans="1:11" x14ac:dyDescent="0.3">
      <c r="A1258" s="1">
        <v>1257</v>
      </c>
      <c r="B1258" s="1" t="s">
        <v>3811</v>
      </c>
      <c r="C1258" s="1" t="s">
        <v>3812</v>
      </c>
      <c r="F1258" s="1" t="s">
        <v>3813</v>
      </c>
      <c r="G1258" s="1">
        <v>1</v>
      </c>
      <c r="H1258" s="7">
        <v>45560</v>
      </c>
      <c r="I1258" s="1" t="s">
        <v>7455</v>
      </c>
      <c r="J1258" s="7">
        <v>45560</v>
      </c>
      <c r="K1258" s="1" t="s">
        <v>7455</v>
      </c>
    </row>
    <row r="1259" spans="1:11" x14ac:dyDescent="0.3">
      <c r="A1259" s="1">
        <v>1258</v>
      </c>
      <c r="B1259" s="1" t="s">
        <v>3814</v>
      </c>
      <c r="C1259" s="1" t="s">
        <v>3815</v>
      </c>
      <c r="F1259" s="1" t="s">
        <v>3816</v>
      </c>
      <c r="G1259" s="1">
        <v>1</v>
      </c>
      <c r="H1259" s="7">
        <v>45560</v>
      </c>
      <c r="I1259" s="1" t="s">
        <v>7455</v>
      </c>
      <c r="J1259" s="7">
        <v>45560</v>
      </c>
      <c r="K1259" s="1" t="s">
        <v>7455</v>
      </c>
    </row>
    <row r="1260" spans="1:11" x14ac:dyDescent="0.3">
      <c r="A1260" s="1">
        <v>1259</v>
      </c>
      <c r="B1260" s="1" t="s">
        <v>3817</v>
      </c>
      <c r="C1260" s="1" t="s">
        <v>3818</v>
      </c>
      <c r="F1260" s="1" t="s">
        <v>3819</v>
      </c>
      <c r="G1260" s="1">
        <v>1</v>
      </c>
      <c r="H1260" s="7">
        <v>45560</v>
      </c>
      <c r="I1260" s="1" t="s">
        <v>7455</v>
      </c>
      <c r="J1260" s="7">
        <v>45560</v>
      </c>
      <c r="K1260" s="1" t="s">
        <v>7455</v>
      </c>
    </row>
    <row r="1261" spans="1:11" x14ac:dyDescent="0.3">
      <c r="A1261" s="1">
        <v>1260</v>
      </c>
      <c r="B1261" s="1" t="s">
        <v>3820</v>
      </c>
      <c r="C1261" s="1" t="s">
        <v>3821</v>
      </c>
      <c r="F1261" s="1" t="s">
        <v>3822</v>
      </c>
      <c r="G1261" s="1">
        <v>1</v>
      </c>
      <c r="H1261" s="7">
        <v>45560</v>
      </c>
      <c r="I1261" s="1" t="s">
        <v>7455</v>
      </c>
      <c r="J1261" s="7">
        <v>45560</v>
      </c>
      <c r="K1261" s="1" t="s">
        <v>7455</v>
      </c>
    </row>
    <row r="1262" spans="1:11" x14ac:dyDescent="0.3">
      <c r="A1262" s="1">
        <v>1261</v>
      </c>
      <c r="B1262" s="1" t="s">
        <v>3823</v>
      </c>
      <c r="C1262" s="1" t="s">
        <v>3824</v>
      </c>
      <c r="F1262" s="1" t="s">
        <v>3825</v>
      </c>
      <c r="G1262" s="1">
        <v>1</v>
      </c>
      <c r="H1262" s="7">
        <v>45560</v>
      </c>
      <c r="I1262" s="1" t="s">
        <v>7455</v>
      </c>
      <c r="J1262" s="7">
        <v>45560</v>
      </c>
      <c r="K1262" s="1" t="s">
        <v>7455</v>
      </c>
    </row>
    <row r="1263" spans="1:11" x14ac:dyDescent="0.3">
      <c r="A1263" s="1">
        <v>1262</v>
      </c>
      <c r="B1263" s="1" t="s">
        <v>3826</v>
      </c>
      <c r="C1263" s="1" t="s">
        <v>3827</v>
      </c>
      <c r="D1263" s="1" t="s">
        <v>3828</v>
      </c>
      <c r="E1263" s="1" t="s">
        <v>73</v>
      </c>
      <c r="F1263" s="1" t="s">
        <v>3829</v>
      </c>
      <c r="G1263" s="1">
        <v>1</v>
      </c>
      <c r="H1263" s="7">
        <v>45560</v>
      </c>
      <c r="I1263" s="1" t="s">
        <v>7455</v>
      </c>
      <c r="J1263" s="7">
        <v>45560</v>
      </c>
      <c r="K1263" s="1" t="s">
        <v>7455</v>
      </c>
    </row>
    <row r="1264" spans="1:11" x14ac:dyDescent="0.3">
      <c r="A1264" s="1">
        <v>1263</v>
      </c>
      <c r="B1264" s="1" t="s">
        <v>3830</v>
      </c>
      <c r="C1264" s="1" t="s">
        <v>3831</v>
      </c>
      <c r="D1264" s="1" t="s">
        <v>3832</v>
      </c>
      <c r="F1264" s="1" t="s">
        <v>3833</v>
      </c>
      <c r="G1264" s="1">
        <v>1</v>
      </c>
      <c r="H1264" s="7">
        <v>45560</v>
      </c>
      <c r="I1264" s="1" t="s">
        <v>7455</v>
      </c>
      <c r="J1264" s="7">
        <v>45560</v>
      </c>
      <c r="K1264" s="1" t="s">
        <v>7455</v>
      </c>
    </row>
    <row r="1265" spans="1:11" x14ac:dyDescent="0.3">
      <c r="A1265" s="1">
        <v>1264</v>
      </c>
      <c r="B1265" s="1" t="s">
        <v>3834</v>
      </c>
      <c r="C1265" s="1" t="s">
        <v>3835</v>
      </c>
      <c r="F1265" s="1" t="s">
        <v>3836</v>
      </c>
      <c r="G1265" s="1">
        <v>1</v>
      </c>
      <c r="H1265" s="7">
        <v>45560</v>
      </c>
      <c r="I1265" s="1" t="s">
        <v>7455</v>
      </c>
      <c r="J1265" s="7">
        <v>45560</v>
      </c>
      <c r="K1265" s="1" t="s">
        <v>7455</v>
      </c>
    </row>
    <row r="1266" spans="1:11" x14ac:dyDescent="0.3">
      <c r="A1266" s="1">
        <v>1265</v>
      </c>
      <c r="B1266" s="1" t="s">
        <v>3837</v>
      </c>
      <c r="C1266" s="1" t="s">
        <v>3838</v>
      </c>
      <c r="F1266" s="1" t="s">
        <v>3839</v>
      </c>
      <c r="G1266" s="1">
        <v>1</v>
      </c>
      <c r="H1266" s="7">
        <v>45560</v>
      </c>
      <c r="I1266" s="1" t="s">
        <v>7455</v>
      </c>
      <c r="J1266" s="7">
        <v>45560</v>
      </c>
      <c r="K1266" s="1" t="s">
        <v>7455</v>
      </c>
    </row>
    <row r="1267" spans="1:11" x14ac:dyDescent="0.3">
      <c r="A1267" s="1">
        <v>1266</v>
      </c>
      <c r="B1267" s="1" t="s">
        <v>3840</v>
      </c>
      <c r="C1267" s="1" t="s">
        <v>3841</v>
      </c>
      <c r="F1267" s="1" t="s">
        <v>3842</v>
      </c>
      <c r="G1267" s="1">
        <v>1</v>
      </c>
      <c r="H1267" s="7">
        <v>45560</v>
      </c>
      <c r="I1267" s="1" t="s">
        <v>7455</v>
      </c>
      <c r="J1267" s="7">
        <v>45560</v>
      </c>
      <c r="K1267" s="1" t="s">
        <v>7455</v>
      </c>
    </row>
    <row r="1268" spans="1:11" x14ac:dyDescent="0.3">
      <c r="A1268" s="1">
        <v>1267</v>
      </c>
      <c r="B1268" s="1" t="s">
        <v>3843</v>
      </c>
      <c r="C1268" s="1" t="s">
        <v>3844</v>
      </c>
      <c r="F1268" s="1" t="s">
        <v>3845</v>
      </c>
      <c r="G1268" s="1">
        <v>1</v>
      </c>
      <c r="H1268" s="7">
        <v>45560</v>
      </c>
      <c r="I1268" s="1" t="s">
        <v>7455</v>
      </c>
      <c r="J1268" s="7">
        <v>45560</v>
      </c>
      <c r="K1268" s="1" t="s">
        <v>7455</v>
      </c>
    </row>
    <row r="1269" spans="1:11" x14ac:dyDescent="0.3">
      <c r="A1269" s="1">
        <v>1268</v>
      </c>
      <c r="B1269" s="1" t="s">
        <v>3846</v>
      </c>
      <c r="C1269" s="1" t="s">
        <v>3847</v>
      </c>
      <c r="F1269" s="1" t="s">
        <v>3848</v>
      </c>
      <c r="G1269" s="1">
        <v>1</v>
      </c>
      <c r="H1269" s="7">
        <v>45560</v>
      </c>
      <c r="I1269" s="1" t="s">
        <v>7455</v>
      </c>
      <c r="J1269" s="7">
        <v>45560</v>
      </c>
      <c r="K1269" s="1" t="s">
        <v>7455</v>
      </c>
    </row>
    <row r="1270" spans="1:11" x14ac:dyDescent="0.3">
      <c r="A1270" s="1">
        <v>1269</v>
      </c>
      <c r="B1270" s="1" t="s">
        <v>3849</v>
      </c>
      <c r="C1270" s="1" t="s">
        <v>3850</v>
      </c>
      <c r="F1270" s="1" t="s">
        <v>3851</v>
      </c>
      <c r="G1270" s="1">
        <v>1</v>
      </c>
      <c r="H1270" s="7">
        <v>45560</v>
      </c>
      <c r="I1270" s="1" t="s">
        <v>7455</v>
      </c>
      <c r="J1270" s="7">
        <v>45560</v>
      </c>
      <c r="K1270" s="1" t="s">
        <v>7455</v>
      </c>
    </row>
    <row r="1271" spans="1:11" x14ac:dyDescent="0.3">
      <c r="A1271" s="1">
        <v>1270</v>
      </c>
      <c r="B1271" s="1" t="s">
        <v>3852</v>
      </c>
      <c r="C1271" s="1" t="s">
        <v>3853</v>
      </c>
      <c r="F1271" s="1" t="s">
        <v>3854</v>
      </c>
      <c r="G1271" s="1">
        <v>1</v>
      </c>
      <c r="H1271" s="7">
        <v>45560</v>
      </c>
      <c r="I1271" s="1" t="s">
        <v>7455</v>
      </c>
      <c r="J1271" s="7">
        <v>45560</v>
      </c>
      <c r="K1271" s="1" t="s">
        <v>7455</v>
      </c>
    </row>
    <row r="1272" spans="1:11" x14ac:dyDescent="0.3">
      <c r="A1272" s="1">
        <v>1271</v>
      </c>
      <c r="B1272" s="1" t="s">
        <v>3855</v>
      </c>
      <c r="C1272" s="1" t="s">
        <v>3856</v>
      </c>
      <c r="F1272" s="1" t="s">
        <v>3857</v>
      </c>
      <c r="G1272" s="1">
        <v>1</v>
      </c>
      <c r="H1272" s="7">
        <v>45560</v>
      </c>
      <c r="I1272" s="1" t="s">
        <v>7455</v>
      </c>
      <c r="J1272" s="7">
        <v>45560</v>
      </c>
      <c r="K1272" s="1" t="s">
        <v>7455</v>
      </c>
    </row>
    <row r="1273" spans="1:11" x14ac:dyDescent="0.3">
      <c r="A1273" s="1">
        <v>1272</v>
      </c>
      <c r="B1273" s="1" t="s">
        <v>3858</v>
      </c>
      <c r="C1273" s="1" t="s">
        <v>3859</v>
      </c>
      <c r="F1273" s="1" t="s">
        <v>3860</v>
      </c>
      <c r="G1273" s="1">
        <v>1</v>
      </c>
      <c r="H1273" s="7">
        <v>45560</v>
      </c>
      <c r="I1273" s="1" t="s">
        <v>7455</v>
      </c>
      <c r="J1273" s="7">
        <v>45560</v>
      </c>
      <c r="K1273" s="1" t="s">
        <v>7455</v>
      </c>
    </row>
    <row r="1274" spans="1:11" x14ac:dyDescent="0.3">
      <c r="A1274" s="1">
        <v>1273</v>
      </c>
      <c r="B1274" s="1" t="s">
        <v>3861</v>
      </c>
      <c r="C1274" s="1" t="s">
        <v>3862</v>
      </c>
      <c r="F1274" s="1" t="s">
        <v>3863</v>
      </c>
      <c r="G1274" s="1">
        <v>1</v>
      </c>
      <c r="H1274" s="7">
        <v>45560</v>
      </c>
      <c r="I1274" s="1" t="s">
        <v>7455</v>
      </c>
      <c r="J1274" s="7">
        <v>45560</v>
      </c>
      <c r="K1274" s="1" t="s">
        <v>7455</v>
      </c>
    </row>
    <row r="1275" spans="1:11" x14ac:dyDescent="0.3">
      <c r="A1275" s="1">
        <v>1274</v>
      </c>
      <c r="B1275" s="1" t="s">
        <v>3864</v>
      </c>
      <c r="C1275" s="1" t="s">
        <v>3865</v>
      </c>
      <c r="F1275" s="1" t="s">
        <v>3866</v>
      </c>
      <c r="G1275" s="1">
        <v>1</v>
      </c>
      <c r="H1275" s="7">
        <v>45560</v>
      </c>
      <c r="I1275" s="1" t="s">
        <v>7455</v>
      </c>
      <c r="J1275" s="7">
        <v>45560</v>
      </c>
      <c r="K1275" s="1" t="s">
        <v>7455</v>
      </c>
    </row>
    <row r="1276" spans="1:11" x14ac:dyDescent="0.3">
      <c r="A1276" s="1">
        <v>1275</v>
      </c>
      <c r="B1276" s="1" t="s">
        <v>3867</v>
      </c>
      <c r="C1276" s="1" t="s">
        <v>3868</v>
      </c>
      <c r="F1276" s="1" t="s">
        <v>3869</v>
      </c>
      <c r="G1276" s="1">
        <v>1</v>
      </c>
      <c r="H1276" s="7">
        <v>45560</v>
      </c>
      <c r="I1276" s="1" t="s">
        <v>7455</v>
      </c>
      <c r="J1276" s="7">
        <v>45560</v>
      </c>
      <c r="K1276" s="1" t="s">
        <v>7455</v>
      </c>
    </row>
    <row r="1277" spans="1:11" x14ac:dyDescent="0.3">
      <c r="A1277" s="1">
        <v>1276</v>
      </c>
      <c r="B1277" s="1" t="s">
        <v>3870</v>
      </c>
      <c r="C1277" s="1" t="s">
        <v>3871</v>
      </c>
      <c r="F1277" s="1" t="s">
        <v>3872</v>
      </c>
      <c r="G1277" s="1">
        <v>1</v>
      </c>
      <c r="H1277" s="7">
        <v>45560</v>
      </c>
      <c r="I1277" s="1" t="s">
        <v>7455</v>
      </c>
      <c r="J1277" s="7">
        <v>45560</v>
      </c>
      <c r="K1277" s="1" t="s">
        <v>7455</v>
      </c>
    </row>
    <row r="1278" spans="1:11" x14ac:dyDescent="0.3">
      <c r="A1278" s="1">
        <v>1277</v>
      </c>
      <c r="B1278" s="1" t="s">
        <v>3873</v>
      </c>
      <c r="C1278" s="1" t="s">
        <v>3874</v>
      </c>
      <c r="F1278" s="1" t="s">
        <v>3875</v>
      </c>
      <c r="G1278" s="1">
        <v>1</v>
      </c>
      <c r="H1278" s="7">
        <v>45560</v>
      </c>
      <c r="I1278" s="1" t="s">
        <v>7455</v>
      </c>
      <c r="J1278" s="7">
        <v>45560</v>
      </c>
      <c r="K1278" s="1" t="s">
        <v>7455</v>
      </c>
    </row>
    <row r="1279" spans="1:11" x14ac:dyDescent="0.3">
      <c r="A1279" s="1">
        <v>1278</v>
      </c>
      <c r="B1279" s="1" t="s">
        <v>3876</v>
      </c>
      <c r="C1279" s="1" t="s">
        <v>3877</v>
      </c>
      <c r="F1279" s="1" t="s">
        <v>3878</v>
      </c>
      <c r="G1279" s="1">
        <v>1</v>
      </c>
      <c r="H1279" s="7">
        <v>45560</v>
      </c>
      <c r="I1279" s="1" t="s">
        <v>7455</v>
      </c>
      <c r="J1279" s="7">
        <v>45560</v>
      </c>
      <c r="K1279" s="1" t="s">
        <v>7455</v>
      </c>
    </row>
    <row r="1280" spans="1:11" x14ac:dyDescent="0.3">
      <c r="A1280" s="1">
        <v>1279</v>
      </c>
      <c r="B1280" s="1" t="s">
        <v>3879</v>
      </c>
      <c r="C1280" s="1" t="s">
        <v>3880</v>
      </c>
      <c r="F1280" s="1" t="s">
        <v>3881</v>
      </c>
      <c r="G1280" s="1">
        <v>1</v>
      </c>
      <c r="H1280" s="7">
        <v>45560</v>
      </c>
      <c r="I1280" s="1" t="s">
        <v>7455</v>
      </c>
      <c r="J1280" s="7">
        <v>45560</v>
      </c>
      <c r="K1280" s="1" t="s">
        <v>7455</v>
      </c>
    </row>
    <row r="1281" spans="1:11" x14ac:dyDescent="0.3">
      <c r="A1281" s="1">
        <v>1280</v>
      </c>
      <c r="B1281" s="1" t="s">
        <v>3882</v>
      </c>
      <c r="C1281" s="1" t="s">
        <v>3883</v>
      </c>
      <c r="F1281" s="1" t="s">
        <v>3884</v>
      </c>
      <c r="G1281" s="1">
        <v>1</v>
      </c>
      <c r="H1281" s="7">
        <v>45560</v>
      </c>
      <c r="I1281" s="1" t="s">
        <v>7455</v>
      </c>
      <c r="J1281" s="7">
        <v>45560</v>
      </c>
      <c r="K1281" s="1" t="s">
        <v>7455</v>
      </c>
    </row>
    <row r="1282" spans="1:11" x14ac:dyDescent="0.3">
      <c r="A1282" s="1">
        <v>1281</v>
      </c>
      <c r="B1282" s="1" t="s">
        <v>3885</v>
      </c>
      <c r="C1282" s="1" t="s">
        <v>3886</v>
      </c>
      <c r="F1282" s="1" t="s">
        <v>3887</v>
      </c>
      <c r="G1282" s="1">
        <v>1</v>
      </c>
      <c r="H1282" s="7">
        <v>45560</v>
      </c>
      <c r="I1282" s="1" t="s">
        <v>7455</v>
      </c>
      <c r="J1282" s="7">
        <v>45560</v>
      </c>
      <c r="K1282" s="1" t="s">
        <v>7455</v>
      </c>
    </row>
    <row r="1283" spans="1:11" x14ac:dyDescent="0.3">
      <c r="A1283" s="1">
        <v>1282</v>
      </c>
      <c r="B1283" s="1" t="s">
        <v>3888</v>
      </c>
      <c r="C1283" s="1" t="s">
        <v>3889</v>
      </c>
      <c r="F1283" s="1" t="s">
        <v>3890</v>
      </c>
      <c r="G1283" s="1">
        <v>1</v>
      </c>
      <c r="H1283" s="7">
        <v>45560</v>
      </c>
      <c r="I1283" s="1" t="s">
        <v>7455</v>
      </c>
      <c r="J1283" s="7">
        <v>45560</v>
      </c>
      <c r="K1283" s="1" t="s">
        <v>7455</v>
      </c>
    </row>
    <row r="1284" spans="1:11" x14ac:dyDescent="0.3">
      <c r="A1284" s="1">
        <v>1283</v>
      </c>
      <c r="B1284" s="1" t="s">
        <v>3891</v>
      </c>
      <c r="C1284" s="1" t="s">
        <v>3892</v>
      </c>
      <c r="F1284" s="1" t="s">
        <v>3893</v>
      </c>
      <c r="G1284" s="1">
        <v>1</v>
      </c>
      <c r="H1284" s="7">
        <v>45560</v>
      </c>
      <c r="I1284" s="1" t="s">
        <v>7455</v>
      </c>
      <c r="J1284" s="7">
        <v>45560</v>
      </c>
      <c r="K1284" s="1" t="s">
        <v>7455</v>
      </c>
    </row>
    <row r="1285" spans="1:11" x14ac:dyDescent="0.3">
      <c r="A1285" s="1">
        <v>1284</v>
      </c>
      <c r="B1285" s="1" t="s">
        <v>3894</v>
      </c>
      <c r="C1285" s="1" t="s">
        <v>3895</v>
      </c>
      <c r="F1285" s="1" t="s">
        <v>3896</v>
      </c>
      <c r="G1285" s="1">
        <v>1</v>
      </c>
      <c r="H1285" s="7">
        <v>45560</v>
      </c>
      <c r="I1285" s="1" t="s">
        <v>7455</v>
      </c>
      <c r="J1285" s="7">
        <v>45560</v>
      </c>
      <c r="K1285" s="1" t="s">
        <v>7455</v>
      </c>
    </row>
    <row r="1286" spans="1:11" x14ac:dyDescent="0.3">
      <c r="A1286" s="1">
        <v>1285</v>
      </c>
      <c r="B1286" s="1" t="s">
        <v>3897</v>
      </c>
      <c r="C1286" s="1" t="s">
        <v>3898</v>
      </c>
      <c r="F1286" s="1" t="s">
        <v>3899</v>
      </c>
      <c r="G1286" s="1">
        <v>1</v>
      </c>
      <c r="H1286" s="7">
        <v>45560</v>
      </c>
      <c r="I1286" s="1" t="s">
        <v>7455</v>
      </c>
      <c r="J1286" s="7">
        <v>45560</v>
      </c>
      <c r="K1286" s="1" t="s">
        <v>7455</v>
      </c>
    </row>
    <row r="1287" spans="1:11" x14ac:dyDescent="0.3">
      <c r="A1287" s="1">
        <v>1286</v>
      </c>
      <c r="B1287" s="1" t="s">
        <v>3900</v>
      </c>
      <c r="C1287" s="1" t="s">
        <v>3901</v>
      </c>
      <c r="F1287" s="1" t="s">
        <v>3902</v>
      </c>
      <c r="G1287" s="1">
        <v>1</v>
      </c>
      <c r="H1287" s="7">
        <v>45560</v>
      </c>
      <c r="I1287" s="1" t="s">
        <v>7455</v>
      </c>
      <c r="J1287" s="7">
        <v>45560</v>
      </c>
      <c r="K1287" s="1" t="s">
        <v>7455</v>
      </c>
    </row>
    <row r="1288" spans="1:11" x14ac:dyDescent="0.3">
      <c r="A1288" s="1">
        <v>1287</v>
      </c>
      <c r="B1288" s="1" t="s">
        <v>3903</v>
      </c>
      <c r="C1288" s="1" t="s">
        <v>3904</v>
      </c>
      <c r="F1288" s="1" t="s">
        <v>3905</v>
      </c>
      <c r="G1288" s="1">
        <v>1</v>
      </c>
      <c r="H1288" s="7">
        <v>45560</v>
      </c>
      <c r="I1288" s="1" t="s">
        <v>7455</v>
      </c>
      <c r="J1288" s="7">
        <v>45560</v>
      </c>
      <c r="K1288" s="1" t="s">
        <v>7455</v>
      </c>
    </row>
    <row r="1289" spans="1:11" x14ac:dyDescent="0.3">
      <c r="A1289" s="1">
        <v>1288</v>
      </c>
      <c r="B1289" s="1" t="s">
        <v>3906</v>
      </c>
      <c r="C1289" s="1" t="s">
        <v>3907</v>
      </c>
      <c r="F1289" s="1" t="s">
        <v>3908</v>
      </c>
      <c r="G1289" s="1">
        <v>1</v>
      </c>
      <c r="H1289" s="7">
        <v>45560</v>
      </c>
      <c r="I1289" s="1" t="s">
        <v>7455</v>
      </c>
      <c r="J1289" s="7">
        <v>45560</v>
      </c>
      <c r="K1289" s="1" t="s">
        <v>7455</v>
      </c>
    </row>
    <row r="1290" spans="1:11" x14ac:dyDescent="0.3">
      <c r="A1290" s="1">
        <v>1289</v>
      </c>
      <c r="B1290" s="1" t="s">
        <v>3909</v>
      </c>
      <c r="C1290" s="1" t="s">
        <v>3910</v>
      </c>
      <c r="F1290" s="1" t="s">
        <v>3911</v>
      </c>
      <c r="G1290" s="1">
        <v>1</v>
      </c>
      <c r="H1290" s="7">
        <v>45560</v>
      </c>
      <c r="I1290" s="1" t="s">
        <v>7455</v>
      </c>
      <c r="J1290" s="7">
        <v>45560</v>
      </c>
      <c r="K1290" s="1" t="s">
        <v>7455</v>
      </c>
    </row>
    <row r="1291" spans="1:11" x14ac:dyDescent="0.3">
      <c r="A1291" s="1">
        <v>1290</v>
      </c>
      <c r="B1291" s="1" t="s">
        <v>3912</v>
      </c>
      <c r="C1291" s="1" t="s">
        <v>3913</v>
      </c>
      <c r="F1291" s="1" t="s">
        <v>3914</v>
      </c>
      <c r="G1291" s="1">
        <v>1</v>
      </c>
      <c r="H1291" s="7">
        <v>45560</v>
      </c>
      <c r="I1291" s="1" t="s">
        <v>7455</v>
      </c>
      <c r="J1291" s="7">
        <v>45560</v>
      </c>
      <c r="K1291" s="1" t="s">
        <v>7455</v>
      </c>
    </row>
    <row r="1292" spans="1:11" x14ac:dyDescent="0.3">
      <c r="A1292" s="1">
        <v>1291</v>
      </c>
      <c r="B1292" s="1" t="s">
        <v>3915</v>
      </c>
      <c r="C1292" s="1" t="s">
        <v>3916</v>
      </c>
      <c r="F1292" s="1" t="s">
        <v>3917</v>
      </c>
      <c r="G1292" s="1">
        <v>1</v>
      </c>
      <c r="H1292" s="7">
        <v>45560</v>
      </c>
      <c r="I1292" s="1" t="s">
        <v>7455</v>
      </c>
      <c r="J1292" s="7">
        <v>45560</v>
      </c>
      <c r="K1292" s="1" t="s">
        <v>7455</v>
      </c>
    </row>
    <row r="1293" spans="1:11" x14ac:dyDescent="0.3">
      <c r="A1293" s="1">
        <v>1292</v>
      </c>
      <c r="B1293" s="1" t="s">
        <v>3918</v>
      </c>
      <c r="C1293" s="1" t="s">
        <v>3919</v>
      </c>
      <c r="F1293" s="1" t="s">
        <v>3920</v>
      </c>
      <c r="G1293" s="1">
        <v>1</v>
      </c>
      <c r="H1293" s="7">
        <v>45560</v>
      </c>
      <c r="I1293" s="1" t="s">
        <v>7455</v>
      </c>
      <c r="J1293" s="7">
        <v>45560</v>
      </c>
      <c r="K1293" s="1" t="s">
        <v>7455</v>
      </c>
    </row>
    <row r="1294" spans="1:11" x14ac:dyDescent="0.3">
      <c r="A1294" s="1">
        <v>1293</v>
      </c>
      <c r="B1294" s="1" t="s">
        <v>3921</v>
      </c>
      <c r="C1294" s="1" t="s">
        <v>3922</v>
      </c>
      <c r="F1294" s="1" t="s">
        <v>3923</v>
      </c>
      <c r="G1294" s="1">
        <v>1</v>
      </c>
      <c r="H1294" s="7">
        <v>45560</v>
      </c>
      <c r="I1294" s="1" t="s">
        <v>7455</v>
      </c>
      <c r="J1294" s="7">
        <v>45560</v>
      </c>
      <c r="K1294" s="1" t="s">
        <v>7455</v>
      </c>
    </row>
    <row r="1295" spans="1:11" x14ac:dyDescent="0.3">
      <c r="A1295" s="1">
        <v>1294</v>
      </c>
      <c r="B1295" s="1" t="s">
        <v>3924</v>
      </c>
      <c r="C1295" s="1" t="s">
        <v>3925</v>
      </c>
      <c r="F1295" s="1" t="s">
        <v>3926</v>
      </c>
      <c r="G1295" s="1">
        <v>1</v>
      </c>
      <c r="H1295" s="7">
        <v>45560</v>
      </c>
      <c r="I1295" s="1" t="s">
        <v>7455</v>
      </c>
      <c r="J1295" s="7">
        <v>45560</v>
      </c>
      <c r="K1295" s="1" t="s">
        <v>7455</v>
      </c>
    </row>
    <row r="1296" spans="1:11" x14ac:dyDescent="0.3">
      <c r="A1296" s="1">
        <v>1295</v>
      </c>
      <c r="B1296" s="1" t="s">
        <v>3927</v>
      </c>
      <c r="C1296" s="1" t="s">
        <v>3928</v>
      </c>
      <c r="F1296" s="1" t="s">
        <v>3929</v>
      </c>
      <c r="G1296" s="1">
        <v>1</v>
      </c>
      <c r="H1296" s="7">
        <v>45560</v>
      </c>
      <c r="I1296" s="1" t="s">
        <v>7455</v>
      </c>
      <c r="J1296" s="7">
        <v>45560</v>
      </c>
      <c r="K1296" s="1" t="s">
        <v>7455</v>
      </c>
    </row>
    <row r="1297" spans="1:11" x14ac:dyDescent="0.3">
      <c r="A1297" s="1">
        <v>1296</v>
      </c>
      <c r="B1297" s="1" t="s">
        <v>3930</v>
      </c>
      <c r="C1297" s="1" t="s">
        <v>3931</v>
      </c>
      <c r="F1297" s="1" t="s">
        <v>3932</v>
      </c>
      <c r="G1297" s="1">
        <v>1</v>
      </c>
      <c r="H1297" s="7">
        <v>45560</v>
      </c>
      <c r="I1297" s="1" t="s">
        <v>7455</v>
      </c>
      <c r="J1297" s="7">
        <v>45560</v>
      </c>
      <c r="K1297" s="1" t="s">
        <v>7455</v>
      </c>
    </row>
    <row r="1298" spans="1:11" x14ac:dyDescent="0.3">
      <c r="A1298" s="1">
        <v>1297</v>
      </c>
      <c r="B1298" s="1" t="s">
        <v>3933</v>
      </c>
      <c r="C1298" s="1" t="s">
        <v>3934</v>
      </c>
      <c r="F1298" s="1" t="s">
        <v>3935</v>
      </c>
      <c r="G1298" s="1">
        <v>1</v>
      </c>
      <c r="H1298" s="7">
        <v>45560</v>
      </c>
      <c r="I1298" s="1" t="s">
        <v>7455</v>
      </c>
      <c r="J1298" s="7">
        <v>45560</v>
      </c>
      <c r="K1298" s="1" t="s">
        <v>7455</v>
      </c>
    </row>
    <row r="1299" spans="1:11" x14ac:dyDescent="0.3">
      <c r="A1299" s="1">
        <v>1298</v>
      </c>
      <c r="B1299" s="1" t="s">
        <v>3936</v>
      </c>
      <c r="C1299" s="1" t="s">
        <v>3937</v>
      </c>
      <c r="F1299" s="1" t="s">
        <v>3938</v>
      </c>
      <c r="G1299" s="1">
        <v>1</v>
      </c>
      <c r="H1299" s="7">
        <v>45560</v>
      </c>
      <c r="I1299" s="1" t="s">
        <v>7455</v>
      </c>
      <c r="J1299" s="7">
        <v>45560</v>
      </c>
      <c r="K1299" s="1" t="s">
        <v>7455</v>
      </c>
    </row>
    <row r="1300" spans="1:11" x14ac:dyDescent="0.3">
      <c r="A1300" s="1">
        <v>1299</v>
      </c>
      <c r="B1300" s="1" t="s">
        <v>3939</v>
      </c>
      <c r="C1300" s="1" t="s">
        <v>3940</v>
      </c>
      <c r="F1300" s="1" t="s">
        <v>3941</v>
      </c>
      <c r="G1300" s="1">
        <v>1</v>
      </c>
      <c r="H1300" s="7">
        <v>45560</v>
      </c>
      <c r="I1300" s="1" t="s">
        <v>7455</v>
      </c>
      <c r="J1300" s="7">
        <v>45560</v>
      </c>
      <c r="K1300" s="1" t="s">
        <v>7455</v>
      </c>
    </row>
    <row r="1301" spans="1:11" x14ac:dyDescent="0.3">
      <c r="A1301" s="1">
        <v>1300</v>
      </c>
      <c r="B1301" s="1" t="s">
        <v>3942</v>
      </c>
      <c r="C1301" s="1" t="s">
        <v>3943</v>
      </c>
      <c r="F1301" s="1" t="s">
        <v>3944</v>
      </c>
      <c r="G1301" s="1">
        <v>1</v>
      </c>
      <c r="H1301" s="7">
        <v>45560</v>
      </c>
      <c r="I1301" s="1" t="s">
        <v>7455</v>
      </c>
      <c r="J1301" s="7">
        <v>45560</v>
      </c>
      <c r="K1301" s="1" t="s">
        <v>7455</v>
      </c>
    </row>
    <row r="1302" spans="1:11" x14ac:dyDescent="0.3">
      <c r="A1302" s="1">
        <v>1301</v>
      </c>
      <c r="B1302" s="1" t="s">
        <v>3945</v>
      </c>
      <c r="C1302" s="1" t="s">
        <v>3946</v>
      </c>
      <c r="F1302" s="1" t="s">
        <v>3947</v>
      </c>
      <c r="G1302" s="1">
        <v>1</v>
      </c>
      <c r="H1302" s="7">
        <v>45560</v>
      </c>
      <c r="I1302" s="1" t="s">
        <v>7455</v>
      </c>
      <c r="J1302" s="7">
        <v>45560</v>
      </c>
      <c r="K1302" s="1" t="s">
        <v>7455</v>
      </c>
    </row>
    <row r="1303" spans="1:11" x14ac:dyDescent="0.3">
      <c r="A1303" s="1">
        <v>1302</v>
      </c>
      <c r="B1303" s="1" t="s">
        <v>3948</v>
      </c>
      <c r="C1303" s="1" t="s">
        <v>3949</v>
      </c>
      <c r="F1303" s="1" t="s">
        <v>3950</v>
      </c>
      <c r="G1303" s="1">
        <v>1</v>
      </c>
      <c r="H1303" s="7">
        <v>45560</v>
      </c>
      <c r="I1303" s="1" t="s">
        <v>7455</v>
      </c>
      <c r="J1303" s="7">
        <v>45560</v>
      </c>
      <c r="K1303" s="1" t="s">
        <v>7455</v>
      </c>
    </row>
    <row r="1304" spans="1:11" x14ac:dyDescent="0.3">
      <c r="A1304" s="1">
        <v>1303</v>
      </c>
      <c r="B1304" s="1" t="s">
        <v>3951</v>
      </c>
      <c r="C1304" s="1" t="s">
        <v>3952</v>
      </c>
      <c r="F1304" s="1" t="s">
        <v>3953</v>
      </c>
      <c r="G1304" s="1">
        <v>1</v>
      </c>
      <c r="H1304" s="7">
        <v>45560</v>
      </c>
      <c r="I1304" s="1" t="s">
        <v>7455</v>
      </c>
      <c r="J1304" s="7">
        <v>45560</v>
      </c>
      <c r="K1304" s="1" t="s">
        <v>7455</v>
      </c>
    </row>
    <row r="1305" spans="1:11" x14ac:dyDescent="0.3">
      <c r="A1305" s="1">
        <v>1304</v>
      </c>
      <c r="B1305" s="1" t="s">
        <v>3954</v>
      </c>
      <c r="C1305" s="1" t="s">
        <v>3955</v>
      </c>
      <c r="F1305" s="1" t="s">
        <v>3956</v>
      </c>
      <c r="G1305" s="1">
        <v>1</v>
      </c>
      <c r="H1305" s="7">
        <v>45560</v>
      </c>
      <c r="I1305" s="1" t="s">
        <v>7455</v>
      </c>
      <c r="J1305" s="7">
        <v>45560</v>
      </c>
      <c r="K1305" s="1" t="s">
        <v>7455</v>
      </c>
    </row>
    <row r="1306" spans="1:11" x14ac:dyDescent="0.3">
      <c r="A1306" s="1">
        <v>1305</v>
      </c>
      <c r="B1306" s="1" t="s">
        <v>3957</v>
      </c>
      <c r="C1306" s="1" t="s">
        <v>3958</v>
      </c>
      <c r="F1306" s="1" t="s">
        <v>3959</v>
      </c>
      <c r="G1306" s="1">
        <v>1</v>
      </c>
      <c r="H1306" s="7">
        <v>45560</v>
      </c>
      <c r="I1306" s="1" t="s">
        <v>7455</v>
      </c>
      <c r="J1306" s="7">
        <v>45560</v>
      </c>
      <c r="K1306" s="1" t="s">
        <v>7455</v>
      </c>
    </row>
    <row r="1307" spans="1:11" x14ac:dyDescent="0.3">
      <c r="A1307" s="1">
        <v>1306</v>
      </c>
      <c r="B1307" s="1" t="s">
        <v>3960</v>
      </c>
      <c r="C1307" s="1" t="s">
        <v>3961</v>
      </c>
      <c r="F1307" s="1" t="s">
        <v>3962</v>
      </c>
      <c r="G1307" s="1">
        <v>1</v>
      </c>
      <c r="H1307" s="7">
        <v>45560</v>
      </c>
      <c r="I1307" s="1" t="s">
        <v>7455</v>
      </c>
      <c r="J1307" s="7">
        <v>45560</v>
      </c>
      <c r="K1307" s="1" t="s">
        <v>7455</v>
      </c>
    </row>
    <row r="1308" spans="1:11" x14ac:dyDescent="0.3">
      <c r="A1308" s="1">
        <v>1307</v>
      </c>
      <c r="B1308" s="1" t="s">
        <v>3963</v>
      </c>
      <c r="C1308" s="1" t="s">
        <v>3964</v>
      </c>
      <c r="F1308" s="1" t="s">
        <v>3965</v>
      </c>
      <c r="G1308" s="1">
        <v>1</v>
      </c>
      <c r="H1308" s="7">
        <v>45560</v>
      </c>
      <c r="I1308" s="1" t="s">
        <v>7455</v>
      </c>
      <c r="J1308" s="7">
        <v>45560</v>
      </c>
      <c r="K1308" s="1" t="s">
        <v>7455</v>
      </c>
    </row>
    <row r="1309" spans="1:11" x14ac:dyDescent="0.3">
      <c r="A1309" s="1">
        <v>1308</v>
      </c>
      <c r="B1309" s="1" t="s">
        <v>3966</v>
      </c>
      <c r="C1309" s="1" t="s">
        <v>3967</v>
      </c>
      <c r="F1309" s="1" t="s">
        <v>3968</v>
      </c>
      <c r="G1309" s="1">
        <v>1</v>
      </c>
      <c r="H1309" s="7">
        <v>45560</v>
      </c>
      <c r="I1309" s="1" t="s">
        <v>7455</v>
      </c>
      <c r="J1309" s="7">
        <v>45560</v>
      </c>
      <c r="K1309" s="1" t="s">
        <v>7455</v>
      </c>
    </row>
    <row r="1310" spans="1:11" x14ac:dyDescent="0.3">
      <c r="A1310" s="1">
        <v>1309</v>
      </c>
      <c r="B1310" s="1" t="s">
        <v>3969</v>
      </c>
      <c r="C1310" s="1" t="s">
        <v>3970</v>
      </c>
      <c r="F1310" s="1" t="s">
        <v>3971</v>
      </c>
      <c r="G1310" s="1">
        <v>1</v>
      </c>
      <c r="H1310" s="7">
        <v>45560</v>
      </c>
      <c r="I1310" s="1" t="s">
        <v>7455</v>
      </c>
      <c r="J1310" s="7">
        <v>45560</v>
      </c>
      <c r="K1310" s="1" t="s">
        <v>7455</v>
      </c>
    </row>
    <row r="1311" spans="1:11" x14ac:dyDescent="0.3">
      <c r="A1311" s="1">
        <v>1310</v>
      </c>
      <c r="B1311" s="1" t="s">
        <v>3972</v>
      </c>
      <c r="C1311" s="1" t="s">
        <v>3973</v>
      </c>
      <c r="F1311" s="1" t="s">
        <v>3974</v>
      </c>
      <c r="G1311" s="1">
        <v>1</v>
      </c>
      <c r="H1311" s="7">
        <v>45560</v>
      </c>
      <c r="I1311" s="1" t="s">
        <v>7455</v>
      </c>
      <c r="J1311" s="7">
        <v>45560</v>
      </c>
      <c r="K1311" s="1" t="s">
        <v>7455</v>
      </c>
    </row>
    <row r="1312" spans="1:11" x14ac:dyDescent="0.3">
      <c r="A1312" s="1">
        <v>1311</v>
      </c>
      <c r="B1312" s="1" t="s">
        <v>3975</v>
      </c>
      <c r="C1312" s="1" t="s">
        <v>3976</v>
      </c>
      <c r="D1312" s="1" t="s">
        <v>3977</v>
      </c>
      <c r="G1312" s="1">
        <v>1</v>
      </c>
      <c r="H1312" s="7">
        <v>45560</v>
      </c>
      <c r="I1312" s="1" t="s">
        <v>7455</v>
      </c>
      <c r="J1312" s="7">
        <v>45560</v>
      </c>
      <c r="K1312" s="1" t="s">
        <v>7455</v>
      </c>
    </row>
    <row r="1313" spans="1:11" x14ac:dyDescent="0.3">
      <c r="A1313" s="1">
        <v>1312</v>
      </c>
      <c r="B1313" s="1" t="s">
        <v>3978</v>
      </c>
      <c r="C1313" s="1" t="s">
        <v>3979</v>
      </c>
      <c r="D1313" s="1" t="s">
        <v>3980</v>
      </c>
      <c r="F1313" s="1" t="s">
        <v>3981</v>
      </c>
      <c r="G1313" s="1">
        <v>1</v>
      </c>
      <c r="H1313" s="7">
        <v>45560</v>
      </c>
      <c r="I1313" s="1" t="s">
        <v>7455</v>
      </c>
      <c r="J1313" s="7">
        <v>45560</v>
      </c>
      <c r="K1313" s="1" t="s">
        <v>7455</v>
      </c>
    </row>
    <row r="1314" spans="1:11" x14ac:dyDescent="0.3">
      <c r="A1314" s="1">
        <v>1313</v>
      </c>
      <c r="B1314" s="1" t="s">
        <v>3982</v>
      </c>
      <c r="C1314" s="1" t="s">
        <v>3983</v>
      </c>
      <c r="D1314" s="1" t="s">
        <v>3984</v>
      </c>
      <c r="G1314" s="1">
        <v>1</v>
      </c>
      <c r="H1314" s="7">
        <v>45560</v>
      </c>
      <c r="I1314" s="1" t="s">
        <v>7455</v>
      </c>
      <c r="J1314" s="7">
        <v>45560</v>
      </c>
      <c r="K1314" s="1" t="s">
        <v>7455</v>
      </c>
    </row>
    <row r="1315" spans="1:11" x14ac:dyDescent="0.3">
      <c r="A1315" s="1">
        <v>1314</v>
      </c>
      <c r="B1315" s="1" t="s">
        <v>3985</v>
      </c>
      <c r="C1315" s="1" t="s">
        <v>3986</v>
      </c>
      <c r="F1315" s="1" t="s">
        <v>3987</v>
      </c>
      <c r="G1315" s="1">
        <v>1</v>
      </c>
      <c r="H1315" s="7">
        <v>45560</v>
      </c>
      <c r="I1315" s="1" t="s">
        <v>7455</v>
      </c>
      <c r="J1315" s="7">
        <v>45560</v>
      </c>
      <c r="K1315" s="1" t="s">
        <v>7455</v>
      </c>
    </row>
    <row r="1316" spans="1:11" x14ac:dyDescent="0.3">
      <c r="A1316" s="1">
        <v>1315</v>
      </c>
      <c r="B1316" s="1" t="s">
        <v>3988</v>
      </c>
      <c r="C1316" s="1" t="s">
        <v>3989</v>
      </c>
      <c r="D1316" s="1" t="s">
        <v>3990</v>
      </c>
      <c r="F1316" s="1" t="s">
        <v>3991</v>
      </c>
      <c r="G1316" s="1">
        <v>1</v>
      </c>
      <c r="H1316" s="7">
        <v>45560</v>
      </c>
      <c r="I1316" s="1" t="s">
        <v>7455</v>
      </c>
      <c r="J1316" s="7">
        <v>45560</v>
      </c>
      <c r="K1316" s="1" t="s">
        <v>7455</v>
      </c>
    </row>
    <row r="1317" spans="1:11" x14ac:dyDescent="0.3">
      <c r="A1317" s="1">
        <v>1316</v>
      </c>
      <c r="B1317" s="1" t="s">
        <v>3992</v>
      </c>
      <c r="C1317" s="1" t="s">
        <v>3993</v>
      </c>
      <c r="E1317" s="1" t="s">
        <v>52</v>
      </c>
      <c r="G1317" s="1">
        <v>1</v>
      </c>
      <c r="H1317" s="7">
        <v>45560</v>
      </c>
      <c r="I1317" s="1" t="s">
        <v>7455</v>
      </c>
      <c r="J1317" s="7">
        <v>45560</v>
      </c>
      <c r="K1317" s="1" t="s">
        <v>7455</v>
      </c>
    </row>
    <row r="1318" spans="1:11" x14ac:dyDescent="0.3">
      <c r="A1318" s="1">
        <v>1317</v>
      </c>
      <c r="B1318" s="1" t="s">
        <v>3994</v>
      </c>
      <c r="C1318" s="1" t="s">
        <v>3995</v>
      </c>
      <c r="D1318" s="1" t="s">
        <v>3996</v>
      </c>
      <c r="F1318" s="1" t="s">
        <v>3997</v>
      </c>
      <c r="G1318" s="1">
        <v>1</v>
      </c>
      <c r="H1318" s="7">
        <v>45560</v>
      </c>
      <c r="I1318" s="1" t="s">
        <v>7455</v>
      </c>
      <c r="J1318" s="7">
        <v>45560</v>
      </c>
      <c r="K1318" s="1" t="s">
        <v>7455</v>
      </c>
    </row>
    <row r="1319" spans="1:11" x14ac:dyDescent="0.3">
      <c r="A1319" s="1">
        <v>1318</v>
      </c>
      <c r="B1319" s="1" t="s">
        <v>3998</v>
      </c>
      <c r="C1319" s="1" t="s">
        <v>3999</v>
      </c>
      <c r="D1319" s="1" t="s">
        <v>4000</v>
      </c>
      <c r="F1319" s="1" t="s">
        <v>4001</v>
      </c>
      <c r="G1319" s="1">
        <v>1</v>
      </c>
      <c r="H1319" s="7">
        <v>45560</v>
      </c>
      <c r="I1319" s="1" t="s">
        <v>7455</v>
      </c>
      <c r="J1319" s="7">
        <v>45560</v>
      </c>
      <c r="K1319" s="1" t="s">
        <v>7455</v>
      </c>
    </row>
    <row r="1320" spans="1:11" x14ac:dyDescent="0.3">
      <c r="A1320" s="1">
        <v>1319</v>
      </c>
      <c r="B1320" s="1" t="s">
        <v>4002</v>
      </c>
      <c r="C1320" s="1" t="s">
        <v>4003</v>
      </c>
      <c r="E1320" s="1" t="s">
        <v>52</v>
      </c>
      <c r="G1320" s="1">
        <v>1</v>
      </c>
      <c r="H1320" s="7">
        <v>45560</v>
      </c>
      <c r="I1320" s="1" t="s">
        <v>7455</v>
      </c>
      <c r="J1320" s="7">
        <v>45560</v>
      </c>
      <c r="K1320" s="1" t="s">
        <v>7455</v>
      </c>
    </row>
    <row r="1321" spans="1:11" x14ac:dyDescent="0.3">
      <c r="A1321" s="1">
        <v>1320</v>
      </c>
      <c r="B1321" s="1" t="s">
        <v>4004</v>
      </c>
      <c r="C1321" s="1" t="s">
        <v>4005</v>
      </c>
      <c r="D1321" s="1" t="s">
        <v>4006</v>
      </c>
      <c r="F1321" s="1" t="s">
        <v>4007</v>
      </c>
      <c r="G1321" s="1">
        <v>1</v>
      </c>
      <c r="H1321" s="7">
        <v>45560</v>
      </c>
      <c r="I1321" s="1" t="s">
        <v>7455</v>
      </c>
      <c r="J1321" s="7">
        <v>45560</v>
      </c>
      <c r="K1321" s="1" t="s">
        <v>7455</v>
      </c>
    </row>
    <row r="1322" spans="1:11" x14ac:dyDescent="0.3">
      <c r="A1322" s="1">
        <v>1321</v>
      </c>
      <c r="B1322" s="1" t="s">
        <v>4008</v>
      </c>
      <c r="C1322" s="1" t="s">
        <v>4009</v>
      </c>
      <c r="F1322" s="1" t="s">
        <v>4010</v>
      </c>
      <c r="G1322" s="1">
        <v>1</v>
      </c>
      <c r="H1322" s="7">
        <v>45560</v>
      </c>
      <c r="I1322" s="1" t="s">
        <v>7455</v>
      </c>
      <c r="J1322" s="7">
        <v>45560</v>
      </c>
      <c r="K1322" s="1" t="s">
        <v>7455</v>
      </c>
    </row>
    <row r="1323" spans="1:11" x14ac:dyDescent="0.3">
      <c r="A1323" s="1">
        <v>1322</v>
      </c>
      <c r="B1323" s="1" t="s">
        <v>4011</v>
      </c>
      <c r="C1323" s="1" t="s">
        <v>4012</v>
      </c>
      <c r="D1323" s="1" t="s">
        <v>4013</v>
      </c>
      <c r="F1323" s="1" t="s">
        <v>4014</v>
      </c>
      <c r="G1323" s="1">
        <v>1</v>
      </c>
      <c r="H1323" s="7">
        <v>45560</v>
      </c>
      <c r="I1323" s="1" t="s">
        <v>7455</v>
      </c>
      <c r="J1323" s="7">
        <v>45560</v>
      </c>
      <c r="K1323" s="1" t="s">
        <v>7455</v>
      </c>
    </row>
    <row r="1324" spans="1:11" x14ac:dyDescent="0.3">
      <c r="A1324" s="1">
        <v>1323</v>
      </c>
      <c r="B1324" s="1" t="s">
        <v>4015</v>
      </c>
      <c r="C1324" s="1" t="s">
        <v>4016</v>
      </c>
      <c r="D1324" s="1" t="s">
        <v>4017</v>
      </c>
      <c r="F1324" s="1" t="s">
        <v>4018</v>
      </c>
      <c r="G1324" s="1">
        <v>1</v>
      </c>
      <c r="H1324" s="7">
        <v>45560</v>
      </c>
      <c r="I1324" s="1" t="s">
        <v>7455</v>
      </c>
      <c r="J1324" s="7">
        <v>45560</v>
      </c>
      <c r="K1324" s="1" t="s">
        <v>7455</v>
      </c>
    </row>
    <row r="1325" spans="1:11" x14ac:dyDescent="0.3">
      <c r="A1325" s="1">
        <v>1324</v>
      </c>
      <c r="B1325" s="1" t="s">
        <v>4019</v>
      </c>
      <c r="C1325" s="1" t="s">
        <v>4020</v>
      </c>
      <c r="G1325" s="1">
        <v>1</v>
      </c>
      <c r="H1325" s="7">
        <v>45560</v>
      </c>
      <c r="I1325" s="1" t="s">
        <v>7455</v>
      </c>
      <c r="J1325" s="7">
        <v>45560</v>
      </c>
      <c r="K1325" s="1" t="s">
        <v>7455</v>
      </c>
    </row>
    <row r="1326" spans="1:11" x14ac:dyDescent="0.3">
      <c r="A1326" s="1">
        <v>1325</v>
      </c>
      <c r="B1326" s="1" t="s">
        <v>4021</v>
      </c>
      <c r="C1326" s="1" t="s">
        <v>4022</v>
      </c>
      <c r="D1326" s="1" t="s">
        <v>4023</v>
      </c>
      <c r="G1326" s="1">
        <v>1</v>
      </c>
      <c r="H1326" s="7">
        <v>45560</v>
      </c>
      <c r="I1326" s="1" t="s">
        <v>7455</v>
      </c>
      <c r="J1326" s="7">
        <v>45560</v>
      </c>
      <c r="K1326" s="1" t="s">
        <v>7455</v>
      </c>
    </row>
    <row r="1327" spans="1:11" x14ac:dyDescent="0.3">
      <c r="A1327" s="1">
        <v>1326</v>
      </c>
      <c r="B1327" s="1" t="s">
        <v>4024</v>
      </c>
      <c r="C1327" s="1" t="s">
        <v>4025</v>
      </c>
      <c r="D1327" s="1" t="s">
        <v>4026</v>
      </c>
      <c r="G1327" s="1">
        <v>1</v>
      </c>
      <c r="H1327" s="7">
        <v>45560</v>
      </c>
      <c r="I1327" s="1" t="s">
        <v>7455</v>
      </c>
      <c r="J1327" s="7">
        <v>45560</v>
      </c>
      <c r="K1327" s="1" t="s">
        <v>7455</v>
      </c>
    </row>
    <row r="1328" spans="1:11" x14ac:dyDescent="0.3">
      <c r="A1328" s="1">
        <v>1327</v>
      </c>
      <c r="B1328" s="1" t="s">
        <v>4027</v>
      </c>
      <c r="C1328" s="1" t="s">
        <v>4028</v>
      </c>
      <c r="D1328" s="1" t="s">
        <v>4029</v>
      </c>
      <c r="G1328" s="1">
        <v>1</v>
      </c>
      <c r="H1328" s="7">
        <v>45560</v>
      </c>
      <c r="I1328" s="1" t="s">
        <v>7455</v>
      </c>
      <c r="J1328" s="7">
        <v>45560</v>
      </c>
      <c r="K1328" s="1" t="s">
        <v>7455</v>
      </c>
    </row>
    <row r="1329" spans="1:11" x14ac:dyDescent="0.3">
      <c r="A1329" s="1">
        <v>1328</v>
      </c>
      <c r="B1329" s="1" t="s">
        <v>4030</v>
      </c>
      <c r="C1329" s="1" t="s">
        <v>4031</v>
      </c>
      <c r="F1329" s="1" t="s">
        <v>4032</v>
      </c>
      <c r="G1329" s="1">
        <v>1</v>
      </c>
      <c r="H1329" s="7">
        <v>45560</v>
      </c>
      <c r="I1329" s="1" t="s">
        <v>7455</v>
      </c>
      <c r="J1329" s="7">
        <v>45560</v>
      </c>
      <c r="K1329" s="1" t="s">
        <v>7455</v>
      </c>
    </row>
    <row r="1330" spans="1:11" x14ac:dyDescent="0.3">
      <c r="A1330" s="1">
        <v>1329</v>
      </c>
      <c r="B1330" s="1" t="s">
        <v>4033</v>
      </c>
      <c r="C1330" s="1" t="s">
        <v>4034</v>
      </c>
      <c r="F1330" s="1" t="s">
        <v>4035</v>
      </c>
      <c r="G1330" s="1">
        <v>1</v>
      </c>
      <c r="H1330" s="7">
        <v>45560</v>
      </c>
      <c r="I1330" s="1" t="s">
        <v>7455</v>
      </c>
      <c r="J1330" s="7">
        <v>45560</v>
      </c>
      <c r="K1330" s="1" t="s">
        <v>7455</v>
      </c>
    </row>
    <row r="1331" spans="1:11" x14ac:dyDescent="0.3">
      <c r="A1331" s="1">
        <v>1330</v>
      </c>
      <c r="B1331" s="1" t="s">
        <v>4036</v>
      </c>
      <c r="C1331" s="1" t="s">
        <v>4037</v>
      </c>
      <c r="D1331" s="1" t="s">
        <v>4038</v>
      </c>
      <c r="G1331" s="1">
        <v>1</v>
      </c>
      <c r="H1331" s="7">
        <v>45560</v>
      </c>
      <c r="I1331" s="1" t="s">
        <v>7455</v>
      </c>
      <c r="J1331" s="7">
        <v>45560</v>
      </c>
      <c r="K1331" s="1" t="s">
        <v>7455</v>
      </c>
    </row>
    <row r="1332" spans="1:11" x14ac:dyDescent="0.3">
      <c r="A1332" s="1">
        <v>1331</v>
      </c>
      <c r="B1332" s="1" t="s">
        <v>4039</v>
      </c>
      <c r="C1332" s="1" t="s">
        <v>4040</v>
      </c>
      <c r="D1332" s="1" t="s">
        <v>4041</v>
      </c>
      <c r="F1332" s="1" t="s">
        <v>4042</v>
      </c>
      <c r="G1332" s="1">
        <v>1</v>
      </c>
      <c r="H1332" s="7">
        <v>45560</v>
      </c>
      <c r="I1332" s="1" t="s">
        <v>7455</v>
      </c>
      <c r="J1332" s="7">
        <v>45560</v>
      </c>
      <c r="K1332" s="1" t="s">
        <v>7455</v>
      </c>
    </row>
    <row r="1333" spans="1:11" x14ac:dyDescent="0.3">
      <c r="A1333" s="1">
        <v>1332</v>
      </c>
      <c r="B1333" s="1" t="s">
        <v>4043</v>
      </c>
      <c r="C1333" s="1" t="s">
        <v>4044</v>
      </c>
      <c r="D1333" s="1" t="s">
        <v>4045</v>
      </c>
      <c r="F1333" s="1" t="s">
        <v>4046</v>
      </c>
      <c r="G1333" s="1">
        <v>1</v>
      </c>
      <c r="H1333" s="7">
        <v>45560</v>
      </c>
      <c r="I1333" s="1" t="s">
        <v>7455</v>
      </c>
      <c r="J1333" s="7">
        <v>45560</v>
      </c>
      <c r="K1333" s="1" t="s">
        <v>7455</v>
      </c>
    </row>
    <row r="1334" spans="1:11" x14ac:dyDescent="0.3">
      <c r="A1334" s="1">
        <v>1333</v>
      </c>
      <c r="B1334" s="1" t="s">
        <v>4047</v>
      </c>
      <c r="C1334" s="1" t="s">
        <v>4048</v>
      </c>
      <c r="F1334" s="1" t="s">
        <v>4049</v>
      </c>
      <c r="G1334" s="1">
        <v>1</v>
      </c>
      <c r="H1334" s="7">
        <v>45560</v>
      </c>
      <c r="I1334" s="1" t="s">
        <v>7455</v>
      </c>
      <c r="J1334" s="7">
        <v>45560</v>
      </c>
      <c r="K1334" s="1" t="s">
        <v>7455</v>
      </c>
    </row>
    <row r="1335" spans="1:11" x14ac:dyDescent="0.3">
      <c r="A1335" s="1">
        <v>1334</v>
      </c>
      <c r="B1335" s="1" t="s">
        <v>4050</v>
      </c>
      <c r="C1335" s="1" t="s">
        <v>4051</v>
      </c>
      <c r="D1335" s="1" t="s">
        <v>4052</v>
      </c>
      <c r="F1335" s="1" t="s">
        <v>4053</v>
      </c>
      <c r="G1335" s="1">
        <v>1</v>
      </c>
      <c r="H1335" s="7">
        <v>45560</v>
      </c>
      <c r="I1335" s="1" t="s">
        <v>7455</v>
      </c>
      <c r="J1335" s="7">
        <v>45560</v>
      </c>
      <c r="K1335" s="1" t="s">
        <v>7455</v>
      </c>
    </row>
    <row r="1336" spans="1:11" x14ac:dyDescent="0.3">
      <c r="A1336" s="1">
        <v>1335</v>
      </c>
      <c r="B1336" s="1" t="s">
        <v>4054</v>
      </c>
      <c r="C1336" s="1" t="s">
        <v>4055</v>
      </c>
      <c r="D1336" s="1" t="s">
        <v>4056</v>
      </c>
      <c r="F1336" s="1" t="s">
        <v>4057</v>
      </c>
      <c r="G1336" s="1">
        <v>1</v>
      </c>
      <c r="H1336" s="7">
        <v>45560</v>
      </c>
      <c r="I1336" s="1" t="s">
        <v>7455</v>
      </c>
      <c r="J1336" s="7">
        <v>45560</v>
      </c>
      <c r="K1336" s="1" t="s">
        <v>7455</v>
      </c>
    </row>
    <row r="1337" spans="1:11" x14ac:dyDescent="0.3">
      <c r="A1337" s="1">
        <v>1336</v>
      </c>
      <c r="B1337" s="1" t="s">
        <v>4058</v>
      </c>
      <c r="C1337" s="1" t="s">
        <v>4059</v>
      </c>
      <c r="D1337" s="1" t="s">
        <v>4060</v>
      </c>
      <c r="F1337" s="1" t="s">
        <v>4061</v>
      </c>
      <c r="G1337" s="1">
        <v>1</v>
      </c>
      <c r="H1337" s="7">
        <v>45560</v>
      </c>
      <c r="I1337" s="1" t="s">
        <v>7455</v>
      </c>
      <c r="J1337" s="7">
        <v>45560</v>
      </c>
      <c r="K1337" s="1" t="s">
        <v>7455</v>
      </c>
    </row>
    <row r="1338" spans="1:11" x14ac:dyDescent="0.3">
      <c r="A1338" s="1">
        <v>1337</v>
      </c>
      <c r="B1338" s="1" t="s">
        <v>4062</v>
      </c>
      <c r="C1338" s="1" t="s">
        <v>4063</v>
      </c>
      <c r="D1338" s="1" t="s">
        <v>4064</v>
      </c>
      <c r="F1338" s="1" t="s">
        <v>4065</v>
      </c>
      <c r="G1338" s="1">
        <v>1</v>
      </c>
      <c r="H1338" s="7">
        <v>45560</v>
      </c>
      <c r="I1338" s="1" t="s">
        <v>7455</v>
      </c>
      <c r="J1338" s="7">
        <v>45560</v>
      </c>
      <c r="K1338" s="1" t="s">
        <v>7455</v>
      </c>
    </row>
    <row r="1339" spans="1:11" x14ac:dyDescent="0.3">
      <c r="A1339" s="1">
        <v>1338</v>
      </c>
      <c r="B1339" s="1" t="s">
        <v>4066</v>
      </c>
      <c r="C1339" s="1" t="s">
        <v>4067</v>
      </c>
      <c r="F1339" s="1" t="s">
        <v>4068</v>
      </c>
      <c r="G1339" s="1">
        <v>1</v>
      </c>
      <c r="H1339" s="7">
        <v>45560</v>
      </c>
      <c r="I1339" s="1" t="s">
        <v>7455</v>
      </c>
      <c r="J1339" s="7">
        <v>45560</v>
      </c>
      <c r="K1339" s="1" t="s">
        <v>7455</v>
      </c>
    </row>
    <row r="1340" spans="1:11" x14ac:dyDescent="0.3">
      <c r="A1340" s="1">
        <v>1339</v>
      </c>
      <c r="B1340" s="1" t="s">
        <v>4069</v>
      </c>
      <c r="C1340" s="1" t="s">
        <v>4070</v>
      </c>
      <c r="D1340" s="1" t="s">
        <v>4071</v>
      </c>
      <c r="G1340" s="1">
        <v>1</v>
      </c>
      <c r="H1340" s="7">
        <v>45560</v>
      </c>
      <c r="I1340" s="1" t="s">
        <v>7455</v>
      </c>
      <c r="J1340" s="7">
        <v>45560</v>
      </c>
      <c r="K1340" s="1" t="s">
        <v>7455</v>
      </c>
    </row>
    <row r="1341" spans="1:11" x14ac:dyDescent="0.3">
      <c r="A1341" s="1">
        <v>1340</v>
      </c>
      <c r="B1341" s="1" t="s">
        <v>4072</v>
      </c>
      <c r="C1341" s="1" t="s">
        <v>4073</v>
      </c>
      <c r="D1341" s="1" t="s">
        <v>4074</v>
      </c>
      <c r="F1341" s="1" t="s">
        <v>4075</v>
      </c>
      <c r="G1341" s="1">
        <v>1</v>
      </c>
      <c r="H1341" s="7">
        <v>45560</v>
      </c>
      <c r="I1341" s="1" t="s">
        <v>7455</v>
      </c>
      <c r="J1341" s="7">
        <v>45560</v>
      </c>
      <c r="K1341" s="1" t="s">
        <v>7455</v>
      </c>
    </row>
    <row r="1342" spans="1:11" x14ac:dyDescent="0.3">
      <c r="A1342" s="1">
        <v>1341</v>
      </c>
      <c r="B1342" s="1" t="s">
        <v>4076</v>
      </c>
      <c r="C1342" s="1" t="s">
        <v>4077</v>
      </c>
      <c r="D1342" s="1" t="s">
        <v>4078</v>
      </c>
      <c r="G1342" s="1">
        <v>1</v>
      </c>
      <c r="H1342" s="7">
        <v>45560</v>
      </c>
      <c r="I1342" s="1" t="s">
        <v>7455</v>
      </c>
      <c r="J1342" s="7">
        <v>45560</v>
      </c>
      <c r="K1342" s="1" t="s">
        <v>7455</v>
      </c>
    </row>
    <row r="1343" spans="1:11" x14ac:dyDescent="0.3">
      <c r="A1343" s="1">
        <v>1342</v>
      </c>
      <c r="B1343" s="1" t="s">
        <v>4079</v>
      </c>
      <c r="C1343" s="1" t="s">
        <v>4080</v>
      </c>
      <c r="F1343" s="1" t="s">
        <v>4081</v>
      </c>
      <c r="G1343" s="1">
        <v>1</v>
      </c>
      <c r="H1343" s="7">
        <v>45560</v>
      </c>
      <c r="I1343" s="1" t="s">
        <v>7455</v>
      </c>
      <c r="J1343" s="7">
        <v>45560</v>
      </c>
      <c r="K1343" s="1" t="s">
        <v>7455</v>
      </c>
    </row>
    <row r="1344" spans="1:11" x14ac:dyDescent="0.3">
      <c r="A1344" s="1">
        <v>1343</v>
      </c>
      <c r="B1344" s="1" t="s">
        <v>4082</v>
      </c>
      <c r="C1344" s="1" t="s">
        <v>4083</v>
      </c>
      <c r="D1344" s="1" t="s">
        <v>4084</v>
      </c>
      <c r="F1344" s="1" t="s">
        <v>4085</v>
      </c>
      <c r="G1344" s="1">
        <v>1</v>
      </c>
      <c r="H1344" s="7">
        <v>45560</v>
      </c>
      <c r="I1344" s="1" t="s">
        <v>7455</v>
      </c>
      <c r="J1344" s="7">
        <v>45560</v>
      </c>
      <c r="K1344" s="1" t="s">
        <v>7455</v>
      </c>
    </row>
    <row r="1345" spans="1:11" x14ac:dyDescent="0.3">
      <c r="A1345" s="1">
        <v>1344</v>
      </c>
      <c r="B1345" s="1" t="s">
        <v>4086</v>
      </c>
      <c r="C1345" s="1" t="s">
        <v>4087</v>
      </c>
      <c r="D1345" s="1" t="s">
        <v>4088</v>
      </c>
      <c r="F1345" s="1" t="s">
        <v>4089</v>
      </c>
      <c r="G1345" s="1">
        <v>1</v>
      </c>
      <c r="H1345" s="7">
        <v>45560</v>
      </c>
      <c r="I1345" s="1" t="s">
        <v>7455</v>
      </c>
      <c r="J1345" s="7">
        <v>45560</v>
      </c>
      <c r="K1345" s="1" t="s">
        <v>7455</v>
      </c>
    </row>
    <row r="1346" spans="1:11" x14ac:dyDescent="0.3">
      <c r="A1346" s="1">
        <v>1345</v>
      </c>
      <c r="B1346" s="1" t="s">
        <v>4090</v>
      </c>
      <c r="C1346" s="1" t="s">
        <v>4091</v>
      </c>
      <c r="D1346" s="1" t="s">
        <v>4092</v>
      </c>
      <c r="G1346" s="1">
        <v>1</v>
      </c>
      <c r="H1346" s="7">
        <v>45560</v>
      </c>
      <c r="I1346" s="1" t="s">
        <v>7455</v>
      </c>
      <c r="J1346" s="7">
        <v>45560</v>
      </c>
      <c r="K1346" s="1" t="s">
        <v>7455</v>
      </c>
    </row>
    <row r="1347" spans="1:11" x14ac:dyDescent="0.3">
      <c r="A1347" s="1">
        <v>1346</v>
      </c>
      <c r="B1347" s="1" t="s">
        <v>4093</v>
      </c>
      <c r="C1347" s="1" t="s">
        <v>4094</v>
      </c>
      <c r="F1347" s="1" t="s">
        <v>4095</v>
      </c>
      <c r="G1347" s="1">
        <v>1</v>
      </c>
      <c r="H1347" s="7">
        <v>45560</v>
      </c>
      <c r="I1347" s="1" t="s">
        <v>7455</v>
      </c>
      <c r="J1347" s="7">
        <v>45560</v>
      </c>
      <c r="K1347" s="1" t="s">
        <v>7455</v>
      </c>
    </row>
    <row r="1348" spans="1:11" x14ac:dyDescent="0.3">
      <c r="A1348" s="1">
        <v>1347</v>
      </c>
      <c r="B1348" s="1" t="s">
        <v>4096</v>
      </c>
      <c r="C1348" s="1" t="s">
        <v>4097</v>
      </c>
      <c r="E1348" s="1" t="s">
        <v>52</v>
      </c>
      <c r="G1348" s="1">
        <v>1</v>
      </c>
      <c r="H1348" s="7">
        <v>45560</v>
      </c>
      <c r="I1348" s="1" t="s">
        <v>7455</v>
      </c>
      <c r="J1348" s="7">
        <v>45560</v>
      </c>
      <c r="K1348" s="1" t="s">
        <v>7455</v>
      </c>
    </row>
    <row r="1349" spans="1:11" x14ac:dyDescent="0.3">
      <c r="A1349" s="1">
        <v>1348</v>
      </c>
      <c r="B1349" s="1" t="s">
        <v>4098</v>
      </c>
      <c r="C1349" s="1" t="s">
        <v>4099</v>
      </c>
      <c r="D1349" s="1" t="s">
        <v>4100</v>
      </c>
      <c r="F1349" s="1" t="s">
        <v>4101</v>
      </c>
      <c r="G1349" s="1">
        <v>1</v>
      </c>
      <c r="H1349" s="7">
        <v>45560</v>
      </c>
      <c r="I1349" s="1" t="s">
        <v>7455</v>
      </c>
      <c r="J1349" s="7">
        <v>45560</v>
      </c>
      <c r="K1349" s="1" t="s">
        <v>7455</v>
      </c>
    </row>
    <row r="1350" spans="1:11" x14ac:dyDescent="0.3">
      <c r="A1350" s="1">
        <v>1349</v>
      </c>
      <c r="B1350" s="1" t="s">
        <v>4102</v>
      </c>
      <c r="C1350" s="1" t="s">
        <v>4103</v>
      </c>
      <c r="D1350" s="1" t="s">
        <v>4104</v>
      </c>
      <c r="F1350" s="1" t="s">
        <v>4105</v>
      </c>
      <c r="G1350" s="1">
        <v>1</v>
      </c>
      <c r="H1350" s="7">
        <v>45560</v>
      </c>
      <c r="I1350" s="1" t="s">
        <v>7455</v>
      </c>
      <c r="J1350" s="7">
        <v>45560</v>
      </c>
      <c r="K1350" s="1" t="s">
        <v>7455</v>
      </c>
    </row>
    <row r="1351" spans="1:11" x14ac:dyDescent="0.3">
      <c r="A1351" s="1">
        <v>1350</v>
      </c>
      <c r="B1351" s="1" t="s">
        <v>4106</v>
      </c>
      <c r="C1351" s="1" t="s">
        <v>4107</v>
      </c>
      <c r="D1351" s="1" t="s">
        <v>4108</v>
      </c>
      <c r="G1351" s="1">
        <v>1</v>
      </c>
      <c r="H1351" s="7">
        <v>45560</v>
      </c>
      <c r="I1351" s="1" t="s">
        <v>7455</v>
      </c>
      <c r="J1351" s="7">
        <v>45560</v>
      </c>
      <c r="K1351" s="1" t="s">
        <v>7455</v>
      </c>
    </row>
    <row r="1352" spans="1:11" x14ac:dyDescent="0.3">
      <c r="A1352" s="1">
        <v>1351</v>
      </c>
      <c r="B1352" s="1" t="s">
        <v>4109</v>
      </c>
      <c r="C1352" s="1" t="s">
        <v>4110</v>
      </c>
      <c r="F1352" s="1" t="s">
        <v>4111</v>
      </c>
      <c r="G1352" s="1">
        <v>1</v>
      </c>
      <c r="H1352" s="7">
        <v>45560</v>
      </c>
      <c r="I1352" s="1" t="s">
        <v>7455</v>
      </c>
      <c r="J1352" s="7">
        <v>45560</v>
      </c>
      <c r="K1352" s="1" t="s">
        <v>7455</v>
      </c>
    </row>
    <row r="1353" spans="1:11" x14ac:dyDescent="0.3">
      <c r="A1353" s="1">
        <v>1352</v>
      </c>
      <c r="B1353" s="1" t="s">
        <v>4112</v>
      </c>
      <c r="C1353" s="1" t="s">
        <v>4113</v>
      </c>
      <c r="D1353" s="1" t="s">
        <v>4114</v>
      </c>
      <c r="F1353" s="1" t="s">
        <v>4115</v>
      </c>
      <c r="G1353" s="1">
        <v>1</v>
      </c>
      <c r="H1353" s="7">
        <v>45560</v>
      </c>
      <c r="I1353" s="1" t="s">
        <v>7455</v>
      </c>
      <c r="J1353" s="7">
        <v>45560</v>
      </c>
      <c r="K1353" s="1" t="s">
        <v>7455</v>
      </c>
    </row>
    <row r="1354" spans="1:11" x14ac:dyDescent="0.3">
      <c r="A1354" s="1">
        <v>1353</v>
      </c>
      <c r="B1354" s="1" t="s">
        <v>4116</v>
      </c>
      <c r="C1354" s="1" t="s">
        <v>4117</v>
      </c>
      <c r="F1354" s="1" t="s">
        <v>4118</v>
      </c>
      <c r="G1354" s="1">
        <v>1</v>
      </c>
      <c r="H1354" s="7">
        <v>45560</v>
      </c>
      <c r="I1354" s="1" t="s">
        <v>7455</v>
      </c>
      <c r="J1354" s="7">
        <v>45560</v>
      </c>
      <c r="K1354" s="1" t="s">
        <v>7455</v>
      </c>
    </row>
    <row r="1355" spans="1:11" x14ac:dyDescent="0.3">
      <c r="A1355" s="1">
        <v>1354</v>
      </c>
      <c r="B1355" s="1" t="s">
        <v>4119</v>
      </c>
      <c r="C1355" s="1" t="s">
        <v>4120</v>
      </c>
      <c r="F1355" s="1" t="s">
        <v>4121</v>
      </c>
      <c r="G1355" s="1">
        <v>1</v>
      </c>
      <c r="H1355" s="7">
        <v>45560</v>
      </c>
      <c r="I1355" s="1" t="s">
        <v>7455</v>
      </c>
      <c r="J1355" s="7">
        <v>45560</v>
      </c>
      <c r="K1355" s="1" t="s">
        <v>7455</v>
      </c>
    </row>
    <row r="1356" spans="1:11" x14ac:dyDescent="0.3">
      <c r="A1356" s="1">
        <v>1355</v>
      </c>
      <c r="B1356" s="1" t="s">
        <v>4122</v>
      </c>
      <c r="C1356" s="1" t="s">
        <v>4123</v>
      </c>
      <c r="F1356" s="1" t="s">
        <v>4124</v>
      </c>
      <c r="G1356" s="1">
        <v>1</v>
      </c>
      <c r="H1356" s="7">
        <v>45560</v>
      </c>
      <c r="I1356" s="1" t="s">
        <v>7455</v>
      </c>
      <c r="J1356" s="7">
        <v>45560</v>
      </c>
      <c r="K1356" s="1" t="s">
        <v>7455</v>
      </c>
    </row>
    <row r="1357" spans="1:11" x14ac:dyDescent="0.3">
      <c r="A1357" s="1">
        <v>1356</v>
      </c>
      <c r="B1357" s="1" t="s">
        <v>4125</v>
      </c>
      <c r="C1357" s="1" t="s">
        <v>4126</v>
      </c>
      <c r="F1357" s="1" t="s">
        <v>4127</v>
      </c>
      <c r="G1357" s="1">
        <v>1</v>
      </c>
      <c r="H1357" s="7">
        <v>45560</v>
      </c>
      <c r="I1357" s="1" t="s">
        <v>7455</v>
      </c>
      <c r="J1357" s="7">
        <v>45560</v>
      </c>
      <c r="K1357" s="1" t="s">
        <v>7455</v>
      </c>
    </row>
    <row r="1358" spans="1:11" x14ac:dyDescent="0.3">
      <c r="A1358" s="1">
        <v>1357</v>
      </c>
      <c r="B1358" s="1" t="s">
        <v>4128</v>
      </c>
      <c r="C1358" s="1" t="s">
        <v>4129</v>
      </c>
      <c r="F1358" s="1" t="s">
        <v>4130</v>
      </c>
      <c r="G1358" s="1">
        <v>1</v>
      </c>
      <c r="H1358" s="7">
        <v>45560</v>
      </c>
      <c r="I1358" s="1" t="s">
        <v>7455</v>
      </c>
      <c r="J1358" s="7">
        <v>45560</v>
      </c>
      <c r="K1358" s="1" t="s">
        <v>7455</v>
      </c>
    </row>
    <row r="1359" spans="1:11" x14ac:dyDescent="0.3">
      <c r="A1359" s="1">
        <v>1358</v>
      </c>
      <c r="B1359" s="1" t="s">
        <v>4131</v>
      </c>
      <c r="C1359" s="1" t="s">
        <v>4132</v>
      </c>
      <c r="D1359" s="1" t="s">
        <v>4133</v>
      </c>
      <c r="E1359" s="1" t="s">
        <v>4134</v>
      </c>
      <c r="G1359" s="1">
        <v>1</v>
      </c>
      <c r="H1359" s="7">
        <v>45560</v>
      </c>
      <c r="I1359" s="1" t="s">
        <v>7455</v>
      </c>
      <c r="J1359" s="7">
        <v>45560</v>
      </c>
      <c r="K1359" s="1" t="s">
        <v>7455</v>
      </c>
    </row>
    <row r="1360" spans="1:11" x14ac:dyDescent="0.3">
      <c r="A1360" s="1">
        <v>1359</v>
      </c>
      <c r="B1360" s="1" t="s">
        <v>4135</v>
      </c>
      <c r="C1360" s="1" t="s">
        <v>4136</v>
      </c>
      <c r="D1360" s="1" t="s">
        <v>4137</v>
      </c>
      <c r="F1360" s="1" t="s">
        <v>4138</v>
      </c>
      <c r="G1360" s="1">
        <v>1</v>
      </c>
      <c r="H1360" s="7">
        <v>45560</v>
      </c>
      <c r="I1360" s="1" t="s">
        <v>7455</v>
      </c>
      <c r="J1360" s="7">
        <v>45560</v>
      </c>
      <c r="K1360" s="1" t="s">
        <v>7455</v>
      </c>
    </row>
    <row r="1361" spans="1:11" x14ac:dyDescent="0.3">
      <c r="A1361" s="1">
        <v>1360</v>
      </c>
      <c r="B1361" s="1" t="s">
        <v>4139</v>
      </c>
      <c r="C1361" s="1" t="s">
        <v>4140</v>
      </c>
      <c r="D1361" s="1" t="s">
        <v>4141</v>
      </c>
      <c r="E1361" s="1" t="s">
        <v>4134</v>
      </c>
      <c r="G1361" s="1">
        <v>1</v>
      </c>
      <c r="H1361" s="7">
        <v>45560</v>
      </c>
      <c r="I1361" s="1" t="s">
        <v>7455</v>
      </c>
      <c r="J1361" s="7">
        <v>45560</v>
      </c>
      <c r="K1361" s="1" t="s">
        <v>7455</v>
      </c>
    </row>
    <row r="1362" spans="1:11" x14ac:dyDescent="0.3">
      <c r="A1362" s="1">
        <v>1361</v>
      </c>
      <c r="B1362" s="1" t="s">
        <v>4142</v>
      </c>
      <c r="C1362" s="1" t="s">
        <v>4143</v>
      </c>
      <c r="F1362" s="1" t="s">
        <v>4144</v>
      </c>
      <c r="G1362" s="1">
        <v>1</v>
      </c>
      <c r="H1362" s="7">
        <v>45560</v>
      </c>
      <c r="I1362" s="1" t="s">
        <v>7455</v>
      </c>
      <c r="J1362" s="7">
        <v>45560</v>
      </c>
      <c r="K1362" s="1" t="s">
        <v>7455</v>
      </c>
    </row>
    <row r="1363" spans="1:11" x14ac:dyDescent="0.3">
      <c r="A1363" s="1">
        <v>1362</v>
      </c>
      <c r="B1363" s="1" t="s">
        <v>4145</v>
      </c>
      <c r="C1363" s="1" t="s">
        <v>4146</v>
      </c>
      <c r="F1363" s="1" t="s">
        <v>4147</v>
      </c>
      <c r="G1363" s="1">
        <v>1</v>
      </c>
      <c r="H1363" s="7">
        <v>45560</v>
      </c>
      <c r="I1363" s="1" t="s">
        <v>7455</v>
      </c>
      <c r="J1363" s="7">
        <v>45560</v>
      </c>
      <c r="K1363" s="1" t="s">
        <v>7455</v>
      </c>
    </row>
    <row r="1364" spans="1:11" x14ac:dyDescent="0.3">
      <c r="A1364" s="1">
        <v>1363</v>
      </c>
      <c r="B1364" s="1" t="s">
        <v>4148</v>
      </c>
      <c r="C1364" s="1" t="s">
        <v>4149</v>
      </c>
      <c r="F1364" s="1" t="s">
        <v>4150</v>
      </c>
      <c r="G1364" s="1">
        <v>1</v>
      </c>
      <c r="H1364" s="7">
        <v>45560</v>
      </c>
      <c r="I1364" s="1" t="s">
        <v>7455</v>
      </c>
      <c r="J1364" s="7">
        <v>45560</v>
      </c>
      <c r="K1364" s="1" t="s">
        <v>7455</v>
      </c>
    </row>
    <row r="1365" spans="1:11" x14ac:dyDescent="0.3">
      <c r="A1365" s="1">
        <v>1364</v>
      </c>
      <c r="B1365" s="1" t="s">
        <v>4151</v>
      </c>
      <c r="C1365" s="1" t="s">
        <v>4152</v>
      </c>
      <c r="F1365" s="1" t="s">
        <v>4153</v>
      </c>
      <c r="G1365" s="1">
        <v>1</v>
      </c>
      <c r="H1365" s="7">
        <v>45560</v>
      </c>
      <c r="I1365" s="1" t="s">
        <v>7455</v>
      </c>
      <c r="J1365" s="7">
        <v>45560</v>
      </c>
      <c r="K1365" s="1" t="s">
        <v>7455</v>
      </c>
    </row>
    <row r="1366" spans="1:11" x14ac:dyDescent="0.3">
      <c r="A1366" s="1">
        <v>1365</v>
      </c>
      <c r="B1366" s="1" t="s">
        <v>4154</v>
      </c>
      <c r="C1366" s="1" t="s">
        <v>4155</v>
      </c>
      <c r="F1366" s="1" t="s">
        <v>4156</v>
      </c>
      <c r="G1366" s="1">
        <v>1</v>
      </c>
      <c r="H1366" s="7">
        <v>45560</v>
      </c>
      <c r="I1366" s="1" t="s">
        <v>7455</v>
      </c>
      <c r="J1366" s="7">
        <v>45560</v>
      </c>
      <c r="K1366" s="1" t="s">
        <v>7455</v>
      </c>
    </row>
    <row r="1367" spans="1:11" x14ac:dyDescent="0.3">
      <c r="A1367" s="1">
        <v>1366</v>
      </c>
      <c r="B1367" s="1" t="s">
        <v>4157</v>
      </c>
      <c r="C1367" s="1" t="s">
        <v>4158</v>
      </c>
      <c r="F1367" s="1" t="s">
        <v>4159</v>
      </c>
      <c r="G1367" s="1">
        <v>1</v>
      </c>
      <c r="H1367" s="7">
        <v>45560</v>
      </c>
      <c r="I1367" s="1" t="s">
        <v>7455</v>
      </c>
      <c r="J1367" s="7">
        <v>45560</v>
      </c>
      <c r="K1367" s="1" t="s">
        <v>7455</v>
      </c>
    </row>
    <row r="1368" spans="1:11" x14ac:dyDescent="0.3">
      <c r="A1368" s="1">
        <v>1367</v>
      </c>
      <c r="B1368" s="1" t="s">
        <v>4160</v>
      </c>
      <c r="C1368" s="1" t="s">
        <v>4161</v>
      </c>
      <c r="F1368" s="1" t="s">
        <v>4162</v>
      </c>
      <c r="G1368" s="1">
        <v>1</v>
      </c>
      <c r="H1368" s="7">
        <v>45560</v>
      </c>
      <c r="I1368" s="1" t="s">
        <v>7455</v>
      </c>
      <c r="J1368" s="7">
        <v>45560</v>
      </c>
      <c r="K1368" s="1" t="s">
        <v>7455</v>
      </c>
    </row>
    <row r="1369" spans="1:11" x14ac:dyDescent="0.3">
      <c r="A1369" s="1">
        <v>1368</v>
      </c>
      <c r="B1369" s="1" t="s">
        <v>4163</v>
      </c>
      <c r="C1369" s="1" t="s">
        <v>4164</v>
      </c>
      <c r="F1369" s="1" t="s">
        <v>4165</v>
      </c>
      <c r="G1369" s="1">
        <v>1</v>
      </c>
      <c r="H1369" s="7">
        <v>45560</v>
      </c>
      <c r="I1369" s="1" t="s">
        <v>7455</v>
      </c>
      <c r="J1369" s="7">
        <v>45560</v>
      </c>
      <c r="K1369" s="1" t="s">
        <v>7455</v>
      </c>
    </row>
    <row r="1370" spans="1:11" x14ac:dyDescent="0.3">
      <c r="A1370" s="1">
        <v>1369</v>
      </c>
      <c r="B1370" s="1" t="s">
        <v>4166</v>
      </c>
      <c r="C1370" s="1" t="s">
        <v>4167</v>
      </c>
      <c r="F1370" s="1" t="s">
        <v>4168</v>
      </c>
      <c r="G1370" s="1">
        <v>1</v>
      </c>
      <c r="H1370" s="7">
        <v>45560</v>
      </c>
      <c r="I1370" s="1" t="s">
        <v>7455</v>
      </c>
      <c r="J1370" s="7">
        <v>45560</v>
      </c>
      <c r="K1370" s="1" t="s">
        <v>7455</v>
      </c>
    </row>
    <row r="1371" spans="1:11" x14ac:dyDescent="0.3">
      <c r="A1371" s="1">
        <v>1370</v>
      </c>
      <c r="B1371" s="1" t="s">
        <v>4169</v>
      </c>
      <c r="C1371" s="1" t="s">
        <v>4170</v>
      </c>
      <c r="F1371" s="1" t="s">
        <v>4171</v>
      </c>
      <c r="G1371" s="1">
        <v>1</v>
      </c>
      <c r="H1371" s="7">
        <v>45560</v>
      </c>
      <c r="I1371" s="1" t="s">
        <v>7455</v>
      </c>
      <c r="J1371" s="7">
        <v>45560</v>
      </c>
      <c r="K1371" s="1" t="s">
        <v>7455</v>
      </c>
    </row>
    <row r="1372" spans="1:11" x14ac:dyDescent="0.3">
      <c r="A1372" s="1">
        <v>1371</v>
      </c>
      <c r="B1372" s="1" t="s">
        <v>4172</v>
      </c>
      <c r="C1372" s="1" t="s">
        <v>4173</v>
      </c>
      <c r="F1372" s="1" t="s">
        <v>4174</v>
      </c>
      <c r="G1372" s="1">
        <v>1</v>
      </c>
      <c r="H1372" s="7">
        <v>45560</v>
      </c>
      <c r="I1372" s="1" t="s">
        <v>7455</v>
      </c>
      <c r="J1372" s="7">
        <v>45560</v>
      </c>
      <c r="K1372" s="1" t="s">
        <v>7455</v>
      </c>
    </row>
    <row r="1373" spans="1:11" x14ac:dyDescent="0.3">
      <c r="A1373" s="1">
        <v>1372</v>
      </c>
      <c r="B1373" s="1" t="s">
        <v>4175</v>
      </c>
      <c r="C1373" s="1" t="s">
        <v>4176</v>
      </c>
      <c r="F1373" s="1" t="s">
        <v>4177</v>
      </c>
      <c r="G1373" s="1">
        <v>1</v>
      </c>
      <c r="H1373" s="7">
        <v>45560</v>
      </c>
      <c r="I1373" s="1" t="s">
        <v>7455</v>
      </c>
      <c r="J1373" s="7">
        <v>45560</v>
      </c>
      <c r="K1373" s="1" t="s">
        <v>7455</v>
      </c>
    </row>
    <row r="1374" spans="1:11" x14ac:dyDescent="0.3">
      <c r="A1374" s="1">
        <v>1373</v>
      </c>
      <c r="B1374" s="1" t="s">
        <v>4178</v>
      </c>
      <c r="C1374" s="1" t="s">
        <v>4179</v>
      </c>
      <c r="F1374" s="1" t="s">
        <v>4180</v>
      </c>
      <c r="G1374" s="1">
        <v>1</v>
      </c>
      <c r="H1374" s="7">
        <v>45560</v>
      </c>
      <c r="I1374" s="1" t="s">
        <v>7455</v>
      </c>
      <c r="J1374" s="7">
        <v>45560</v>
      </c>
      <c r="K1374" s="1" t="s">
        <v>7455</v>
      </c>
    </row>
    <row r="1375" spans="1:11" x14ac:dyDescent="0.3">
      <c r="A1375" s="1">
        <v>1374</v>
      </c>
      <c r="B1375" s="1" t="s">
        <v>4181</v>
      </c>
      <c r="C1375" s="1" t="s">
        <v>4182</v>
      </c>
      <c r="F1375" s="1" t="s">
        <v>4183</v>
      </c>
      <c r="G1375" s="1">
        <v>1</v>
      </c>
      <c r="H1375" s="7">
        <v>45560</v>
      </c>
      <c r="I1375" s="1" t="s">
        <v>7455</v>
      </c>
      <c r="J1375" s="7">
        <v>45560</v>
      </c>
      <c r="K1375" s="1" t="s">
        <v>7455</v>
      </c>
    </row>
    <row r="1376" spans="1:11" x14ac:dyDescent="0.3">
      <c r="A1376" s="1">
        <v>1375</v>
      </c>
      <c r="B1376" s="1" t="s">
        <v>4184</v>
      </c>
      <c r="C1376" s="1" t="s">
        <v>4185</v>
      </c>
      <c r="F1376" s="1" t="s">
        <v>4186</v>
      </c>
      <c r="G1376" s="1">
        <v>1</v>
      </c>
      <c r="H1376" s="7">
        <v>45560</v>
      </c>
      <c r="I1376" s="1" t="s">
        <v>7455</v>
      </c>
      <c r="J1376" s="7">
        <v>45560</v>
      </c>
      <c r="K1376" s="1" t="s">
        <v>7455</v>
      </c>
    </row>
    <row r="1377" spans="1:11" x14ac:dyDescent="0.3">
      <c r="A1377" s="1">
        <v>1376</v>
      </c>
      <c r="B1377" s="1" t="s">
        <v>4187</v>
      </c>
      <c r="C1377" s="1" t="s">
        <v>4188</v>
      </c>
      <c r="F1377" s="1" t="s">
        <v>4189</v>
      </c>
      <c r="G1377" s="1">
        <v>1</v>
      </c>
      <c r="H1377" s="7">
        <v>45560</v>
      </c>
      <c r="I1377" s="1" t="s">
        <v>7455</v>
      </c>
      <c r="J1377" s="7">
        <v>45560</v>
      </c>
      <c r="K1377" s="1" t="s">
        <v>7455</v>
      </c>
    </row>
    <row r="1378" spans="1:11" x14ac:dyDescent="0.3">
      <c r="A1378" s="1">
        <v>1377</v>
      </c>
      <c r="B1378" s="1" t="s">
        <v>4190</v>
      </c>
      <c r="C1378" s="1" t="s">
        <v>4191</v>
      </c>
      <c r="F1378" s="1" t="s">
        <v>4192</v>
      </c>
      <c r="G1378" s="1">
        <v>1</v>
      </c>
      <c r="H1378" s="7">
        <v>45560</v>
      </c>
      <c r="I1378" s="1" t="s">
        <v>7455</v>
      </c>
      <c r="J1378" s="7">
        <v>45560</v>
      </c>
      <c r="K1378" s="1" t="s">
        <v>7455</v>
      </c>
    </row>
    <row r="1379" spans="1:11" x14ac:dyDescent="0.3">
      <c r="A1379" s="1">
        <v>1378</v>
      </c>
      <c r="B1379" s="1" t="s">
        <v>4193</v>
      </c>
      <c r="C1379" s="1" t="s">
        <v>4194</v>
      </c>
      <c r="F1379" s="1" t="s">
        <v>4195</v>
      </c>
      <c r="G1379" s="1">
        <v>1</v>
      </c>
      <c r="H1379" s="7">
        <v>45560</v>
      </c>
      <c r="I1379" s="1" t="s">
        <v>7455</v>
      </c>
      <c r="J1379" s="7">
        <v>45560</v>
      </c>
      <c r="K1379" s="1" t="s">
        <v>7455</v>
      </c>
    </row>
    <row r="1380" spans="1:11" x14ac:dyDescent="0.3">
      <c r="A1380" s="1">
        <v>1379</v>
      </c>
      <c r="B1380" s="1" t="s">
        <v>4196</v>
      </c>
      <c r="C1380" s="1" t="s">
        <v>4197</v>
      </c>
      <c r="F1380" s="1" t="s">
        <v>4198</v>
      </c>
      <c r="G1380" s="1">
        <v>1</v>
      </c>
      <c r="H1380" s="7">
        <v>45560</v>
      </c>
      <c r="I1380" s="1" t="s">
        <v>7455</v>
      </c>
      <c r="J1380" s="7">
        <v>45560</v>
      </c>
      <c r="K1380" s="1" t="s">
        <v>7455</v>
      </c>
    </row>
    <row r="1381" spans="1:11" x14ac:dyDescent="0.3">
      <c r="A1381" s="1">
        <v>1380</v>
      </c>
      <c r="B1381" s="1" t="s">
        <v>4199</v>
      </c>
      <c r="C1381" s="1" t="s">
        <v>4200</v>
      </c>
      <c r="F1381" s="1" t="s">
        <v>4201</v>
      </c>
      <c r="G1381" s="1">
        <v>1</v>
      </c>
      <c r="H1381" s="7">
        <v>45560</v>
      </c>
      <c r="I1381" s="1" t="s">
        <v>7455</v>
      </c>
      <c r="J1381" s="7">
        <v>45560</v>
      </c>
      <c r="K1381" s="1" t="s">
        <v>7455</v>
      </c>
    </row>
    <row r="1382" spans="1:11" x14ac:dyDescent="0.3">
      <c r="A1382" s="1">
        <v>1381</v>
      </c>
      <c r="B1382" s="1" t="s">
        <v>4202</v>
      </c>
      <c r="C1382" s="1" t="s">
        <v>4203</v>
      </c>
      <c r="F1382" s="1" t="s">
        <v>4204</v>
      </c>
      <c r="G1382" s="1">
        <v>1</v>
      </c>
      <c r="H1382" s="7">
        <v>45560</v>
      </c>
      <c r="I1382" s="1" t="s">
        <v>7455</v>
      </c>
      <c r="J1382" s="7">
        <v>45560</v>
      </c>
      <c r="K1382" s="1" t="s">
        <v>7455</v>
      </c>
    </row>
    <row r="1383" spans="1:11" x14ac:dyDescent="0.3">
      <c r="A1383" s="1">
        <v>1382</v>
      </c>
      <c r="B1383" s="1" t="s">
        <v>4205</v>
      </c>
      <c r="C1383" s="1" t="s">
        <v>4206</v>
      </c>
      <c r="F1383" s="1" t="s">
        <v>4207</v>
      </c>
      <c r="G1383" s="1">
        <v>1</v>
      </c>
      <c r="H1383" s="7">
        <v>45560</v>
      </c>
      <c r="I1383" s="1" t="s">
        <v>7455</v>
      </c>
      <c r="J1383" s="7">
        <v>45560</v>
      </c>
      <c r="K1383" s="1" t="s">
        <v>7455</v>
      </c>
    </row>
    <row r="1384" spans="1:11" x14ac:dyDescent="0.3">
      <c r="A1384" s="1">
        <v>1383</v>
      </c>
      <c r="B1384" s="1" t="s">
        <v>4208</v>
      </c>
      <c r="C1384" s="1" t="s">
        <v>4209</v>
      </c>
      <c r="F1384" s="1" t="s">
        <v>4210</v>
      </c>
      <c r="G1384" s="1">
        <v>1</v>
      </c>
      <c r="H1384" s="7">
        <v>45560</v>
      </c>
      <c r="I1384" s="1" t="s">
        <v>7455</v>
      </c>
      <c r="J1384" s="7">
        <v>45560</v>
      </c>
      <c r="K1384" s="1" t="s">
        <v>7455</v>
      </c>
    </row>
    <row r="1385" spans="1:11" x14ac:dyDescent="0.3">
      <c r="A1385" s="1">
        <v>1384</v>
      </c>
      <c r="B1385" s="1" t="s">
        <v>4211</v>
      </c>
      <c r="C1385" s="1" t="s">
        <v>4212</v>
      </c>
      <c r="F1385" s="1" t="s">
        <v>4213</v>
      </c>
      <c r="G1385" s="1">
        <v>1</v>
      </c>
      <c r="H1385" s="7">
        <v>45560</v>
      </c>
      <c r="I1385" s="1" t="s">
        <v>7455</v>
      </c>
      <c r="J1385" s="7">
        <v>45560</v>
      </c>
      <c r="K1385" s="1" t="s">
        <v>7455</v>
      </c>
    </row>
    <row r="1386" spans="1:11" x14ac:dyDescent="0.3">
      <c r="A1386" s="1">
        <v>1385</v>
      </c>
      <c r="B1386" s="1" t="s">
        <v>4214</v>
      </c>
      <c r="C1386" s="1" t="s">
        <v>4215</v>
      </c>
      <c r="F1386" s="1" t="s">
        <v>4216</v>
      </c>
      <c r="G1386" s="1">
        <v>1</v>
      </c>
      <c r="H1386" s="7">
        <v>45560</v>
      </c>
      <c r="I1386" s="1" t="s">
        <v>7455</v>
      </c>
      <c r="J1386" s="7">
        <v>45560</v>
      </c>
      <c r="K1386" s="1" t="s">
        <v>7455</v>
      </c>
    </row>
    <row r="1387" spans="1:11" x14ac:dyDescent="0.3">
      <c r="A1387" s="1">
        <v>1386</v>
      </c>
      <c r="B1387" s="1" t="s">
        <v>4217</v>
      </c>
      <c r="C1387" s="1" t="s">
        <v>4218</v>
      </c>
      <c r="F1387" s="1" t="s">
        <v>4219</v>
      </c>
      <c r="G1387" s="1">
        <v>1</v>
      </c>
      <c r="H1387" s="7">
        <v>45560</v>
      </c>
      <c r="I1387" s="1" t="s">
        <v>7455</v>
      </c>
      <c r="J1387" s="7">
        <v>45560</v>
      </c>
      <c r="K1387" s="1" t="s">
        <v>7455</v>
      </c>
    </row>
    <row r="1388" spans="1:11" x14ac:dyDescent="0.3">
      <c r="A1388" s="1">
        <v>1387</v>
      </c>
      <c r="B1388" s="1" t="s">
        <v>4220</v>
      </c>
      <c r="C1388" s="1" t="s">
        <v>4221</v>
      </c>
      <c r="F1388" s="1" t="s">
        <v>4222</v>
      </c>
      <c r="G1388" s="1">
        <v>1</v>
      </c>
      <c r="H1388" s="7">
        <v>45560</v>
      </c>
      <c r="I1388" s="1" t="s">
        <v>7455</v>
      </c>
      <c r="J1388" s="7">
        <v>45560</v>
      </c>
      <c r="K1388" s="1" t="s">
        <v>7455</v>
      </c>
    </row>
    <row r="1389" spans="1:11" x14ac:dyDescent="0.3">
      <c r="A1389" s="1">
        <v>1388</v>
      </c>
      <c r="B1389" s="1" t="s">
        <v>4223</v>
      </c>
      <c r="C1389" s="1" t="s">
        <v>4224</v>
      </c>
      <c r="F1389" s="1" t="s">
        <v>4225</v>
      </c>
      <c r="G1389" s="1">
        <v>1</v>
      </c>
      <c r="H1389" s="7">
        <v>45560</v>
      </c>
      <c r="I1389" s="1" t="s">
        <v>7455</v>
      </c>
      <c r="J1389" s="7">
        <v>45560</v>
      </c>
      <c r="K1389" s="1" t="s">
        <v>7455</v>
      </c>
    </row>
    <row r="1390" spans="1:11" x14ac:dyDescent="0.3">
      <c r="A1390" s="1">
        <v>1389</v>
      </c>
      <c r="B1390" s="1" t="s">
        <v>4226</v>
      </c>
      <c r="C1390" s="1" t="s">
        <v>4227</v>
      </c>
      <c r="F1390" s="1" t="s">
        <v>4228</v>
      </c>
      <c r="G1390" s="1">
        <v>1</v>
      </c>
      <c r="H1390" s="7">
        <v>45560</v>
      </c>
      <c r="I1390" s="1" t="s">
        <v>7455</v>
      </c>
      <c r="J1390" s="7">
        <v>45560</v>
      </c>
      <c r="K1390" s="1" t="s">
        <v>7455</v>
      </c>
    </row>
    <row r="1391" spans="1:11" x14ac:dyDescent="0.3">
      <c r="A1391" s="1">
        <v>1390</v>
      </c>
      <c r="B1391" s="1" t="s">
        <v>4229</v>
      </c>
      <c r="C1391" s="1" t="s">
        <v>4230</v>
      </c>
      <c r="F1391" s="1" t="s">
        <v>4231</v>
      </c>
      <c r="G1391" s="1">
        <v>1</v>
      </c>
      <c r="H1391" s="7">
        <v>45560</v>
      </c>
      <c r="I1391" s="1" t="s">
        <v>7455</v>
      </c>
      <c r="J1391" s="7">
        <v>45560</v>
      </c>
      <c r="K1391" s="1" t="s">
        <v>7455</v>
      </c>
    </row>
    <row r="1392" spans="1:11" x14ac:dyDescent="0.3">
      <c r="A1392" s="1">
        <v>1391</v>
      </c>
      <c r="B1392" s="1" t="s">
        <v>4232</v>
      </c>
      <c r="C1392" s="1" t="s">
        <v>4233</v>
      </c>
      <c r="F1392" s="1" t="s">
        <v>4234</v>
      </c>
      <c r="G1392" s="1">
        <v>1</v>
      </c>
      <c r="H1392" s="7">
        <v>45560</v>
      </c>
      <c r="I1392" s="1" t="s">
        <v>7455</v>
      </c>
      <c r="J1392" s="7">
        <v>45560</v>
      </c>
      <c r="K1392" s="1" t="s">
        <v>7455</v>
      </c>
    </row>
    <row r="1393" spans="1:11" x14ac:dyDescent="0.3">
      <c r="A1393" s="1">
        <v>1392</v>
      </c>
      <c r="B1393" s="1" t="s">
        <v>4235</v>
      </c>
      <c r="C1393" s="1" t="s">
        <v>4236</v>
      </c>
      <c r="F1393" s="1" t="s">
        <v>4237</v>
      </c>
      <c r="G1393" s="1">
        <v>1</v>
      </c>
      <c r="H1393" s="7">
        <v>45560</v>
      </c>
      <c r="I1393" s="1" t="s">
        <v>7455</v>
      </c>
      <c r="J1393" s="7">
        <v>45560</v>
      </c>
      <c r="K1393" s="1" t="s">
        <v>7455</v>
      </c>
    </row>
    <row r="1394" spans="1:11" x14ac:dyDescent="0.3">
      <c r="A1394" s="1">
        <v>1393</v>
      </c>
      <c r="B1394" s="1" t="s">
        <v>4238</v>
      </c>
      <c r="C1394" s="1" t="s">
        <v>4239</v>
      </c>
      <c r="F1394" s="1" t="s">
        <v>4240</v>
      </c>
      <c r="G1394" s="1">
        <v>1</v>
      </c>
      <c r="H1394" s="7">
        <v>45560</v>
      </c>
      <c r="I1394" s="1" t="s">
        <v>7455</v>
      </c>
      <c r="J1394" s="7">
        <v>45560</v>
      </c>
      <c r="K1394" s="1" t="s">
        <v>7455</v>
      </c>
    </row>
    <row r="1395" spans="1:11" x14ac:dyDescent="0.3">
      <c r="A1395" s="1">
        <v>1394</v>
      </c>
      <c r="B1395" s="1" t="s">
        <v>4241</v>
      </c>
      <c r="C1395" s="1" t="s">
        <v>4242</v>
      </c>
      <c r="F1395" s="1" t="s">
        <v>4243</v>
      </c>
      <c r="G1395" s="1">
        <v>1</v>
      </c>
      <c r="H1395" s="7">
        <v>45560</v>
      </c>
      <c r="I1395" s="1" t="s">
        <v>7455</v>
      </c>
      <c r="J1395" s="7">
        <v>45560</v>
      </c>
      <c r="K1395" s="1" t="s">
        <v>7455</v>
      </c>
    </row>
    <row r="1396" spans="1:11" x14ac:dyDescent="0.3">
      <c r="A1396" s="1">
        <v>1395</v>
      </c>
      <c r="B1396" s="1" t="s">
        <v>4244</v>
      </c>
      <c r="C1396" s="1" t="s">
        <v>4245</v>
      </c>
      <c r="F1396" s="1" t="s">
        <v>4246</v>
      </c>
      <c r="G1396" s="1">
        <v>1</v>
      </c>
      <c r="H1396" s="7">
        <v>45560</v>
      </c>
      <c r="I1396" s="1" t="s">
        <v>7455</v>
      </c>
      <c r="J1396" s="7">
        <v>45560</v>
      </c>
      <c r="K1396" s="1" t="s">
        <v>7455</v>
      </c>
    </row>
    <row r="1397" spans="1:11" x14ac:dyDescent="0.3">
      <c r="A1397" s="1">
        <v>1396</v>
      </c>
      <c r="B1397" s="1" t="s">
        <v>4247</v>
      </c>
      <c r="C1397" s="1" t="s">
        <v>4248</v>
      </c>
      <c r="D1397" s="1" t="s">
        <v>4249</v>
      </c>
      <c r="F1397" s="1" t="s">
        <v>4250</v>
      </c>
      <c r="G1397" s="1">
        <v>1</v>
      </c>
      <c r="H1397" s="7">
        <v>45560</v>
      </c>
      <c r="I1397" s="1" t="s">
        <v>7455</v>
      </c>
      <c r="J1397" s="7">
        <v>45560</v>
      </c>
      <c r="K1397" s="1" t="s">
        <v>7455</v>
      </c>
    </row>
    <row r="1398" spans="1:11" x14ac:dyDescent="0.3">
      <c r="A1398" s="1">
        <v>1397</v>
      </c>
      <c r="B1398" s="1" t="s">
        <v>4251</v>
      </c>
      <c r="C1398" s="1" t="s">
        <v>4252</v>
      </c>
      <c r="F1398" s="1" t="s">
        <v>4253</v>
      </c>
      <c r="G1398" s="1">
        <v>1</v>
      </c>
      <c r="H1398" s="7">
        <v>45560</v>
      </c>
      <c r="I1398" s="1" t="s">
        <v>7455</v>
      </c>
      <c r="J1398" s="7">
        <v>45560</v>
      </c>
      <c r="K1398" s="1" t="s">
        <v>7455</v>
      </c>
    </row>
    <row r="1399" spans="1:11" x14ac:dyDescent="0.3">
      <c r="A1399" s="1">
        <v>1398</v>
      </c>
      <c r="B1399" s="1" t="s">
        <v>4254</v>
      </c>
      <c r="C1399" s="1" t="s">
        <v>4255</v>
      </c>
      <c r="F1399" s="1" t="s">
        <v>4256</v>
      </c>
      <c r="G1399" s="1">
        <v>1</v>
      </c>
      <c r="H1399" s="7">
        <v>45560</v>
      </c>
      <c r="I1399" s="1" t="s">
        <v>7455</v>
      </c>
      <c r="J1399" s="7">
        <v>45560</v>
      </c>
      <c r="K1399" s="1" t="s">
        <v>7455</v>
      </c>
    </row>
    <row r="1400" spans="1:11" x14ac:dyDescent="0.3">
      <c r="A1400" s="1">
        <v>1399</v>
      </c>
      <c r="B1400" s="1" t="s">
        <v>4257</v>
      </c>
      <c r="C1400" s="1" t="s">
        <v>4258</v>
      </c>
      <c r="F1400" s="1" t="s">
        <v>4259</v>
      </c>
      <c r="G1400" s="1">
        <v>1</v>
      </c>
      <c r="H1400" s="7">
        <v>45560</v>
      </c>
      <c r="I1400" s="1" t="s">
        <v>7455</v>
      </c>
      <c r="J1400" s="7">
        <v>45560</v>
      </c>
      <c r="K1400" s="1" t="s">
        <v>7455</v>
      </c>
    </row>
    <row r="1401" spans="1:11" x14ac:dyDescent="0.3">
      <c r="A1401" s="1">
        <v>1400</v>
      </c>
      <c r="B1401" s="1" t="s">
        <v>4260</v>
      </c>
      <c r="C1401" s="1" t="s">
        <v>4261</v>
      </c>
      <c r="F1401" s="1" t="s">
        <v>4262</v>
      </c>
      <c r="G1401" s="1">
        <v>1</v>
      </c>
      <c r="H1401" s="7">
        <v>45560</v>
      </c>
      <c r="I1401" s="1" t="s">
        <v>7455</v>
      </c>
      <c r="J1401" s="7">
        <v>45560</v>
      </c>
      <c r="K1401" s="1" t="s">
        <v>7455</v>
      </c>
    </row>
    <row r="1402" spans="1:11" x14ac:dyDescent="0.3">
      <c r="A1402" s="1">
        <v>1401</v>
      </c>
      <c r="B1402" s="1" t="s">
        <v>4263</v>
      </c>
      <c r="C1402" s="1" t="s">
        <v>4264</v>
      </c>
      <c r="F1402" s="1" t="s">
        <v>4265</v>
      </c>
      <c r="G1402" s="1">
        <v>1</v>
      </c>
      <c r="H1402" s="7">
        <v>45560</v>
      </c>
      <c r="I1402" s="1" t="s">
        <v>7455</v>
      </c>
      <c r="J1402" s="7">
        <v>45560</v>
      </c>
      <c r="K1402" s="1" t="s">
        <v>7455</v>
      </c>
    </row>
    <row r="1403" spans="1:11" x14ac:dyDescent="0.3">
      <c r="A1403" s="1">
        <v>1402</v>
      </c>
      <c r="B1403" s="1" t="s">
        <v>4266</v>
      </c>
      <c r="C1403" s="1" t="s">
        <v>4267</v>
      </c>
      <c r="F1403" s="1" t="s">
        <v>4268</v>
      </c>
      <c r="G1403" s="1">
        <v>1</v>
      </c>
      <c r="H1403" s="7">
        <v>45560</v>
      </c>
      <c r="I1403" s="1" t="s">
        <v>7455</v>
      </c>
      <c r="J1403" s="7">
        <v>45560</v>
      </c>
      <c r="K1403" s="1" t="s">
        <v>7455</v>
      </c>
    </row>
    <row r="1404" spans="1:11" x14ac:dyDescent="0.3">
      <c r="A1404" s="1">
        <v>1403</v>
      </c>
      <c r="B1404" s="1" t="s">
        <v>4269</v>
      </c>
      <c r="C1404" s="1" t="s">
        <v>4270</v>
      </c>
      <c r="F1404" s="1" t="s">
        <v>4271</v>
      </c>
      <c r="G1404" s="1">
        <v>1</v>
      </c>
      <c r="H1404" s="7">
        <v>45560</v>
      </c>
      <c r="I1404" s="1" t="s">
        <v>7455</v>
      </c>
      <c r="J1404" s="7">
        <v>45560</v>
      </c>
      <c r="K1404" s="1" t="s">
        <v>7455</v>
      </c>
    </row>
    <row r="1405" spans="1:11" x14ac:dyDescent="0.3">
      <c r="A1405" s="1">
        <v>1404</v>
      </c>
      <c r="B1405" s="1" t="s">
        <v>4272</v>
      </c>
      <c r="C1405" s="1" t="s">
        <v>4273</v>
      </c>
      <c r="F1405" s="1" t="s">
        <v>4274</v>
      </c>
      <c r="G1405" s="1">
        <v>1</v>
      </c>
      <c r="H1405" s="7">
        <v>45560</v>
      </c>
      <c r="I1405" s="1" t="s">
        <v>7455</v>
      </c>
      <c r="J1405" s="7">
        <v>45560</v>
      </c>
      <c r="K1405" s="1" t="s">
        <v>7455</v>
      </c>
    </row>
    <row r="1406" spans="1:11" x14ac:dyDescent="0.3">
      <c r="A1406" s="1">
        <v>1405</v>
      </c>
      <c r="B1406" s="1" t="s">
        <v>4275</v>
      </c>
      <c r="C1406" s="1" t="s">
        <v>4276</v>
      </c>
      <c r="F1406" s="1" t="s">
        <v>4277</v>
      </c>
      <c r="G1406" s="1">
        <v>1</v>
      </c>
      <c r="H1406" s="7">
        <v>45560</v>
      </c>
      <c r="I1406" s="1" t="s">
        <v>7455</v>
      </c>
      <c r="J1406" s="7">
        <v>45560</v>
      </c>
      <c r="K1406" s="1" t="s">
        <v>7455</v>
      </c>
    </row>
    <row r="1407" spans="1:11" x14ac:dyDescent="0.3">
      <c r="A1407" s="1">
        <v>1406</v>
      </c>
      <c r="B1407" s="1" t="s">
        <v>4278</v>
      </c>
      <c r="C1407" s="1" t="s">
        <v>4279</v>
      </c>
      <c r="F1407" s="1" t="s">
        <v>4280</v>
      </c>
      <c r="G1407" s="1">
        <v>1</v>
      </c>
      <c r="H1407" s="7">
        <v>45560</v>
      </c>
      <c r="I1407" s="1" t="s">
        <v>7455</v>
      </c>
      <c r="J1407" s="7">
        <v>45560</v>
      </c>
      <c r="K1407" s="1" t="s">
        <v>7455</v>
      </c>
    </row>
    <row r="1408" spans="1:11" x14ac:dyDescent="0.3">
      <c r="A1408" s="1">
        <v>1407</v>
      </c>
      <c r="B1408" s="1" t="s">
        <v>4281</v>
      </c>
      <c r="C1408" s="1" t="s">
        <v>4282</v>
      </c>
      <c r="F1408" s="1" t="s">
        <v>4283</v>
      </c>
      <c r="G1408" s="1">
        <v>1</v>
      </c>
      <c r="H1408" s="7">
        <v>45560</v>
      </c>
      <c r="I1408" s="1" t="s">
        <v>7455</v>
      </c>
      <c r="J1408" s="7">
        <v>45560</v>
      </c>
      <c r="K1408" s="1" t="s">
        <v>7455</v>
      </c>
    </row>
    <row r="1409" spans="1:11" x14ac:dyDescent="0.3">
      <c r="A1409" s="1">
        <v>1408</v>
      </c>
      <c r="B1409" s="1" t="s">
        <v>4284</v>
      </c>
      <c r="C1409" s="1" t="s">
        <v>4285</v>
      </c>
      <c r="F1409" s="1" t="s">
        <v>4286</v>
      </c>
      <c r="G1409" s="1">
        <v>1</v>
      </c>
      <c r="H1409" s="7">
        <v>45560</v>
      </c>
      <c r="I1409" s="1" t="s">
        <v>7455</v>
      </c>
      <c r="J1409" s="7">
        <v>45560</v>
      </c>
      <c r="K1409" s="1" t="s">
        <v>7455</v>
      </c>
    </row>
    <row r="1410" spans="1:11" x14ac:dyDescent="0.3">
      <c r="A1410" s="1">
        <v>1409</v>
      </c>
      <c r="B1410" s="1" t="s">
        <v>4287</v>
      </c>
      <c r="C1410" s="1" t="s">
        <v>4288</v>
      </c>
      <c r="F1410" s="1" t="s">
        <v>4289</v>
      </c>
      <c r="G1410" s="1">
        <v>1</v>
      </c>
      <c r="H1410" s="7">
        <v>45560</v>
      </c>
      <c r="I1410" s="1" t="s">
        <v>7455</v>
      </c>
      <c r="J1410" s="7">
        <v>45560</v>
      </c>
      <c r="K1410" s="1" t="s">
        <v>7455</v>
      </c>
    </row>
    <row r="1411" spans="1:11" x14ac:dyDescent="0.3">
      <c r="A1411" s="1">
        <v>1410</v>
      </c>
      <c r="B1411" s="1" t="s">
        <v>4290</v>
      </c>
      <c r="C1411" s="1" t="s">
        <v>4291</v>
      </c>
      <c r="F1411" s="1" t="s">
        <v>4292</v>
      </c>
      <c r="G1411" s="1">
        <v>1</v>
      </c>
      <c r="H1411" s="7">
        <v>45560</v>
      </c>
      <c r="I1411" s="1" t="s">
        <v>7455</v>
      </c>
      <c r="J1411" s="7">
        <v>45560</v>
      </c>
      <c r="K1411" s="1" t="s">
        <v>7455</v>
      </c>
    </row>
    <row r="1412" spans="1:11" x14ac:dyDescent="0.3">
      <c r="A1412" s="1">
        <v>1411</v>
      </c>
      <c r="B1412" s="1" t="s">
        <v>4293</v>
      </c>
      <c r="C1412" s="1" t="s">
        <v>4294</v>
      </c>
      <c r="F1412" s="1" t="s">
        <v>4295</v>
      </c>
      <c r="G1412" s="1">
        <v>1</v>
      </c>
      <c r="H1412" s="7">
        <v>45560</v>
      </c>
      <c r="I1412" s="1" t="s">
        <v>7455</v>
      </c>
      <c r="J1412" s="7">
        <v>45560</v>
      </c>
      <c r="K1412" s="1" t="s">
        <v>7455</v>
      </c>
    </row>
    <row r="1413" spans="1:11" x14ac:dyDescent="0.3">
      <c r="A1413" s="1">
        <v>1412</v>
      </c>
      <c r="B1413" s="1" t="s">
        <v>4296</v>
      </c>
      <c r="C1413" s="1" t="s">
        <v>4297</v>
      </c>
      <c r="F1413" s="1" t="s">
        <v>4298</v>
      </c>
      <c r="G1413" s="1">
        <v>1</v>
      </c>
      <c r="H1413" s="7">
        <v>45560</v>
      </c>
      <c r="I1413" s="1" t="s">
        <v>7455</v>
      </c>
      <c r="J1413" s="7">
        <v>45560</v>
      </c>
      <c r="K1413" s="1" t="s">
        <v>7455</v>
      </c>
    </row>
    <row r="1414" spans="1:11" x14ac:dyDescent="0.3">
      <c r="A1414" s="1">
        <v>1413</v>
      </c>
      <c r="B1414" s="1" t="s">
        <v>4299</v>
      </c>
      <c r="C1414" s="1" t="s">
        <v>4300</v>
      </c>
      <c r="F1414" s="1" t="s">
        <v>4301</v>
      </c>
      <c r="G1414" s="1">
        <v>1</v>
      </c>
      <c r="H1414" s="7">
        <v>45560</v>
      </c>
      <c r="I1414" s="1" t="s">
        <v>7455</v>
      </c>
      <c r="J1414" s="7">
        <v>45560</v>
      </c>
      <c r="K1414" s="1" t="s">
        <v>7455</v>
      </c>
    </row>
    <row r="1415" spans="1:11" x14ac:dyDescent="0.3">
      <c r="A1415" s="1">
        <v>1414</v>
      </c>
      <c r="B1415" s="1" t="s">
        <v>4302</v>
      </c>
      <c r="C1415" s="1" t="s">
        <v>4303</v>
      </c>
      <c r="D1415" s="1" t="s">
        <v>4304</v>
      </c>
      <c r="E1415" s="1" t="s">
        <v>52</v>
      </c>
      <c r="F1415" s="1" t="s">
        <v>4305</v>
      </c>
      <c r="G1415" s="1">
        <v>1</v>
      </c>
      <c r="H1415" s="7">
        <v>45560</v>
      </c>
      <c r="I1415" s="1" t="s">
        <v>7455</v>
      </c>
      <c r="J1415" s="7">
        <v>45560</v>
      </c>
      <c r="K1415" s="1" t="s">
        <v>7455</v>
      </c>
    </row>
    <row r="1416" spans="1:11" x14ac:dyDescent="0.3">
      <c r="A1416" s="1">
        <v>1415</v>
      </c>
      <c r="B1416" s="1" t="s">
        <v>4306</v>
      </c>
      <c r="C1416" s="1" t="s">
        <v>4307</v>
      </c>
      <c r="D1416" s="1" t="s">
        <v>4308</v>
      </c>
      <c r="E1416" s="1" t="s">
        <v>52</v>
      </c>
      <c r="F1416" s="1" t="s">
        <v>4309</v>
      </c>
      <c r="G1416" s="1">
        <v>1</v>
      </c>
      <c r="H1416" s="7">
        <v>45560</v>
      </c>
      <c r="I1416" s="1" t="s">
        <v>7455</v>
      </c>
      <c r="J1416" s="7">
        <v>45560</v>
      </c>
      <c r="K1416" s="1" t="s">
        <v>7455</v>
      </c>
    </row>
    <row r="1417" spans="1:11" x14ac:dyDescent="0.3">
      <c r="A1417" s="1">
        <v>1416</v>
      </c>
      <c r="B1417" s="1" t="s">
        <v>4310</v>
      </c>
      <c r="C1417" s="1" t="s">
        <v>4311</v>
      </c>
      <c r="F1417" s="1" t="s">
        <v>4312</v>
      </c>
      <c r="G1417" s="1">
        <v>1</v>
      </c>
      <c r="H1417" s="7">
        <v>45560</v>
      </c>
      <c r="I1417" s="1" t="s">
        <v>7455</v>
      </c>
      <c r="J1417" s="7">
        <v>45560</v>
      </c>
      <c r="K1417" s="1" t="s">
        <v>7455</v>
      </c>
    </row>
    <row r="1418" spans="1:11" x14ac:dyDescent="0.3">
      <c r="A1418" s="1">
        <v>1417</v>
      </c>
      <c r="B1418" s="1" t="s">
        <v>4313</v>
      </c>
      <c r="C1418" s="1" t="s">
        <v>4314</v>
      </c>
      <c r="F1418" s="1" t="s">
        <v>4315</v>
      </c>
      <c r="G1418" s="1">
        <v>1</v>
      </c>
      <c r="H1418" s="7">
        <v>45560</v>
      </c>
      <c r="I1418" s="1" t="s">
        <v>7455</v>
      </c>
      <c r="J1418" s="7">
        <v>45560</v>
      </c>
      <c r="K1418" s="1" t="s">
        <v>7455</v>
      </c>
    </row>
    <row r="1419" spans="1:11" x14ac:dyDescent="0.3">
      <c r="A1419" s="1">
        <v>1418</v>
      </c>
      <c r="B1419" s="1" t="s">
        <v>4316</v>
      </c>
      <c r="C1419" s="1" t="s">
        <v>4317</v>
      </c>
      <c r="F1419" s="1" t="s">
        <v>4318</v>
      </c>
      <c r="G1419" s="1">
        <v>1</v>
      </c>
      <c r="H1419" s="7">
        <v>45560</v>
      </c>
      <c r="I1419" s="1" t="s">
        <v>7455</v>
      </c>
      <c r="J1419" s="7">
        <v>45560</v>
      </c>
      <c r="K1419" s="1" t="s">
        <v>7455</v>
      </c>
    </row>
    <row r="1420" spans="1:11" x14ac:dyDescent="0.3">
      <c r="A1420" s="1">
        <v>1419</v>
      </c>
      <c r="B1420" s="1" t="s">
        <v>4319</v>
      </c>
      <c r="C1420" s="1" t="s">
        <v>4320</v>
      </c>
      <c r="F1420" s="1" t="s">
        <v>4321</v>
      </c>
      <c r="G1420" s="1">
        <v>1</v>
      </c>
      <c r="H1420" s="7">
        <v>45560</v>
      </c>
      <c r="I1420" s="1" t="s">
        <v>7455</v>
      </c>
      <c r="J1420" s="7">
        <v>45560</v>
      </c>
      <c r="K1420" s="1" t="s">
        <v>7455</v>
      </c>
    </row>
    <row r="1421" spans="1:11" x14ac:dyDescent="0.3">
      <c r="A1421" s="1">
        <v>1420</v>
      </c>
      <c r="B1421" s="1" t="s">
        <v>4322</v>
      </c>
      <c r="C1421" s="1" t="s">
        <v>4323</v>
      </c>
      <c r="F1421" s="1" t="s">
        <v>4324</v>
      </c>
      <c r="G1421" s="1">
        <v>1</v>
      </c>
      <c r="H1421" s="7">
        <v>45560</v>
      </c>
      <c r="I1421" s="1" t="s">
        <v>7455</v>
      </c>
      <c r="J1421" s="7">
        <v>45560</v>
      </c>
      <c r="K1421" s="1" t="s">
        <v>7455</v>
      </c>
    </row>
    <row r="1422" spans="1:11" x14ac:dyDescent="0.3">
      <c r="A1422" s="1">
        <v>1421</v>
      </c>
      <c r="B1422" s="1" t="s">
        <v>4325</v>
      </c>
      <c r="C1422" s="1" t="s">
        <v>4326</v>
      </c>
      <c r="F1422" s="1" t="s">
        <v>4327</v>
      </c>
      <c r="G1422" s="1">
        <v>1</v>
      </c>
      <c r="H1422" s="7">
        <v>45560</v>
      </c>
      <c r="I1422" s="1" t="s">
        <v>7455</v>
      </c>
      <c r="J1422" s="7">
        <v>45560</v>
      </c>
      <c r="K1422" s="1" t="s">
        <v>7455</v>
      </c>
    </row>
    <row r="1423" spans="1:11" x14ac:dyDescent="0.3">
      <c r="A1423" s="1">
        <v>1422</v>
      </c>
      <c r="B1423" s="1" t="s">
        <v>4328</v>
      </c>
      <c r="C1423" s="1" t="s">
        <v>4329</v>
      </c>
      <c r="F1423" s="1" t="s">
        <v>4330</v>
      </c>
      <c r="G1423" s="1">
        <v>1</v>
      </c>
      <c r="H1423" s="7">
        <v>45560</v>
      </c>
      <c r="I1423" s="1" t="s">
        <v>7455</v>
      </c>
      <c r="J1423" s="7">
        <v>45560</v>
      </c>
      <c r="K1423" s="1" t="s">
        <v>7455</v>
      </c>
    </row>
    <row r="1424" spans="1:11" x14ac:dyDescent="0.3">
      <c r="A1424" s="1">
        <v>1423</v>
      </c>
      <c r="B1424" s="1" t="s">
        <v>4331</v>
      </c>
      <c r="C1424" s="1" t="s">
        <v>4332</v>
      </c>
      <c r="F1424" s="1" t="s">
        <v>4333</v>
      </c>
      <c r="G1424" s="1">
        <v>1</v>
      </c>
      <c r="H1424" s="7">
        <v>45560</v>
      </c>
      <c r="I1424" s="1" t="s">
        <v>7455</v>
      </c>
      <c r="J1424" s="7">
        <v>45560</v>
      </c>
      <c r="K1424" s="1" t="s">
        <v>7455</v>
      </c>
    </row>
    <row r="1425" spans="1:11" x14ac:dyDescent="0.3">
      <c r="A1425" s="1">
        <v>1424</v>
      </c>
      <c r="B1425" s="1" t="s">
        <v>4334</v>
      </c>
      <c r="C1425" s="1" t="s">
        <v>4335</v>
      </c>
      <c r="F1425" s="1" t="s">
        <v>4336</v>
      </c>
      <c r="G1425" s="1">
        <v>1</v>
      </c>
      <c r="H1425" s="7">
        <v>45560</v>
      </c>
      <c r="I1425" s="1" t="s">
        <v>7455</v>
      </c>
      <c r="J1425" s="7">
        <v>45560</v>
      </c>
      <c r="K1425" s="1" t="s">
        <v>7455</v>
      </c>
    </row>
    <row r="1426" spans="1:11" x14ac:dyDescent="0.3">
      <c r="A1426" s="1">
        <v>1425</v>
      </c>
      <c r="B1426" s="1" t="s">
        <v>4337</v>
      </c>
      <c r="C1426" s="1" t="s">
        <v>4338</v>
      </c>
      <c r="F1426" s="1" t="s">
        <v>4339</v>
      </c>
      <c r="G1426" s="1">
        <v>1</v>
      </c>
      <c r="H1426" s="7">
        <v>45560</v>
      </c>
      <c r="I1426" s="1" t="s">
        <v>7455</v>
      </c>
      <c r="J1426" s="7">
        <v>45560</v>
      </c>
      <c r="K1426" s="1" t="s">
        <v>7455</v>
      </c>
    </row>
    <row r="1427" spans="1:11" x14ac:dyDescent="0.3">
      <c r="A1427" s="1">
        <v>1426</v>
      </c>
      <c r="B1427" s="1" t="s">
        <v>4340</v>
      </c>
      <c r="C1427" s="1" t="s">
        <v>4341</v>
      </c>
      <c r="F1427" s="1" t="s">
        <v>4342</v>
      </c>
      <c r="G1427" s="1">
        <v>1</v>
      </c>
      <c r="H1427" s="7">
        <v>45560</v>
      </c>
      <c r="I1427" s="1" t="s">
        <v>7455</v>
      </c>
      <c r="J1427" s="7">
        <v>45560</v>
      </c>
      <c r="K1427" s="1" t="s">
        <v>7455</v>
      </c>
    </row>
    <row r="1428" spans="1:11" x14ac:dyDescent="0.3">
      <c r="A1428" s="1">
        <v>1427</v>
      </c>
      <c r="B1428" s="1" t="s">
        <v>4343</v>
      </c>
      <c r="C1428" s="1" t="s">
        <v>4344</v>
      </c>
      <c r="F1428" s="1" t="s">
        <v>4345</v>
      </c>
      <c r="G1428" s="1">
        <v>1</v>
      </c>
      <c r="H1428" s="7">
        <v>45560</v>
      </c>
      <c r="I1428" s="1" t="s">
        <v>7455</v>
      </c>
      <c r="J1428" s="7">
        <v>45560</v>
      </c>
      <c r="K1428" s="1" t="s">
        <v>7455</v>
      </c>
    </row>
    <row r="1429" spans="1:11" x14ac:dyDescent="0.3">
      <c r="A1429" s="1">
        <v>1428</v>
      </c>
      <c r="B1429" s="1" t="s">
        <v>4346</v>
      </c>
      <c r="C1429" s="1" t="s">
        <v>4347</v>
      </c>
      <c r="F1429" s="1" t="s">
        <v>4348</v>
      </c>
      <c r="G1429" s="1">
        <v>1</v>
      </c>
      <c r="H1429" s="7">
        <v>45560</v>
      </c>
      <c r="I1429" s="1" t="s">
        <v>7455</v>
      </c>
      <c r="J1429" s="7">
        <v>45560</v>
      </c>
      <c r="K1429" s="1" t="s">
        <v>7455</v>
      </c>
    </row>
    <row r="1430" spans="1:11" x14ac:dyDescent="0.3">
      <c r="A1430" s="1">
        <v>1429</v>
      </c>
      <c r="B1430" s="1" t="s">
        <v>4349</v>
      </c>
      <c r="C1430" s="1" t="s">
        <v>4350</v>
      </c>
      <c r="F1430" s="1" t="s">
        <v>4351</v>
      </c>
      <c r="G1430" s="1">
        <v>1</v>
      </c>
      <c r="H1430" s="7">
        <v>45560</v>
      </c>
      <c r="I1430" s="1" t="s">
        <v>7455</v>
      </c>
      <c r="J1430" s="7">
        <v>45560</v>
      </c>
      <c r="K1430" s="1" t="s">
        <v>7455</v>
      </c>
    </row>
    <row r="1431" spans="1:11" x14ac:dyDescent="0.3">
      <c r="A1431" s="1">
        <v>1430</v>
      </c>
      <c r="B1431" s="1" t="s">
        <v>4352</v>
      </c>
      <c r="C1431" s="1" t="s">
        <v>4353</v>
      </c>
      <c r="F1431" s="1" t="s">
        <v>4354</v>
      </c>
      <c r="G1431" s="1">
        <v>1</v>
      </c>
      <c r="H1431" s="7">
        <v>45560</v>
      </c>
      <c r="I1431" s="1" t="s">
        <v>7455</v>
      </c>
      <c r="J1431" s="7">
        <v>45560</v>
      </c>
      <c r="K1431" s="1" t="s">
        <v>7455</v>
      </c>
    </row>
    <row r="1432" spans="1:11" x14ac:dyDescent="0.3">
      <c r="A1432" s="1">
        <v>1431</v>
      </c>
      <c r="B1432" s="1" t="s">
        <v>4355</v>
      </c>
      <c r="C1432" s="1" t="s">
        <v>4356</v>
      </c>
      <c r="F1432" s="1" t="s">
        <v>4357</v>
      </c>
      <c r="G1432" s="1">
        <v>1</v>
      </c>
      <c r="H1432" s="7">
        <v>45560</v>
      </c>
      <c r="I1432" s="1" t="s">
        <v>7455</v>
      </c>
      <c r="J1432" s="7">
        <v>45560</v>
      </c>
      <c r="K1432" s="1" t="s">
        <v>7455</v>
      </c>
    </row>
    <row r="1433" spans="1:11" x14ac:dyDescent="0.3">
      <c r="A1433" s="1">
        <v>1432</v>
      </c>
      <c r="B1433" s="1" t="s">
        <v>4358</v>
      </c>
      <c r="C1433" s="1" t="s">
        <v>4359</v>
      </c>
      <c r="F1433" s="1" t="s">
        <v>4360</v>
      </c>
      <c r="G1433" s="1">
        <v>1</v>
      </c>
      <c r="H1433" s="7">
        <v>45560</v>
      </c>
      <c r="I1433" s="1" t="s">
        <v>7455</v>
      </c>
      <c r="J1433" s="7">
        <v>45560</v>
      </c>
      <c r="K1433" s="1" t="s">
        <v>7455</v>
      </c>
    </row>
    <row r="1434" spans="1:11" x14ac:dyDescent="0.3">
      <c r="A1434" s="1">
        <v>1433</v>
      </c>
      <c r="B1434" s="1" t="s">
        <v>4361</v>
      </c>
      <c r="C1434" s="1" t="s">
        <v>4362</v>
      </c>
      <c r="F1434" s="1" t="s">
        <v>4363</v>
      </c>
      <c r="G1434" s="1">
        <v>1</v>
      </c>
      <c r="H1434" s="7">
        <v>45560</v>
      </c>
      <c r="I1434" s="1" t="s">
        <v>7455</v>
      </c>
      <c r="J1434" s="7">
        <v>45560</v>
      </c>
      <c r="K1434" s="1" t="s">
        <v>7455</v>
      </c>
    </row>
    <row r="1435" spans="1:11" x14ac:dyDescent="0.3">
      <c r="A1435" s="1">
        <v>1434</v>
      </c>
      <c r="B1435" s="1" t="s">
        <v>4364</v>
      </c>
      <c r="C1435" s="1" t="s">
        <v>4365</v>
      </c>
      <c r="F1435" s="1" t="s">
        <v>4366</v>
      </c>
      <c r="G1435" s="1">
        <v>1</v>
      </c>
      <c r="H1435" s="7">
        <v>45560</v>
      </c>
      <c r="I1435" s="1" t="s">
        <v>7455</v>
      </c>
      <c r="J1435" s="7">
        <v>45560</v>
      </c>
      <c r="K1435" s="1" t="s">
        <v>7455</v>
      </c>
    </row>
    <row r="1436" spans="1:11" x14ac:dyDescent="0.3">
      <c r="A1436" s="1">
        <v>1435</v>
      </c>
      <c r="B1436" s="1" t="s">
        <v>4367</v>
      </c>
      <c r="C1436" s="1" t="s">
        <v>4368</v>
      </c>
      <c r="F1436" s="1" t="s">
        <v>4369</v>
      </c>
      <c r="G1436" s="1">
        <v>1</v>
      </c>
      <c r="H1436" s="7">
        <v>45560</v>
      </c>
      <c r="I1436" s="1" t="s">
        <v>7455</v>
      </c>
      <c r="J1436" s="7">
        <v>45560</v>
      </c>
      <c r="K1436" s="1" t="s">
        <v>7455</v>
      </c>
    </row>
    <row r="1437" spans="1:11" x14ac:dyDescent="0.3">
      <c r="A1437" s="1">
        <v>1436</v>
      </c>
      <c r="B1437" s="1" t="s">
        <v>4370</v>
      </c>
      <c r="C1437" s="1" t="s">
        <v>4371</v>
      </c>
      <c r="F1437" s="1" t="s">
        <v>4372</v>
      </c>
      <c r="G1437" s="1">
        <v>1</v>
      </c>
      <c r="H1437" s="7">
        <v>45560</v>
      </c>
      <c r="I1437" s="1" t="s">
        <v>7455</v>
      </c>
      <c r="J1437" s="7">
        <v>45560</v>
      </c>
      <c r="K1437" s="1" t="s">
        <v>7455</v>
      </c>
    </row>
    <row r="1438" spans="1:11" x14ac:dyDescent="0.3">
      <c r="A1438" s="1">
        <v>1437</v>
      </c>
      <c r="B1438" s="1" t="s">
        <v>4373</v>
      </c>
      <c r="C1438" s="1" t="s">
        <v>4374</v>
      </c>
      <c r="F1438" s="1" t="s">
        <v>4375</v>
      </c>
      <c r="G1438" s="1">
        <v>1</v>
      </c>
      <c r="H1438" s="7">
        <v>45560</v>
      </c>
      <c r="I1438" s="1" t="s">
        <v>7455</v>
      </c>
      <c r="J1438" s="7">
        <v>45560</v>
      </c>
      <c r="K1438" s="1" t="s">
        <v>7455</v>
      </c>
    </row>
    <row r="1439" spans="1:11" x14ac:dyDescent="0.3">
      <c r="A1439" s="1">
        <v>1438</v>
      </c>
      <c r="B1439" s="1" t="s">
        <v>4376</v>
      </c>
      <c r="C1439" s="1" t="s">
        <v>4377</v>
      </c>
      <c r="F1439" s="1" t="s">
        <v>4378</v>
      </c>
      <c r="G1439" s="1">
        <v>1</v>
      </c>
      <c r="H1439" s="7">
        <v>45560</v>
      </c>
      <c r="I1439" s="1" t="s">
        <v>7455</v>
      </c>
      <c r="J1439" s="7">
        <v>45560</v>
      </c>
      <c r="K1439" s="1" t="s">
        <v>7455</v>
      </c>
    </row>
    <row r="1440" spans="1:11" x14ac:dyDescent="0.3">
      <c r="A1440" s="1">
        <v>1439</v>
      </c>
      <c r="B1440" s="1" t="s">
        <v>4379</v>
      </c>
      <c r="C1440" s="1" t="s">
        <v>4380</v>
      </c>
      <c r="F1440" s="1" t="s">
        <v>4381</v>
      </c>
      <c r="G1440" s="1">
        <v>1</v>
      </c>
      <c r="H1440" s="7">
        <v>45560</v>
      </c>
      <c r="I1440" s="1" t="s">
        <v>7455</v>
      </c>
      <c r="J1440" s="7">
        <v>45560</v>
      </c>
      <c r="K1440" s="1" t="s">
        <v>7455</v>
      </c>
    </row>
    <row r="1441" spans="1:11" x14ac:dyDescent="0.3">
      <c r="A1441" s="1">
        <v>1440</v>
      </c>
      <c r="B1441" s="1" t="s">
        <v>4382</v>
      </c>
      <c r="C1441" s="1" t="s">
        <v>4383</v>
      </c>
      <c r="F1441" s="1" t="s">
        <v>4384</v>
      </c>
      <c r="G1441" s="1">
        <v>1</v>
      </c>
      <c r="H1441" s="7">
        <v>45560</v>
      </c>
      <c r="I1441" s="1" t="s">
        <v>7455</v>
      </c>
      <c r="J1441" s="7">
        <v>45560</v>
      </c>
      <c r="K1441" s="1" t="s">
        <v>7455</v>
      </c>
    </row>
    <row r="1442" spans="1:11" x14ac:dyDescent="0.3">
      <c r="A1442" s="1">
        <v>1441</v>
      </c>
      <c r="B1442" s="1" t="s">
        <v>4385</v>
      </c>
      <c r="C1442" s="1" t="s">
        <v>4386</v>
      </c>
      <c r="F1442" s="1" t="s">
        <v>4387</v>
      </c>
      <c r="G1442" s="1">
        <v>1</v>
      </c>
      <c r="H1442" s="7">
        <v>45560</v>
      </c>
      <c r="I1442" s="1" t="s">
        <v>7455</v>
      </c>
      <c r="J1442" s="7">
        <v>45560</v>
      </c>
      <c r="K1442" s="1" t="s">
        <v>7455</v>
      </c>
    </row>
    <row r="1443" spans="1:11" x14ac:dyDescent="0.3">
      <c r="A1443" s="1">
        <v>1442</v>
      </c>
      <c r="B1443" s="1" t="s">
        <v>4388</v>
      </c>
      <c r="C1443" s="1" t="s">
        <v>4389</v>
      </c>
      <c r="F1443" s="1" t="s">
        <v>4390</v>
      </c>
      <c r="G1443" s="1">
        <v>1</v>
      </c>
      <c r="H1443" s="7">
        <v>45560</v>
      </c>
      <c r="I1443" s="1" t="s">
        <v>7455</v>
      </c>
      <c r="J1443" s="7">
        <v>45560</v>
      </c>
      <c r="K1443" s="1" t="s">
        <v>7455</v>
      </c>
    </row>
    <row r="1444" spans="1:11" x14ac:dyDescent="0.3">
      <c r="A1444" s="1">
        <v>1443</v>
      </c>
      <c r="B1444" s="1" t="s">
        <v>4391</v>
      </c>
      <c r="C1444" s="1" t="s">
        <v>4392</v>
      </c>
      <c r="F1444" s="1" t="s">
        <v>4393</v>
      </c>
      <c r="G1444" s="1">
        <v>1</v>
      </c>
      <c r="H1444" s="7">
        <v>45560</v>
      </c>
      <c r="I1444" s="1" t="s">
        <v>7455</v>
      </c>
      <c r="J1444" s="7">
        <v>45560</v>
      </c>
      <c r="K1444" s="1" t="s">
        <v>7455</v>
      </c>
    </row>
    <row r="1445" spans="1:11" x14ac:dyDescent="0.3">
      <c r="A1445" s="1">
        <v>1444</v>
      </c>
      <c r="B1445" s="1" t="s">
        <v>4394</v>
      </c>
      <c r="C1445" s="1" t="s">
        <v>4395</v>
      </c>
      <c r="F1445" s="1" t="s">
        <v>4396</v>
      </c>
      <c r="G1445" s="1">
        <v>1</v>
      </c>
      <c r="H1445" s="7">
        <v>45560</v>
      </c>
      <c r="I1445" s="1" t="s">
        <v>7455</v>
      </c>
      <c r="J1445" s="7">
        <v>45560</v>
      </c>
      <c r="K1445" s="1" t="s">
        <v>7455</v>
      </c>
    </row>
    <row r="1446" spans="1:11" x14ac:dyDescent="0.3">
      <c r="A1446" s="1">
        <v>1445</v>
      </c>
      <c r="B1446" s="1" t="s">
        <v>4397</v>
      </c>
      <c r="C1446" s="1" t="s">
        <v>4398</v>
      </c>
      <c r="F1446" s="1" t="s">
        <v>4399</v>
      </c>
      <c r="G1446" s="1">
        <v>1</v>
      </c>
      <c r="H1446" s="7">
        <v>45560</v>
      </c>
      <c r="I1446" s="1" t="s">
        <v>7455</v>
      </c>
      <c r="J1446" s="7">
        <v>45560</v>
      </c>
      <c r="K1446" s="1" t="s">
        <v>7455</v>
      </c>
    </row>
    <row r="1447" spans="1:11" x14ac:dyDescent="0.3">
      <c r="A1447" s="1">
        <v>1446</v>
      </c>
      <c r="B1447" s="1" t="s">
        <v>4400</v>
      </c>
      <c r="C1447" s="1" t="s">
        <v>4401</v>
      </c>
      <c r="F1447" s="1" t="s">
        <v>4402</v>
      </c>
      <c r="G1447" s="1">
        <v>1</v>
      </c>
      <c r="H1447" s="7">
        <v>45560</v>
      </c>
      <c r="I1447" s="1" t="s">
        <v>7455</v>
      </c>
      <c r="J1447" s="7">
        <v>45560</v>
      </c>
      <c r="K1447" s="1" t="s">
        <v>7455</v>
      </c>
    </row>
    <row r="1448" spans="1:11" x14ac:dyDescent="0.3">
      <c r="A1448" s="1">
        <v>1447</v>
      </c>
      <c r="B1448" s="1" t="s">
        <v>4403</v>
      </c>
      <c r="C1448" s="1" t="s">
        <v>4404</v>
      </c>
      <c r="F1448" s="1" t="s">
        <v>4405</v>
      </c>
      <c r="G1448" s="1">
        <v>1</v>
      </c>
      <c r="H1448" s="7">
        <v>45560</v>
      </c>
      <c r="I1448" s="1" t="s">
        <v>7455</v>
      </c>
      <c r="J1448" s="7">
        <v>45560</v>
      </c>
      <c r="K1448" s="1" t="s">
        <v>7455</v>
      </c>
    </row>
    <row r="1449" spans="1:11" x14ac:dyDescent="0.3">
      <c r="A1449" s="1">
        <v>1448</v>
      </c>
      <c r="B1449" s="1" t="s">
        <v>4406</v>
      </c>
      <c r="C1449" s="1" t="s">
        <v>4407</v>
      </c>
      <c r="D1449" s="1" t="s">
        <v>4408</v>
      </c>
      <c r="F1449" s="1" t="s">
        <v>4409</v>
      </c>
      <c r="G1449" s="1">
        <v>1</v>
      </c>
      <c r="H1449" s="7">
        <v>45560</v>
      </c>
      <c r="I1449" s="1" t="s">
        <v>7455</v>
      </c>
      <c r="J1449" s="7">
        <v>45560</v>
      </c>
      <c r="K1449" s="1" t="s">
        <v>7455</v>
      </c>
    </row>
    <row r="1450" spans="1:11" x14ac:dyDescent="0.3">
      <c r="A1450" s="1">
        <v>1449</v>
      </c>
      <c r="B1450" s="1" t="s">
        <v>4410</v>
      </c>
      <c r="C1450" s="1" t="s">
        <v>4411</v>
      </c>
      <c r="D1450" s="1" t="s">
        <v>4412</v>
      </c>
      <c r="F1450" s="1" t="s">
        <v>4413</v>
      </c>
      <c r="G1450" s="1">
        <v>1</v>
      </c>
      <c r="H1450" s="7">
        <v>45560</v>
      </c>
      <c r="I1450" s="1" t="s">
        <v>7455</v>
      </c>
      <c r="J1450" s="7">
        <v>45560</v>
      </c>
      <c r="K1450" s="1" t="s">
        <v>7455</v>
      </c>
    </row>
    <row r="1451" spans="1:11" x14ac:dyDescent="0.3">
      <c r="A1451" s="1">
        <v>1450</v>
      </c>
      <c r="B1451" s="1" t="s">
        <v>4414</v>
      </c>
      <c r="C1451" s="1" t="s">
        <v>4415</v>
      </c>
      <c r="F1451" s="1" t="s">
        <v>4416</v>
      </c>
      <c r="G1451" s="1">
        <v>1</v>
      </c>
      <c r="H1451" s="7">
        <v>45560</v>
      </c>
      <c r="I1451" s="1" t="s">
        <v>7455</v>
      </c>
      <c r="J1451" s="7">
        <v>45560</v>
      </c>
      <c r="K1451" s="1" t="s">
        <v>7455</v>
      </c>
    </row>
    <row r="1452" spans="1:11" x14ac:dyDescent="0.3">
      <c r="A1452" s="1">
        <v>1451</v>
      </c>
      <c r="B1452" s="1" t="s">
        <v>4417</v>
      </c>
      <c r="C1452" s="1" t="s">
        <v>4418</v>
      </c>
      <c r="F1452" s="1" t="s">
        <v>4419</v>
      </c>
      <c r="G1452" s="1">
        <v>1</v>
      </c>
      <c r="H1452" s="7">
        <v>45560</v>
      </c>
      <c r="I1452" s="1" t="s">
        <v>7455</v>
      </c>
      <c r="J1452" s="7">
        <v>45560</v>
      </c>
      <c r="K1452" s="1" t="s">
        <v>7455</v>
      </c>
    </row>
    <row r="1453" spans="1:11" x14ac:dyDescent="0.3">
      <c r="A1453" s="1">
        <v>1452</v>
      </c>
      <c r="B1453" s="1" t="s">
        <v>4420</v>
      </c>
      <c r="C1453" s="1" t="s">
        <v>4421</v>
      </c>
      <c r="F1453" s="1" t="s">
        <v>4422</v>
      </c>
      <c r="G1453" s="1">
        <v>1</v>
      </c>
      <c r="H1453" s="7">
        <v>45560</v>
      </c>
      <c r="I1453" s="1" t="s">
        <v>7455</v>
      </c>
      <c r="J1453" s="7">
        <v>45560</v>
      </c>
      <c r="K1453" s="1" t="s">
        <v>7455</v>
      </c>
    </row>
    <row r="1454" spans="1:11" x14ac:dyDescent="0.3">
      <c r="A1454" s="1">
        <v>1453</v>
      </c>
      <c r="B1454" s="1" t="s">
        <v>4423</v>
      </c>
      <c r="C1454" s="1" t="s">
        <v>4424</v>
      </c>
      <c r="D1454" s="1" t="s">
        <v>4425</v>
      </c>
      <c r="G1454" s="1">
        <v>1</v>
      </c>
      <c r="H1454" s="7">
        <v>45560</v>
      </c>
      <c r="I1454" s="1" t="s">
        <v>7455</v>
      </c>
      <c r="J1454" s="7">
        <v>45560</v>
      </c>
      <c r="K1454" s="1" t="s">
        <v>7455</v>
      </c>
    </row>
    <row r="1455" spans="1:11" x14ac:dyDescent="0.3">
      <c r="A1455" s="1">
        <v>1454</v>
      </c>
      <c r="B1455" s="1" t="s">
        <v>4426</v>
      </c>
      <c r="C1455" s="1" t="s">
        <v>4427</v>
      </c>
      <c r="D1455" s="1" t="s">
        <v>4428</v>
      </c>
      <c r="F1455" s="1" t="s">
        <v>4429</v>
      </c>
      <c r="G1455" s="1">
        <v>1</v>
      </c>
      <c r="H1455" s="7">
        <v>45560</v>
      </c>
      <c r="I1455" s="1" t="s">
        <v>7455</v>
      </c>
      <c r="J1455" s="7">
        <v>45560</v>
      </c>
      <c r="K1455" s="1" t="s">
        <v>7455</v>
      </c>
    </row>
    <row r="1456" spans="1:11" x14ac:dyDescent="0.3">
      <c r="A1456" s="1">
        <v>1455</v>
      </c>
      <c r="B1456" s="1" t="s">
        <v>4430</v>
      </c>
      <c r="C1456" s="1" t="s">
        <v>4431</v>
      </c>
      <c r="G1456" s="1">
        <v>1</v>
      </c>
      <c r="H1456" s="7">
        <v>45560</v>
      </c>
      <c r="I1456" s="1" t="s">
        <v>7455</v>
      </c>
      <c r="J1456" s="7">
        <v>45560</v>
      </c>
      <c r="K1456" s="1" t="s">
        <v>7455</v>
      </c>
    </row>
    <row r="1457" spans="1:11" x14ac:dyDescent="0.3">
      <c r="A1457" s="1">
        <v>1456</v>
      </c>
      <c r="B1457" s="1" t="s">
        <v>4432</v>
      </c>
      <c r="C1457" s="1" t="s">
        <v>4433</v>
      </c>
      <c r="E1457" s="1" t="s">
        <v>52</v>
      </c>
      <c r="G1457" s="1">
        <v>1</v>
      </c>
      <c r="H1457" s="7">
        <v>45560</v>
      </c>
      <c r="I1457" s="1" t="s">
        <v>7455</v>
      </c>
      <c r="J1457" s="7">
        <v>45560</v>
      </c>
      <c r="K1457" s="1" t="s">
        <v>7455</v>
      </c>
    </row>
    <row r="1458" spans="1:11" x14ac:dyDescent="0.3">
      <c r="A1458" s="1">
        <v>1457</v>
      </c>
      <c r="B1458" s="1" t="s">
        <v>4434</v>
      </c>
      <c r="C1458" s="1" t="s">
        <v>4435</v>
      </c>
      <c r="F1458" s="1" t="s">
        <v>4436</v>
      </c>
      <c r="G1458" s="1">
        <v>1</v>
      </c>
      <c r="H1458" s="7">
        <v>45560</v>
      </c>
      <c r="I1458" s="1" t="s">
        <v>7455</v>
      </c>
      <c r="J1458" s="7">
        <v>45560</v>
      </c>
      <c r="K1458" s="1" t="s">
        <v>7455</v>
      </c>
    </row>
    <row r="1459" spans="1:11" x14ac:dyDescent="0.3">
      <c r="A1459" s="1">
        <v>1458</v>
      </c>
      <c r="B1459" s="1" t="s">
        <v>4437</v>
      </c>
      <c r="C1459" s="1" t="s">
        <v>4438</v>
      </c>
      <c r="E1459" s="1" t="s">
        <v>52</v>
      </c>
      <c r="G1459" s="1">
        <v>1</v>
      </c>
      <c r="H1459" s="7">
        <v>45560</v>
      </c>
      <c r="I1459" s="1" t="s">
        <v>7455</v>
      </c>
      <c r="J1459" s="7">
        <v>45560</v>
      </c>
      <c r="K1459" s="1" t="s">
        <v>7455</v>
      </c>
    </row>
    <row r="1460" spans="1:11" x14ac:dyDescent="0.3">
      <c r="A1460" s="1">
        <v>1459</v>
      </c>
      <c r="B1460" s="1" t="s">
        <v>4439</v>
      </c>
      <c r="C1460" s="1" t="s">
        <v>4440</v>
      </c>
      <c r="D1460" s="1" t="s">
        <v>4441</v>
      </c>
      <c r="G1460" s="1">
        <v>1</v>
      </c>
      <c r="H1460" s="7">
        <v>45560</v>
      </c>
      <c r="I1460" s="1" t="s">
        <v>7455</v>
      </c>
      <c r="J1460" s="7">
        <v>45560</v>
      </c>
      <c r="K1460" s="1" t="s">
        <v>7455</v>
      </c>
    </row>
    <row r="1461" spans="1:11" x14ac:dyDescent="0.3">
      <c r="A1461" s="1">
        <v>1460</v>
      </c>
      <c r="B1461" s="1" t="s">
        <v>4442</v>
      </c>
      <c r="C1461" s="1" t="s">
        <v>4443</v>
      </c>
      <c r="D1461" s="1" t="s">
        <v>4444</v>
      </c>
      <c r="G1461" s="1">
        <v>1</v>
      </c>
      <c r="H1461" s="7">
        <v>45560</v>
      </c>
      <c r="I1461" s="1" t="s">
        <v>7455</v>
      </c>
      <c r="J1461" s="7">
        <v>45560</v>
      </c>
      <c r="K1461" s="1" t="s">
        <v>7455</v>
      </c>
    </row>
    <row r="1462" spans="1:11" x14ac:dyDescent="0.3">
      <c r="A1462" s="1">
        <v>1461</v>
      </c>
      <c r="B1462" s="1" t="s">
        <v>4445</v>
      </c>
      <c r="C1462" s="1" t="s">
        <v>4446</v>
      </c>
      <c r="D1462" s="1" t="s">
        <v>4447</v>
      </c>
      <c r="G1462" s="1">
        <v>1</v>
      </c>
      <c r="H1462" s="7">
        <v>45560</v>
      </c>
      <c r="I1462" s="1" t="s">
        <v>7455</v>
      </c>
      <c r="J1462" s="7">
        <v>45560</v>
      </c>
      <c r="K1462" s="1" t="s">
        <v>7455</v>
      </c>
    </row>
    <row r="1463" spans="1:11" x14ac:dyDescent="0.3">
      <c r="A1463" s="1">
        <v>1462</v>
      </c>
      <c r="B1463" s="1" t="s">
        <v>4448</v>
      </c>
      <c r="C1463" s="1" t="s">
        <v>4449</v>
      </c>
      <c r="E1463" s="1" t="s">
        <v>52</v>
      </c>
      <c r="G1463" s="1">
        <v>1</v>
      </c>
      <c r="H1463" s="7">
        <v>45560</v>
      </c>
      <c r="I1463" s="1" t="s">
        <v>7455</v>
      </c>
      <c r="J1463" s="7">
        <v>45560</v>
      </c>
      <c r="K1463" s="1" t="s">
        <v>7455</v>
      </c>
    </row>
    <row r="1464" spans="1:11" x14ac:dyDescent="0.3">
      <c r="A1464" s="1">
        <v>1463</v>
      </c>
      <c r="B1464" s="1" t="s">
        <v>4450</v>
      </c>
      <c r="C1464" s="1" t="s">
        <v>4451</v>
      </c>
      <c r="E1464" s="1" t="s">
        <v>52</v>
      </c>
      <c r="G1464" s="1">
        <v>1</v>
      </c>
      <c r="H1464" s="7">
        <v>45560</v>
      </c>
      <c r="I1464" s="1" t="s">
        <v>7455</v>
      </c>
      <c r="J1464" s="7">
        <v>45560</v>
      </c>
      <c r="K1464" s="1" t="s">
        <v>7455</v>
      </c>
    </row>
    <row r="1465" spans="1:11" x14ac:dyDescent="0.3">
      <c r="A1465" s="1">
        <v>1464</v>
      </c>
      <c r="B1465" s="1" t="s">
        <v>4452</v>
      </c>
      <c r="C1465" s="1" t="s">
        <v>4453</v>
      </c>
      <c r="D1465" s="1" t="s">
        <v>4454</v>
      </c>
      <c r="G1465" s="1">
        <v>1</v>
      </c>
      <c r="H1465" s="7">
        <v>45560</v>
      </c>
      <c r="I1465" s="1" t="s">
        <v>7455</v>
      </c>
      <c r="J1465" s="7">
        <v>45560</v>
      </c>
      <c r="K1465" s="1" t="s">
        <v>7455</v>
      </c>
    </row>
    <row r="1466" spans="1:11" x14ac:dyDescent="0.3">
      <c r="A1466" s="1">
        <v>1465</v>
      </c>
      <c r="B1466" s="1" t="s">
        <v>4455</v>
      </c>
      <c r="C1466" s="1" t="s">
        <v>4456</v>
      </c>
      <c r="D1466" s="1" t="s">
        <v>4457</v>
      </c>
      <c r="G1466" s="1">
        <v>1</v>
      </c>
      <c r="H1466" s="7">
        <v>45560</v>
      </c>
      <c r="I1466" s="1" t="s">
        <v>7455</v>
      </c>
      <c r="J1466" s="7">
        <v>45560</v>
      </c>
      <c r="K1466" s="1" t="s">
        <v>7455</v>
      </c>
    </row>
    <row r="1467" spans="1:11" x14ac:dyDescent="0.3">
      <c r="A1467" s="1">
        <v>1466</v>
      </c>
      <c r="B1467" s="1" t="s">
        <v>4458</v>
      </c>
      <c r="C1467" s="1" t="s">
        <v>4459</v>
      </c>
      <c r="D1467" s="1" t="s">
        <v>4460</v>
      </c>
      <c r="G1467" s="1">
        <v>1</v>
      </c>
      <c r="H1467" s="7">
        <v>45560</v>
      </c>
      <c r="I1467" s="1" t="s">
        <v>7455</v>
      </c>
      <c r="J1467" s="7">
        <v>45560</v>
      </c>
      <c r="K1467" s="1" t="s">
        <v>7455</v>
      </c>
    </row>
    <row r="1468" spans="1:11" x14ac:dyDescent="0.3">
      <c r="A1468" s="1">
        <v>1467</v>
      </c>
      <c r="B1468" s="1" t="s">
        <v>4461</v>
      </c>
      <c r="C1468" s="1" t="s">
        <v>4462</v>
      </c>
      <c r="D1468" s="1" t="s">
        <v>4463</v>
      </c>
      <c r="G1468" s="1">
        <v>1</v>
      </c>
      <c r="H1468" s="7">
        <v>45560</v>
      </c>
      <c r="I1468" s="1" t="s">
        <v>7455</v>
      </c>
      <c r="J1468" s="7">
        <v>45560</v>
      </c>
      <c r="K1468" s="1" t="s">
        <v>7455</v>
      </c>
    </row>
    <row r="1469" spans="1:11" x14ac:dyDescent="0.3">
      <c r="A1469" s="1">
        <v>1468</v>
      </c>
      <c r="B1469" s="1" t="s">
        <v>4464</v>
      </c>
      <c r="C1469" s="1" t="s">
        <v>4465</v>
      </c>
      <c r="D1469" s="1" t="s">
        <v>4466</v>
      </c>
      <c r="G1469" s="1">
        <v>1</v>
      </c>
      <c r="H1469" s="7">
        <v>45560</v>
      </c>
      <c r="I1469" s="1" t="s">
        <v>7455</v>
      </c>
      <c r="J1469" s="7">
        <v>45560</v>
      </c>
      <c r="K1469" s="1" t="s">
        <v>7455</v>
      </c>
    </row>
    <row r="1470" spans="1:11" x14ac:dyDescent="0.3">
      <c r="A1470" s="1">
        <v>1469</v>
      </c>
      <c r="B1470" s="1" t="s">
        <v>4467</v>
      </c>
      <c r="C1470" s="1" t="s">
        <v>4468</v>
      </c>
      <c r="D1470" s="1" t="s">
        <v>4469</v>
      </c>
      <c r="G1470" s="1">
        <v>1</v>
      </c>
      <c r="H1470" s="7">
        <v>45560</v>
      </c>
      <c r="I1470" s="1" t="s">
        <v>7455</v>
      </c>
      <c r="J1470" s="7">
        <v>45560</v>
      </c>
      <c r="K1470" s="1" t="s">
        <v>7455</v>
      </c>
    </row>
    <row r="1471" spans="1:11" x14ac:dyDescent="0.3">
      <c r="A1471" s="1">
        <v>1470</v>
      </c>
      <c r="B1471" s="1" t="s">
        <v>4470</v>
      </c>
      <c r="C1471" s="1" t="s">
        <v>4471</v>
      </c>
      <c r="D1471" s="1" t="s">
        <v>4472</v>
      </c>
      <c r="G1471" s="1">
        <v>1</v>
      </c>
      <c r="H1471" s="7">
        <v>45560</v>
      </c>
      <c r="I1471" s="1" t="s">
        <v>7455</v>
      </c>
      <c r="J1471" s="7">
        <v>45560</v>
      </c>
      <c r="K1471" s="1" t="s">
        <v>7455</v>
      </c>
    </row>
    <row r="1472" spans="1:11" x14ac:dyDescent="0.3">
      <c r="A1472" s="1">
        <v>1471</v>
      </c>
      <c r="B1472" s="1" t="s">
        <v>4473</v>
      </c>
      <c r="C1472" s="1" t="s">
        <v>4474</v>
      </c>
      <c r="D1472" s="1" t="s">
        <v>4475</v>
      </c>
      <c r="G1472" s="1">
        <v>1</v>
      </c>
      <c r="H1472" s="7">
        <v>45560</v>
      </c>
      <c r="I1472" s="1" t="s">
        <v>7455</v>
      </c>
      <c r="J1472" s="7">
        <v>45560</v>
      </c>
      <c r="K1472" s="1" t="s">
        <v>7455</v>
      </c>
    </row>
    <row r="1473" spans="1:11" x14ac:dyDescent="0.3">
      <c r="A1473" s="1">
        <v>1472</v>
      </c>
      <c r="B1473" s="1" t="s">
        <v>4476</v>
      </c>
      <c r="C1473" s="1" t="s">
        <v>4477</v>
      </c>
      <c r="D1473" s="1" t="s">
        <v>4478</v>
      </c>
      <c r="F1473" s="1" t="s">
        <v>4479</v>
      </c>
      <c r="G1473" s="1">
        <v>1</v>
      </c>
      <c r="H1473" s="7">
        <v>45560</v>
      </c>
      <c r="I1473" s="1" t="s">
        <v>7455</v>
      </c>
      <c r="J1473" s="7">
        <v>45560</v>
      </c>
      <c r="K1473" s="1" t="s">
        <v>7455</v>
      </c>
    </row>
    <row r="1474" spans="1:11" x14ac:dyDescent="0.3">
      <c r="A1474" s="1">
        <v>1473</v>
      </c>
      <c r="B1474" s="1" t="s">
        <v>4480</v>
      </c>
      <c r="C1474" s="1" t="s">
        <v>4481</v>
      </c>
      <c r="D1474" s="1" t="s">
        <v>4482</v>
      </c>
      <c r="F1474" s="1" t="s">
        <v>4483</v>
      </c>
      <c r="G1474" s="1">
        <v>1</v>
      </c>
      <c r="H1474" s="7">
        <v>45560</v>
      </c>
      <c r="I1474" s="1" t="s">
        <v>7455</v>
      </c>
      <c r="J1474" s="7">
        <v>45560</v>
      </c>
      <c r="K1474" s="1" t="s">
        <v>7455</v>
      </c>
    </row>
    <row r="1475" spans="1:11" x14ac:dyDescent="0.3">
      <c r="A1475" s="1">
        <v>1474</v>
      </c>
      <c r="B1475" s="1" t="s">
        <v>4484</v>
      </c>
      <c r="C1475" s="1" t="s">
        <v>4485</v>
      </c>
      <c r="D1475" s="1" t="s">
        <v>4486</v>
      </c>
      <c r="G1475" s="1">
        <v>1</v>
      </c>
      <c r="H1475" s="7">
        <v>45560</v>
      </c>
      <c r="I1475" s="1" t="s">
        <v>7455</v>
      </c>
      <c r="J1475" s="7">
        <v>45560</v>
      </c>
      <c r="K1475" s="1" t="s">
        <v>7455</v>
      </c>
    </row>
    <row r="1476" spans="1:11" x14ac:dyDescent="0.3">
      <c r="A1476" s="1">
        <v>1475</v>
      </c>
      <c r="B1476" s="1" t="s">
        <v>4487</v>
      </c>
      <c r="C1476" s="1" t="s">
        <v>4488</v>
      </c>
      <c r="D1476" s="1" t="s">
        <v>4489</v>
      </c>
      <c r="F1476" s="1" t="s">
        <v>4490</v>
      </c>
      <c r="G1476" s="1">
        <v>1</v>
      </c>
      <c r="H1476" s="7">
        <v>45560</v>
      </c>
      <c r="I1476" s="1" t="s">
        <v>7455</v>
      </c>
      <c r="J1476" s="7">
        <v>45560</v>
      </c>
      <c r="K1476" s="1" t="s">
        <v>7455</v>
      </c>
    </row>
    <row r="1477" spans="1:11" x14ac:dyDescent="0.3">
      <c r="A1477" s="1">
        <v>1476</v>
      </c>
      <c r="B1477" s="1" t="s">
        <v>4491</v>
      </c>
      <c r="C1477" s="1" t="s">
        <v>4492</v>
      </c>
      <c r="D1477" s="1" t="s">
        <v>4493</v>
      </c>
      <c r="F1477" s="1" t="s">
        <v>4494</v>
      </c>
      <c r="G1477" s="1">
        <v>1</v>
      </c>
      <c r="H1477" s="7">
        <v>45560</v>
      </c>
      <c r="I1477" s="1" t="s">
        <v>7455</v>
      </c>
      <c r="J1477" s="7">
        <v>45560</v>
      </c>
      <c r="K1477" s="1" t="s">
        <v>7455</v>
      </c>
    </row>
    <row r="1478" spans="1:11" x14ac:dyDescent="0.3">
      <c r="A1478" s="1">
        <v>1477</v>
      </c>
      <c r="B1478" s="1" t="s">
        <v>4495</v>
      </c>
      <c r="C1478" s="1" t="s">
        <v>4496</v>
      </c>
      <c r="E1478" s="1" t="s">
        <v>52</v>
      </c>
      <c r="G1478" s="1">
        <v>1</v>
      </c>
      <c r="H1478" s="7">
        <v>45560</v>
      </c>
      <c r="I1478" s="1" t="s">
        <v>7455</v>
      </c>
      <c r="J1478" s="7">
        <v>45560</v>
      </c>
      <c r="K1478" s="1" t="s">
        <v>7455</v>
      </c>
    </row>
    <row r="1479" spans="1:11" x14ac:dyDescent="0.3">
      <c r="A1479" s="1">
        <v>1478</v>
      </c>
      <c r="B1479" s="1" t="s">
        <v>4497</v>
      </c>
      <c r="C1479" s="1" t="s">
        <v>4498</v>
      </c>
      <c r="D1479" s="1" t="s">
        <v>4499</v>
      </c>
      <c r="G1479" s="1">
        <v>1</v>
      </c>
      <c r="H1479" s="7">
        <v>45560</v>
      </c>
      <c r="I1479" s="1" t="s">
        <v>7455</v>
      </c>
      <c r="J1479" s="7">
        <v>45560</v>
      </c>
      <c r="K1479" s="1" t="s">
        <v>7455</v>
      </c>
    </row>
    <row r="1480" spans="1:11" x14ac:dyDescent="0.3">
      <c r="A1480" s="1">
        <v>1479</v>
      </c>
      <c r="B1480" s="1" t="s">
        <v>4500</v>
      </c>
      <c r="C1480" s="1" t="s">
        <v>4501</v>
      </c>
      <c r="E1480" s="1" t="s">
        <v>52</v>
      </c>
      <c r="G1480" s="1">
        <v>1</v>
      </c>
      <c r="H1480" s="7">
        <v>45560</v>
      </c>
      <c r="I1480" s="1" t="s">
        <v>7455</v>
      </c>
      <c r="J1480" s="7">
        <v>45560</v>
      </c>
      <c r="K1480" s="1" t="s">
        <v>7455</v>
      </c>
    </row>
    <row r="1481" spans="1:11" x14ac:dyDescent="0.3">
      <c r="A1481" s="1">
        <v>1480</v>
      </c>
      <c r="B1481" s="1" t="s">
        <v>4502</v>
      </c>
      <c r="C1481" s="1" t="s">
        <v>4503</v>
      </c>
      <c r="F1481" s="1" t="s">
        <v>4504</v>
      </c>
      <c r="G1481" s="1">
        <v>1</v>
      </c>
      <c r="H1481" s="7">
        <v>45560</v>
      </c>
      <c r="I1481" s="1" t="s">
        <v>7455</v>
      </c>
      <c r="J1481" s="7">
        <v>45560</v>
      </c>
      <c r="K1481" s="1" t="s">
        <v>7455</v>
      </c>
    </row>
    <row r="1482" spans="1:11" x14ac:dyDescent="0.3">
      <c r="A1482" s="1">
        <v>1481</v>
      </c>
      <c r="B1482" s="1" t="s">
        <v>4505</v>
      </c>
      <c r="C1482" s="1" t="s">
        <v>4506</v>
      </c>
      <c r="F1482" s="1" t="s">
        <v>4507</v>
      </c>
      <c r="G1482" s="1">
        <v>1</v>
      </c>
      <c r="H1482" s="7">
        <v>45560</v>
      </c>
      <c r="I1482" s="1" t="s">
        <v>7455</v>
      </c>
      <c r="J1482" s="7">
        <v>45560</v>
      </c>
      <c r="K1482" s="1" t="s">
        <v>7455</v>
      </c>
    </row>
    <row r="1483" spans="1:11" x14ac:dyDescent="0.3">
      <c r="A1483" s="1">
        <v>1482</v>
      </c>
      <c r="B1483" s="1" t="s">
        <v>4508</v>
      </c>
      <c r="C1483" s="1" t="s">
        <v>4509</v>
      </c>
      <c r="F1483" s="1" t="s">
        <v>4510</v>
      </c>
      <c r="G1483" s="1">
        <v>1</v>
      </c>
      <c r="H1483" s="7">
        <v>45560</v>
      </c>
      <c r="I1483" s="1" t="s">
        <v>7455</v>
      </c>
      <c r="J1483" s="7">
        <v>45560</v>
      </c>
      <c r="K1483" s="1" t="s">
        <v>7455</v>
      </c>
    </row>
    <row r="1484" spans="1:11" x14ac:dyDescent="0.3">
      <c r="A1484" s="1">
        <v>1483</v>
      </c>
      <c r="B1484" s="1" t="s">
        <v>4511</v>
      </c>
      <c r="C1484" s="1" t="s">
        <v>4512</v>
      </c>
      <c r="F1484" s="1" t="s">
        <v>4513</v>
      </c>
      <c r="G1484" s="1">
        <v>1</v>
      </c>
      <c r="H1484" s="7">
        <v>45560</v>
      </c>
      <c r="I1484" s="1" t="s">
        <v>7455</v>
      </c>
      <c r="J1484" s="7">
        <v>45560</v>
      </c>
      <c r="K1484" s="1" t="s">
        <v>7455</v>
      </c>
    </row>
    <row r="1485" spans="1:11" x14ac:dyDescent="0.3">
      <c r="A1485" s="1">
        <v>1484</v>
      </c>
      <c r="B1485" s="1" t="s">
        <v>4514</v>
      </c>
      <c r="C1485" s="1" t="s">
        <v>4515</v>
      </c>
      <c r="F1485" s="1" t="s">
        <v>4516</v>
      </c>
      <c r="G1485" s="1">
        <v>1</v>
      </c>
      <c r="H1485" s="7">
        <v>45560</v>
      </c>
      <c r="I1485" s="1" t="s">
        <v>7455</v>
      </c>
      <c r="J1485" s="7">
        <v>45560</v>
      </c>
      <c r="K1485" s="1" t="s">
        <v>7455</v>
      </c>
    </row>
    <row r="1486" spans="1:11" x14ac:dyDescent="0.3">
      <c r="A1486" s="1">
        <v>1485</v>
      </c>
      <c r="B1486" s="1" t="s">
        <v>4517</v>
      </c>
      <c r="C1486" s="1" t="s">
        <v>4518</v>
      </c>
      <c r="F1486" s="1" t="s">
        <v>4519</v>
      </c>
      <c r="G1486" s="1">
        <v>1</v>
      </c>
      <c r="H1486" s="7">
        <v>45560</v>
      </c>
      <c r="I1486" s="1" t="s">
        <v>7455</v>
      </c>
      <c r="J1486" s="7">
        <v>45560</v>
      </c>
      <c r="K1486" s="1" t="s">
        <v>7455</v>
      </c>
    </row>
    <row r="1487" spans="1:11" x14ac:dyDescent="0.3">
      <c r="A1487" s="1">
        <v>1486</v>
      </c>
      <c r="B1487" s="1" t="s">
        <v>4520</v>
      </c>
      <c r="C1487" s="1" t="s">
        <v>4521</v>
      </c>
      <c r="F1487" s="1" t="s">
        <v>4522</v>
      </c>
      <c r="G1487" s="1">
        <v>1</v>
      </c>
      <c r="H1487" s="7">
        <v>45560</v>
      </c>
      <c r="I1487" s="1" t="s">
        <v>7455</v>
      </c>
      <c r="J1487" s="7">
        <v>45560</v>
      </c>
      <c r="K1487" s="1" t="s">
        <v>7455</v>
      </c>
    </row>
    <row r="1488" spans="1:11" x14ac:dyDescent="0.3">
      <c r="A1488" s="1">
        <v>1487</v>
      </c>
      <c r="B1488" s="1" t="s">
        <v>4523</v>
      </c>
      <c r="C1488" s="1" t="s">
        <v>4524</v>
      </c>
      <c r="F1488" s="1" t="s">
        <v>4525</v>
      </c>
      <c r="G1488" s="1">
        <v>1</v>
      </c>
      <c r="H1488" s="7">
        <v>45560</v>
      </c>
      <c r="I1488" s="1" t="s">
        <v>7455</v>
      </c>
      <c r="J1488" s="7">
        <v>45560</v>
      </c>
      <c r="K1488" s="1" t="s">
        <v>7455</v>
      </c>
    </row>
    <row r="1489" spans="1:11" x14ac:dyDescent="0.3">
      <c r="A1489" s="1">
        <v>1488</v>
      </c>
      <c r="B1489" s="1" t="s">
        <v>4526</v>
      </c>
      <c r="C1489" s="1" t="s">
        <v>4527</v>
      </c>
      <c r="F1489" s="1" t="s">
        <v>4528</v>
      </c>
      <c r="G1489" s="1">
        <v>1</v>
      </c>
      <c r="H1489" s="7">
        <v>45560</v>
      </c>
      <c r="I1489" s="1" t="s">
        <v>7455</v>
      </c>
      <c r="J1489" s="7">
        <v>45560</v>
      </c>
      <c r="K1489" s="1" t="s">
        <v>7455</v>
      </c>
    </row>
    <row r="1490" spans="1:11" x14ac:dyDescent="0.3">
      <c r="A1490" s="1">
        <v>1489</v>
      </c>
      <c r="B1490" s="1" t="s">
        <v>4529</v>
      </c>
      <c r="C1490" s="1" t="s">
        <v>4530</v>
      </c>
      <c r="F1490" s="1" t="s">
        <v>4531</v>
      </c>
      <c r="G1490" s="1">
        <v>1</v>
      </c>
      <c r="H1490" s="7">
        <v>45560</v>
      </c>
      <c r="I1490" s="1" t="s">
        <v>7455</v>
      </c>
      <c r="J1490" s="7">
        <v>45560</v>
      </c>
      <c r="K1490" s="1" t="s">
        <v>7455</v>
      </c>
    </row>
    <row r="1491" spans="1:11" x14ac:dyDescent="0.3">
      <c r="A1491" s="1">
        <v>1490</v>
      </c>
      <c r="B1491" s="1" t="s">
        <v>4532</v>
      </c>
      <c r="C1491" s="1" t="s">
        <v>4533</v>
      </c>
      <c r="D1491" s="1" t="s">
        <v>4534</v>
      </c>
      <c r="F1491" s="1" t="s">
        <v>4535</v>
      </c>
      <c r="G1491" s="1">
        <v>1</v>
      </c>
      <c r="H1491" s="7">
        <v>45560</v>
      </c>
      <c r="I1491" s="1" t="s">
        <v>7455</v>
      </c>
      <c r="J1491" s="7">
        <v>45560</v>
      </c>
      <c r="K1491" s="1" t="s">
        <v>7455</v>
      </c>
    </row>
    <row r="1492" spans="1:11" x14ac:dyDescent="0.3">
      <c r="A1492" s="1">
        <v>1491</v>
      </c>
      <c r="B1492" s="1" t="s">
        <v>4536</v>
      </c>
      <c r="C1492" s="1" t="s">
        <v>4537</v>
      </c>
      <c r="F1492" s="1" t="s">
        <v>4538</v>
      </c>
      <c r="G1492" s="1">
        <v>1</v>
      </c>
      <c r="H1492" s="7">
        <v>45560</v>
      </c>
      <c r="I1492" s="1" t="s">
        <v>7455</v>
      </c>
      <c r="J1492" s="7">
        <v>45560</v>
      </c>
      <c r="K1492" s="1" t="s">
        <v>7455</v>
      </c>
    </row>
    <row r="1493" spans="1:11" x14ac:dyDescent="0.3">
      <c r="A1493" s="1">
        <v>1492</v>
      </c>
      <c r="B1493" s="1" t="s">
        <v>4539</v>
      </c>
      <c r="C1493" s="1" t="s">
        <v>4540</v>
      </c>
      <c r="F1493" s="1" t="s">
        <v>4541</v>
      </c>
      <c r="G1493" s="1">
        <v>1</v>
      </c>
      <c r="H1493" s="7">
        <v>45560</v>
      </c>
      <c r="I1493" s="1" t="s">
        <v>7455</v>
      </c>
      <c r="J1493" s="7">
        <v>45560</v>
      </c>
      <c r="K1493" s="1" t="s">
        <v>7455</v>
      </c>
    </row>
    <row r="1494" spans="1:11" x14ac:dyDescent="0.3">
      <c r="A1494" s="1">
        <v>1493</v>
      </c>
      <c r="B1494" s="1" t="s">
        <v>4542</v>
      </c>
      <c r="C1494" s="1" t="s">
        <v>4543</v>
      </c>
      <c r="F1494" s="1" t="s">
        <v>4544</v>
      </c>
      <c r="G1494" s="1">
        <v>1</v>
      </c>
      <c r="H1494" s="7">
        <v>45560</v>
      </c>
      <c r="I1494" s="1" t="s">
        <v>7455</v>
      </c>
      <c r="J1494" s="7">
        <v>45560</v>
      </c>
      <c r="K1494" s="1" t="s">
        <v>7455</v>
      </c>
    </row>
    <row r="1495" spans="1:11" x14ac:dyDescent="0.3">
      <c r="A1495" s="1">
        <v>1494</v>
      </c>
      <c r="B1495" s="1" t="s">
        <v>4545</v>
      </c>
      <c r="C1495" s="1" t="s">
        <v>4546</v>
      </c>
      <c r="F1495" s="1" t="s">
        <v>4547</v>
      </c>
      <c r="G1495" s="1">
        <v>1</v>
      </c>
      <c r="H1495" s="7">
        <v>45560</v>
      </c>
      <c r="I1495" s="1" t="s">
        <v>7455</v>
      </c>
      <c r="J1495" s="7">
        <v>45560</v>
      </c>
      <c r="K1495" s="1" t="s">
        <v>7455</v>
      </c>
    </row>
    <row r="1496" spans="1:11" x14ac:dyDescent="0.3">
      <c r="A1496" s="1">
        <v>1495</v>
      </c>
      <c r="B1496" s="1" t="s">
        <v>4548</v>
      </c>
      <c r="C1496" s="1" t="s">
        <v>4549</v>
      </c>
      <c r="F1496" s="1" t="s">
        <v>4550</v>
      </c>
      <c r="G1496" s="1">
        <v>1</v>
      </c>
      <c r="H1496" s="7">
        <v>45560</v>
      </c>
      <c r="I1496" s="1" t="s">
        <v>7455</v>
      </c>
      <c r="J1496" s="7">
        <v>45560</v>
      </c>
      <c r="K1496" s="1" t="s">
        <v>7455</v>
      </c>
    </row>
    <row r="1497" spans="1:11" x14ac:dyDescent="0.3">
      <c r="A1497" s="1">
        <v>1496</v>
      </c>
      <c r="B1497" s="1" t="s">
        <v>4551</v>
      </c>
      <c r="C1497" s="1" t="s">
        <v>4552</v>
      </c>
      <c r="D1497" s="1" t="s">
        <v>4553</v>
      </c>
      <c r="F1497" s="1" t="s">
        <v>4554</v>
      </c>
      <c r="G1497" s="1">
        <v>1</v>
      </c>
      <c r="H1497" s="7">
        <v>45560</v>
      </c>
      <c r="I1497" s="1" t="s">
        <v>7455</v>
      </c>
      <c r="J1497" s="7">
        <v>45560</v>
      </c>
      <c r="K1497" s="1" t="s">
        <v>7455</v>
      </c>
    </row>
    <row r="1498" spans="1:11" x14ac:dyDescent="0.3">
      <c r="A1498" s="1">
        <v>1497</v>
      </c>
      <c r="B1498" s="1" t="s">
        <v>4555</v>
      </c>
      <c r="C1498" s="1" t="s">
        <v>4556</v>
      </c>
      <c r="F1498" s="1" t="s">
        <v>4557</v>
      </c>
      <c r="G1498" s="1">
        <v>1</v>
      </c>
      <c r="H1498" s="7">
        <v>45560</v>
      </c>
      <c r="I1498" s="1" t="s">
        <v>7455</v>
      </c>
      <c r="J1498" s="7">
        <v>45560</v>
      </c>
      <c r="K1498" s="1" t="s">
        <v>7455</v>
      </c>
    </row>
    <row r="1499" spans="1:11" x14ac:dyDescent="0.3">
      <c r="A1499" s="1">
        <v>1498</v>
      </c>
      <c r="B1499" s="1" t="s">
        <v>4558</v>
      </c>
      <c r="C1499" s="1" t="s">
        <v>4559</v>
      </c>
      <c r="F1499" s="1" t="s">
        <v>4560</v>
      </c>
      <c r="G1499" s="1">
        <v>1</v>
      </c>
      <c r="H1499" s="7">
        <v>45560</v>
      </c>
      <c r="I1499" s="1" t="s">
        <v>7455</v>
      </c>
      <c r="J1499" s="7">
        <v>45560</v>
      </c>
      <c r="K1499" s="1" t="s">
        <v>7455</v>
      </c>
    </row>
    <row r="1500" spans="1:11" x14ac:dyDescent="0.3">
      <c r="A1500" s="1">
        <v>1499</v>
      </c>
      <c r="B1500" s="1" t="s">
        <v>4561</v>
      </c>
      <c r="C1500" s="1" t="s">
        <v>4562</v>
      </c>
      <c r="F1500" s="1" t="s">
        <v>4563</v>
      </c>
      <c r="G1500" s="1">
        <v>1</v>
      </c>
      <c r="H1500" s="7">
        <v>45560</v>
      </c>
      <c r="I1500" s="1" t="s">
        <v>7455</v>
      </c>
      <c r="J1500" s="7">
        <v>45560</v>
      </c>
      <c r="K1500" s="1" t="s">
        <v>7455</v>
      </c>
    </row>
    <row r="1501" spans="1:11" x14ac:dyDescent="0.3">
      <c r="A1501" s="1">
        <v>1500</v>
      </c>
      <c r="B1501" s="1" t="s">
        <v>4564</v>
      </c>
      <c r="C1501" s="1" t="s">
        <v>4565</v>
      </c>
      <c r="F1501" s="1" t="s">
        <v>4566</v>
      </c>
      <c r="G1501" s="1">
        <v>1</v>
      </c>
      <c r="H1501" s="7">
        <v>45560</v>
      </c>
      <c r="I1501" s="1" t="s">
        <v>7455</v>
      </c>
      <c r="J1501" s="7">
        <v>45560</v>
      </c>
      <c r="K1501" s="1" t="s">
        <v>7455</v>
      </c>
    </row>
    <row r="1502" spans="1:11" x14ac:dyDescent="0.3">
      <c r="A1502" s="1">
        <v>1501</v>
      </c>
      <c r="B1502" s="1" t="s">
        <v>4567</v>
      </c>
      <c r="C1502" s="1" t="s">
        <v>4568</v>
      </c>
      <c r="F1502" s="1" t="s">
        <v>4569</v>
      </c>
      <c r="G1502" s="1">
        <v>1</v>
      </c>
      <c r="H1502" s="7">
        <v>45560</v>
      </c>
      <c r="I1502" s="1" t="s">
        <v>7455</v>
      </c>
      <c r="J1502" s="7">
        <v>45560</v>
      </c>
      <c r="K1502" s="1" t="s">
        <v>7455</v>
      </c>
    </row>
    <row r="1503" spans="1:11" x14ac:dyDescent="0.3">
      <c r="A1503" s="1">
        <v>1502</v>
      </c>
      <c r="B1503" s="1" t="s">
        <v>4570</v>
      </c>
      <c r="C1503" s="1" t="s">
        <v>4571</v>
      </c>
      <c r="F1503" s="1" t="s">
        <v>4572</v>
      </c>
      <c r="G1503" s="1">
        <v>1</v>
      </c>
      <c r="H1503" s="7">
        <v>45560</v>
      </c>
      <c r="I1503" s="1" t="s">
        <v>7455</v>
      </c>
      <c r="J1503" s="7">
        <v>45560</v>
      </c>
      <c r="K1503" s="1" t="s">
        <v>7455</v>
      </c>
    </row>
    <row r="1504" spans="1:11" x14ac:dyDescent="0.3">
      <c r="A1504" s="1">
        <v>1503</v>
      </c>
      <c r="B1504" s="1" t="s">
        <v>4573</v>
      </c>
      <c r="C1504" s="1" t="s">
        <v>4574</v>
      </c>
      <c r="F1504" s="1" t="s">
        <v>4575</v>
      </c>
      <c r="G1504" s="1">
        <v>1</v>
      </c>
      <c r="H1504" s="7">
        <v>45560</v>
      </c>
      <c r="I1504" s="1" t="s">
        <v>7455</v>
      </c>
      <c r="J1504" s="7">
        <v>45560</v>
      </c>
      <c r="K1504" s="1" t="s">
        <v>7455</v>
      </c>
    </row>
    <row r="1505" spans="1:11" x14ac:dyDescent="0.3">
      <c r="A1505" s="1">
        <v>1504</v>
      </c>
      <c r="B1505" s="1" t="s">
        <v>4576</v>
      </c>
      <c r="C1505" s="1" t="s">
        <v>4577</v>
      </c>
      <c r="F1505" s="1" t="s">
        <v>4578</v>
      </c>
      <c r="G1505" s="1">
        <v>1</v>
      </c>
      <c r="H1505" s="7">
        <v>45560</v>
      </c>
      <c r="I1505" s="1" t="s">
        <v>7455</v>
      </c>
      <c r="J1505" s="7">
        <v>45560</v>
      </c>
      <c r="K1505" s="1" t="s">
        <v>7455</v>
      </c>
    </row>
    <row r="1506" spans="1:11" x14ac:dyDescent="0.3">
      <c r="A1506" s="1">
        <v>1505</v>
      </c>
      <c r="B1506" s="1" t="s">
        <v>4579</v>
      </c>
      <c r="C1506" s="1" t="s">
        <v>4580</v>
      </c>
      <c r="F1506" s="1" t="s">
        <v>4581</v>
      </c>
      <c r="G1506" s="1">
        <v>1</v>
      </c>
      <c r="H1506" s="7">
        <v>45560</v>
      </c>
      <c r="I1506" s="1" t="s">
        <v>7455</v>
      </c>
      <c r="J1506" s="7">
        <v>45560</v>
      </c>
      <c r="K1506" s="1" t="s">
        <v>7455</v>
      </c>
    </row>
    <row r="1507" spans="1:11" x14ac:dyDescent="0.3">
      <c r="A1507" s="1">
        <v>1506</v>
      </c>
      <c r="B1507" s="1" t="s">
        <v>4582</v>
      </c>
      <c r="C1507" s="1" t="s">
        <v>4583</v>
      </c>
      <c r="D1507" s="1" t="s">
        <v>4584</v>
      </c>
      <c r="F1507" s="1" t="s">
        <v>4585</v>
      </c>
      <c r="G1507" s="1">
        <v>1</v>
      </c>
      <c r="H1507" s="7">
        <v>45560</v>
      </c>
      <c r="I1507" s="1" t="s">
        <v>7455</v>
      </c>
      <c r="J1507" s="7">
        <v>45560</v>
      </c>
      <c r="K1507" s="1" t="s">
        <v>7455</v>
      </c>
    </row>
    <row r="1508" spans="1:11" x14ac:dyDescent="0.3">
      <c r="A1508" s="1">
        <v>1507</v>
      </c>
      <c r="B1508" s="1" t="s">
        <v>4586</v>
      </c>
      <c r="C1508" s="1" t="s">
        <v>4587</v>
      </c>
      <c r="D1508" s="1" t="s">
        <v>4588</v>
      </c>
      <c r="F1508" s="1" t="s">
        <v>4589</v>
      </c>
      <c r="G1508" s="1">
        <v>1</v>
      </c>
      <c r="H1508" s="7">
        <v>45560</v>
      </c>
      <c r="I1508" s="1" t="s">
        <v>7455</v>
      </c>
      <c r="J1508" s="7">
        <v>45560</v>
      </c>
      <c r="K1508" s="1" t="s">
        <v>7455</v>
      </c>
    </row>
    <row r="1509" spans="1:11" x14ac:dyDescent="0.3">
      <c r="A1509" s="1">
        <v>1508</v>
      </c>
      <c r="B1509" s="1" t="s">
        <v>4590</v>
      </c>
      <c r="C1509" s="1" t="s">
        <v>4591</v>
      </c>
      <c r="D1509" s="1" t="s">
        <v>4592</v>
      </c>
      <c r="F1509" s="1" t="s">
        <v>4593</v>
      </c>
      <c r="G1509" s="1">
        <v>1</v>
      </c>
      <c r="H1509" s="7">
        <v>45560</v>
      </c>
      <c r="I1509" s="1" t="s">
        <v>7455</v>
      </c>
      <c r="J1509" s="7">
        <v>45560</v>
      </c>
      <c r="K1509" s="1" t="s">
        <v>7455</v>
      </c>
    </row>
    <row r="1510" spans="1:11" x14ac:dyDescent="0.3">
      <c r="A1510" s="1">
        <v>1509</v>
      </c>
      <c r="B1510" s="1" t="s">
        <v>4594</v>
      </c>
      <c r="C1510" s="1" t="s">
        <v>4595</v>
      </c>
      <c r="D1510" s="1" t="s">
        <v>4596</v>
      </c>
      <c r="F1510" s="1" t="s">
        <v>4597</v>
      </c>
      <c r="G1510" s="1">
        <v>1</v>
      </c>
      <c r="H1510" s="7">
        <v>45560</v>
      </c>
      <c r="I1510" s="1" t="s">
        <v>7455</v>
      </c>
      <c r="J1510" s="7">
        <v>45560</v>
      </c>
      <c r="K1510" s="1" t="s">
        <v>7455</v>
      </c>
    </row>
    <row r="1511" spans="1:11" x14ac:dyDescent="0.3">
      <c r="A1511" s="1">
        <v>1510</v>
      </c>
      <c r="B1511" s="1" t="s">
        <v>4598</v>
      </c>
      <c r="C1511" s="1" t="s">
        <v>4599</v>
      </c>
      <c r="D1511" s="1" t="s">
        <v>4600</v>
      </c>
      <c r="G1511" s="1">
        <v>1</v>
      </c>
      <c r="H1511" s="7">
        <v>45560</v>
      </c>
      <c r="I1511" s="1" t="s">
        <v>7455</v>
      </c>
      <c r="J1511" s="7">
        <v>45560</v>
      </c>
      <c r="K1511" s="1" t="s">
        <v>7455</v>
      </c>
    </row>
    <row r="1512" spans="1:11" x14ac:dyDescent="0.3">
      <c r="A1512" s="1">
        <v>1511</v>
      </c>
      <c r="B1512" s="1" t="s">
        <v>4601</v>
      </c>
      <c r="C1512" s="1" t="s">
        <v>4602</v>
      </c>
      <c r="D1512" s="1" t="s">
        <v>4603</v>
      </c>
      <c r="F1512" s="1" t="s">
        <v>4604</v>
      </c>
      <c r="G1512" s="1">
        <v>1</v>
      </c>
      <c r="H1512" s="7">
        <v>45560</v>
      </c>
      <c r="I1512" s="1" t="s">
        <v>7455</v>
      </c>
      <c r="J1512" s="7">
        <v>45560</v>
      </c>
      <c r="K1512" s="1" t="s">
        <v>7455</v>
      </c>
    </row>
    <row r="1513" spans="1:11" x14ac:dyDescent="0.3">
      <c r="A1513" s="1">
        <v>1512</v>
      </c>
      <c r="B1513" s="1" t="s">
        <v>4605</v>
      </c>
      <c r="C1513" s="1" t="s">
        <v>4606</v>
      </c>
      <c r="D1513" s="1" t="s">
        <v>4607</v>
      </c>
      <c r="F1513" s="1" t="s">
        <v>4608</v>
      </c>
      <c r="G1513" s="1">
        <v>1</v>
      </c>
      <c r="H1513" s="7">
        <v>45560</v>
      </c>
      <c r="I1513" s="1" t="s">
        <v>7455</v>
      </c>
      <c r="J1513" s="7">
        <v>45560</v>
      </c>
      <c r="K1513" s="1" t="s">
        <v>7455</v>
      </c>
    </row>
    <row r="1514" spans="1:11" x14ac:dyDescent="0.3">
      <c r="A1514" s="1">
        <v>1513</v>
      </c>
      <c r="B1514" s="1" t="s">
        <v>4609</v>
      </c>
      <c r="C1514" s="1" t="s">
        <v>4610</v>
      </c>
      <c r="D1514" s="1" t="s">
        <v>4611</v>
      </c>
      <c r="F1514" s="1" t="s">
        <v>4612</v>
      </c>
      <c r="G1514" s="1">
        <v>1</v>
      </c>
      <c r="H1514" s="7">
        <v>45560</v>
      </c>
      <c r="I1514" s="1" t="s">
        <v>7455</v>
      </c>
      <c r="J1514" s="7">
        <v>45560</v>
      </c>
      <c r="K1514" s="1" t="s">
        <v>7455</v>
      </c>
    </row>
    <row r="1515" spans="1:11" x14ac:dyDescent="0.3">
      <c r="A1515" s="1">
        <v>1514</v>
      </c>
      <c r="B1515" s="1" t="s">
        <v>4613</v>
      </c>
      <c r="C1515" s="1" t="s">
        <v>4614</v>
      </c>
      <c r="D1515" s="1" t="s">
        <v>4615</v>
      </c>
      <c r="F1515" s="1" t="s">
        <v>345</v>
      </c>
      <c r="G1515" s="1">
        <v>1</v>
      </c>
      <c r="H1515" s="7">
        <v>45560</v>
      </c>
      <c r="I1515" s="1" t="s">
        <v>7455</v>
      </c>
      <c r="J1515" s="7">
        <v>45560</v>
      </c>
      <c r="K1515" s="1" t="s">
        <v>7455</v>
      </c>
    </row>
    <row r="1516" spans="1:11" x14ac:dyDescent="0.3">
      <c r="A1516" s="1">
        <v>1515</v>
      </c>
      <c r="B1516" s="1" t="s">
        <v>4616</v>
      </c>
      <c r="C1516" s="1" t="s">
        <v>4617</v>
      </c>
      <c r="D1516" s="1" t="s">
        <v>4618</v>
      </c>
      <c r="F1516" s="1" t="s">
        <v>4619</v>
      </c>
      <c r="G1516" s="1">
        <v>1</v>
      </c>
      <c r="H1516" s="7">
        <v>45560</v>
      </c>
      <c r="I1516" s="1" t="s">
        <v>7455</v>
      </c>
      <c r="J1516" s="7">
        <v>45560</v>
      </c>
      <c r="K1516" s="1" t="s">
        <v>7455</v>
      </c>
    </row>
    <row r="1517" spans="1:11" x14ac:dyDescent="0.3">
      <c r="A1517" s="1">
        <v>1516</v>
      </c>
      <c r="B1517" s="1" t="s">
        <v>4620</v>
      </c>
      <c r="C1517" s="1" t="s">
        <v>4621</v>
      </c>
      <c r="D1517" s="1" t="s">
        <v>4622</v>
      </c>
      <c r="F1517" s="1" t="s">
        <v>4623</v>
      </c>
      <c r="G1517" s="1">
        <v>1</v>
      </c>
      <c r="H1517" s="7">
        <v>45560</v>
      </c>
      <c r="I1517" s="1" t="s">
        <v>7455</v>
      </c>
      <c r="J1517" s="7">
        <v>45560</v>
      </c>
      <c r="K1517" s="1" t="s">
        <v>7455</v>
      </c>
    </row>
    <row r="1518" spans="1:11" x14ac:dyDescent="0.3">
      <c r="A1518" s="1">
        <v>1517</v>
      </c>
      <c r="B1518" s="1" t="s">
        <v>4624</v>
      </c>
      <c r="C1518" s="1" t="s">
        <v>4625</v>
      </c>
      <c r="F1518" s="1" t="s">
        <v>4626</v>
      </c>
      <c r="G1518" s="1">
        <v>1</v>
      </c>
      <c r="H1518" s="7">
        <v>45560</v>
      </c>
      <c r="I1518" s="1" t="s">
        <v>7455</v>
      </c>
      <c r="J1518" s="7">
        <v>45560</v>
      </c>
      <c r="K1518" s="1" t="s">
        <v>7455</v>
      </c>
    </row>
    <row r="1519" spans="1:11" x14ac:dyDescent="0.3">
      <c r="A1519" s="1">
        <v>1518</v>
      </c>
      <c r="B1519" s="1" t="s">
        <v>4627</v>
      </c>
      <c r="C1519" s="1" t="s">
        <v>4628</v>
      </c>
      <c r="D1519" s="1" t="s">
        <v>4629</v>
      </c>
      <c r="F1519" s="1" t="s">
        <v>4630</v>
      </c>
      <c r="G1519" s="1">
        <v>1</v>
      </c>
      <c r="H1519" s="7">
        <v>45560</v>
      </c>
      <c r="I1519" s="1" t="s">
        <v>7455</v>
      </c>
      <c r="J1519" s="7">
        <v>45560</v>
      </c>
      <c r="K1519" s="1" t="s">
        <v>7455</v>
      </c>
    </row>
    <row r="1520" spans="1:11" x14ac:dyDescent="0.3">
      <c r="A1520" s="1">
        <v>1519</v>
      </c>
      <c r="B1520" s="1" t="s">
        <v>4631</v>
      </c>
      <c r="C1520" s="1" t="s">
        <v>4632</v>
      </c>
      <c r="D1520" s="1" t="s">
        <v>4633</v>
      </c>
      <c r="F1520" s="1" t="s">
        <v>4634</v>
      </c>
      <c r="G1520" s="1">
        <v>1</v>
      </c>
      <c r="H1520" s="7">
        <v>45560</v>
      </c>
      <c r="I1520" s="1" t="s">
        <v>7455</v>
      </c>
      <c r="J1520" s="7">
        <v>45560</v>
      </c>
      <c r="K1520" s="1" t="s">
        <v>7455</v>
      </c>
    </row>
    <row r="1521" spans="1:11" x14ac:dyDescent="0.3">
      <c r="A1521" s="1">
        <v>1520</v>
      </c>
      <c r="B1521" s="1" t="s">
        <v>4635</v>
      </c>
      <c r="C1521" s="1" t="s">
        <v>4636</v>
      </c>
      <c r="D1521" s="1" t="s">
        <v>4637</v>
      </c>
      <c r="F1521" s="1" t="s">
        <v>4638</v>
      </c>
      <c r="G1521" s="1">
        <v>1</v>
      </c>
      <c r="H1521" s="7">
        <v>45560</v>
      </c>
      <c r="I1521" s="1" t="s">
        <v>7455</v>
      </c>
      <c r="J1521" s="7">
        <v>45560</v>
      </c>
      <c r="K1521" s="1" t="s">
        <v>7455</v>
      </c>
    </row>
    <row r="1522" spans="1:11" x14ac:dyDescent="0.3">
      <c r="A1522" s="1">
        <v>1521</v>
      </c>
      <c r="B1522" s="1" t="s">
        <v>4639</v>
      </c>
      <c r="C1522" s="1" t="s">
        <v>4640</v>
      </c>
      <c r="F1522" s="1" t="s">
        <v>4641</v>
      </c>
      <c r="G1522" s="1">
        <v>1</v>
      </c>
      <c r="H1522" s="7">
        <v>45560</v>
      </c>
      <c r="I1522" s="1" t="s">
        <v>7455</v>
      </c>
      <c r="J1522" s="7">
        <v>45560</v>
      </c>
      <c r="K1522" s="1" t="s">
        <v>7455</v>
      </c>
    </row>
    <row r="1523" spans="1:11" x14ac:dyDescent="0.3">
      <c r="A1523" s="1">
        <v>1522</v>
      </c>
      <c r="B1523" s="1" t="s">
        <v>4642</v>
      </c>
      <c r="C1523" s="1" t="s">
        <v>4643</v>
      </c>
      <c r="D1523" s="1" t="s">
        <v>4644</v>
      </c>
      <c r="F1523" s="1" t="s">
        <v>4645</v>
      </c>
      <c r="G1523" s="1">
        <v>1</v>
      </c>
      <c r="H1523" s="7">
        <v>45560</v>
      </c>
      <c r="I1523" s="1" t="s">
        <v>7455</v>
      </c>
      <c r="J1523" s="7">
        <v>45560</v>
      </c>
      <c r="K1523" s="1" t="s">
        <v>7455</v>
      </c>
    </row>
    <row r="1524" spans="1:11" x14ac:dyDescent="0.3">
      <c r="A1524" s="1">
        <v>1523</v>
      </c>
      <c r="B1524" s="1" t="s">
        <v>4646</v>
      </c>
      <c r="C1524" s="1" t="s">
        <v>4647</v>
      </c>
      <c r="D1524" s="1" t="s">
        <v>4648</v>
      </c>
      <c r="F1524" s="1" t="s">
        <v>4649</v>
      </c>
      <c r="G1524" s="1">
        <v>1</v>
      </c>
      <c r="H1524" s="7">
        <v>45560</v>
      </c>
      <c r="I1524" s="1" t="s">
        <v>7455</v>
      </c>
      <c r="J1524" s="7">
        <v>45560</v>
      </c>
      <c r="K1524" s="1" t="s">
        <v>7455</v>
      </c>
    </row>
    <row r="1525" spans="1:11" x14ac:dyDescent="0.3">
      <c r="A1525" s="1">
        <v>1524</v>
      </c>
      <c r="B1525" s="1" t="s">
        <v>4650</v>
      </c>
      <c r="C1525" s="1" t="s">
        <v>4651</v>
      </c>
      <c r="D1525" s="1" t="s">
        <v>4652</v>
      </c>
      <c r="F1525" s="1" t="s">
        <v>4653</v>
      </c>
      <c r="G1525" s="1">
        <v>1</v>
      </c>
      <c r="H1525" s="7">
        <v>45560</v>
      </c>
      <c r="I1525" s="1" t="s">
        <v>7455</v>
      </c>
      <c r="J1525" s="7">
        <v>45560</v>
      </c>
      <c r="K1525" s="1" t="s">
        <v>7455</v>
      </c>
    </row>
    <row r="1526" spans="1:11" x14ac:dyDescent="0.3">
      <c r="A1526" s="1">
        <v>1525</v>
      </c>
      <c r="B1526" s="1" t="s">
        <v>4654</v>
      </c>
      <c r="C1526" s="1" t="s">
        <v>4655</v>
      </c>
      <c r="D1526" s="1" t="s">
        <v>4656</v>
      </c>
      <c r="F1526" s="1" t="s">
        <v>4657</v>
      </c>
      <c r="G1526" s="1">
        <v>1</v>
      </c>
      <c r="H1526" s="7">
        <v>45560</v>
      </c>
      <c r="I1526" s="1" t="s">
        <v>7455</v>
      </c>
      <c r="J1526" s="7">
        <v>45560</v>
      </c>
      <c r="K1526" s="1" t="s">
        <v>7455</v>
      </c>
    </row>
    <row r="1527" spans="1:11" x14ac:dyDescent="0.3">
      <c r="A1527" s="1">
        <v>1526</v>
      </c>
      <c r="B1527" s="1" t="s">
        <v>4658</v>
      </c>
      <c r="C1527" s="1" t="s">
        <v>4659</v>
      </c>
      <c r="D1527" s="1" t="s">
        <v>4660</v>
      </c>
      <c r="F1527" s="1" t="s">
        <v>4661</v>
      </c>
      <c r="G1527" s="1">
        <v>1</v>
      </c>
      <c r="H1527" s="7">
        <v>45560</v>
      </c>
      <c r="I1527" s="1" t="s">
        <v>7455</v>
      </c>
      <c r="J1527" s="7">
        <v>45560</v>
      </c>
      <c r="K1527" s="1" t="s">
        <v>7455</v>
      </c>
    </row>
    <row r="1528" spans="1:11" x14ac:dyDescent="0.3">
      <c r="A1528" s="1">
        <v>1527</v>
      </c>
      <c r="B1528" s="1" t="s">
        <v>4662</v>
      </c>
      <c r="C1528" s="1" t="s">
        <v>4663</v>
      </c>
      <c r="D1528" s="1" t="s">
        <v>4664</v>
      </c>
      <c r="F1528" s="1" t="s">
        <v>4665</v>
      </c>
      <c r="G1528" s="1">
        <v>1</v>
      </c>
      <c r="H1528" s="7">
        <v>45560</v>
      </c>
      <c r="I1528" s="1" t="s">
        <v>7455</v>
      </c>
      <c r="J1528" s="7">
        <v>45560</v>
      </c>
      <c r="K1528" s="1" t="s">
        <v>7455</v>
      </c>
    </row>
    <row r="1529" spans="1:11" x14ac:dyDescent="0.3">
      <c r="A1529" s="1">
        <v>1528</v>
      </c>
      <c r="B1529" s="1" t="s">
        <v>4666</v>
      </c>
      <c r="C1529" s="1" t="s">
        <v>4667</v>
      </c>
      <c r="D1529" s="1" t="s">
        <v>4668</v>
      </c>
      <c r="F1529" s="1" t="s">
        <v>4669</v>
      </c>
      <c r="G1529" s="1">
        <v>1</v>
      </c>
      <c r="H1529" s="7">
        <v>45560</v>
      </c>
      <c r="I1529" s="1" t="s">
        <v>7455</v>
      </c>
      <c r="J1529" s="7">
        <v>45560</v>
      </c>
      <c r="K1529" s="1" t="s">
        <v>7455</v>
      </c>
    </row>
    <row r="1530" spans="1:11" x14ac:dyDescent="0.3">
      <c r="A1530" s="1">
        <v>1529</v>
      </c>
      <c r="B1530" s="1" t="s">
        <v>4670</v>
      </c>
      <c r="C1530" s="1" t="s">
        <v>4671</v>
      </c>
      <c r="D1530" s="1" t="s">
        <v>4668</v>
      </c>
      <c r="F1530" s="1" t="s">
        <v>4672</v>
      </c>
      <c r="G1530" s="1">
        <v>1</v>
      </c>
      <c r="H1530" s="7">
        <v>45560</v>
      </c>
      <c r="I1530" s="1" t="s">
        <v>7455</v>
      </c>
      <c r="J1530" s="7">
        <v>45560</v>
      </c>
      <c r="K1530" s="1" t="s">
        <v>7455</v>
      </c>
    </row>
    <row r="1531" spans="1:11" x14ac:dyDescent="0.3">
      <c r="A1531" s="1">
        <v>1530</v>
      </c>
      <c r="B1531" s="1" t="s">
        <v>4673</v>
      </c>
      <c r="C1531" s="1" t="s">
        <v>4674</v>
      </c>
      <c r="D1531" s="1" t="s">
        <v>4675</v>
      </c>
      <c r="F1531" s="1" t="s">
        <v>4676</v>
      </c>
      <c r="G1531" s="1">
        <v>1</v>
      </c>
      <c r="H1531" s="7">
        <v>45560</v>
      </c>
      <c r="I1531" s="1" t="s">
        <v>7455</v>
      </c>
      <c r="J1531" s="7">
        <v>45560</v>
      </c>
      <c r="K1531" s="1" t="s">
        <v>7455</v>
      </c>
    </row>
    <row r="1532" spans="1:11" x14ac:dyDescent="0.3">
      <c r="A1532" s="1">
        <v>1531</v>
      </c>
      <c r="B1532" s="1" t="s">
        <v>4677</v>
      </c>
      <c r="C1532" s="1" t="s">
        <v>4678</v>
      </c>
      <c r="D1532" s="1" t="s">
        <v>4679</v>
      </c>
      <c r="F1532" s="1" t="s">
        <v>4680</v>
      </c>
      <c r="G1532" s="1">
        <v>1</v>
      </c>
      <c r="H1532" s="7">
        <v>45560</v>
      </c>
      <c r="I1532" s="1" t="s">
        <v>7455</v>
      </c>
      <c r="J1532" s="7">
        <v>45560</v>
      </c>
      <c r="K1532" s="1" t="s">
        <v>7455</v>
      </c>
    </row>
    <row r="1533" spans="1:11" x14ac:dyDescent="0.3">
      <c r="A1533" s="1">
        <v>1532</v>
      </c>
      <c r="B1533" s="1" t="s">
        <v>4681</v>
      </c>
      <c r="C1533" s="1" t="s">
        <v>4682</v>
      </c>
      <c r="D1533" s="1" t="s">
        <v>4683</v>
      </c>
      <c r="F1533" s="1" t="s">
        <v>4684</v>
      </c>
      <c r="G1533" s="1">
        <v>1</v>
      </c>
      <c r="H1533" s="7">
        <v>45560</v>
      </c>
      <c r="I1533" s="1" t="s">
        <v>7455</v>
      </c>
      <c r="J1533" s="7">
        <v>45560</v>
      </c>
      <c r="K1533" s="1" t="s">
        <v>7455</v>
      </c>
    </row>
    <row r="1534" spans="1:11" x14ac:dyDescent="0.3">
      <c r="A1534" s="1">
        <v>1533</v>
      </c>
      <c r="B1534" s="1" t="s">
        <v>4685</v>
      </c>
      <c r="C1534" s="1" t="s">
        <v>4686</v>
      </c>
      <c r="D1534" s="1" t="s">
        <v>4687</v>
      </c>
      <c r="F1534" s="1" t="s">
        <v>4688</v>
      </c>
      <c r="G1534" s="1">
        <v>1</v>
      </c>
      <c r="H1534" s="7">
        <v>45560</v>
      </c>
      <c r="I1534" s="1" t="s">
        <v>7455</v>
      </c>
      <c r="J1534" s="7">
        <v>45560</v>
      </c>
      <c r="K1534" s="1" t="s">
        <v>7455</v>
      </c>
    </row>
    <row r="1535" spans="1:11" x14ac:dyDescent="0.3">
      <c r="A1535" s="1">
        <v>1534</v>
      </c>
      <c r="B1535" s="1" t="s">
        <v>4689</v>
      </c>
      <c r="C1535" s="1" t="s">
        <v>4690</v>
      </c>
      <c r="D1535" s="1" t="s">
        <v>4691</v>
      </c>
      <c r="F1535" s="1" t="s">
        <v>4692</v>
      </c>
      <c r="G1535" s="1">
        <v>1</v>
      </c>
      <c r="H1535" s="7">
        <v>45560</v>
      </c>
      <c r="I1535" s="1" t="s">
        <v>7455</v>
      </c>
      <c r="J1535" s="7">
        <v>45560</v>
      </c>
      <c r="K1535" s="1" t="s">
        <v>7455</v>
      </c>
    </row>
    <row r="1536" spans="1:11" x14ac:dyDescent="0.3">
      <c r="A1536" s="1">
        <v>1535</v>
      </c>
      <c r="B1536" s="1" t="s">
        <v>4693</v>
      </c>
      <c r="C1536" s="1" t="s">
        <v>4694</v>
      </c>
      <c r="D1536" s="1" t="s">
        <v>4695</v>
      </c>
      <c r="F1536" s="1" t="s">
        <v>4696</v>
      </c>
      <c r="G1536" s="1">
        <v>1</v>
      </c>
      <c r="H1536" s="7">
        <v>45560</v>
      </c>
      <c r="I1536" s="1" t="s">
        <v>7455</v>
      </c>
      <c r="J1536" s="7">
        <v>45560</v>
      </c>
      <c r="K1536" s="1" t="s">
        <v>7455</v>
      </c>
    </row>
    <row r="1537" spans="1:11" x14ac:dyDescent="0.3">
      <c r="A1537" s="1">
        <v>1536</v>
      </c>
      <c r="B1537" s="1" t="s">
        <v>4697</v>
      </c>
      <c r="C1537" s="1" t="s">
        <v>4698</v>
      </c>
      <c r="D1537" s="1" t="s">
        <v>4699</v>
      </c>
      <c r="F1537" s="1" t="s">
        <v>4700</v>
      </c>
      <c r="G1537" s="1">
        <v>1</v>
      </c>
      <c r="H1537" s="7">
        <v>45560</v>
      </c>
      <c r="I1537" s="1" t="s">
        <v>7455</v>
      </c>
      <c r="J1537" s="7">
        <v>45560</v>
      </c>
      <c r="K1537" s="1" t="s">
        <v>7455</v>
      </c>
    </row>
    <row r="1538" spans="1:11" x14ac:dyDescent="0.3">
      <c r="A1538" s="1">
        <v>1537</v>
      </c>
      <c r="B1538" s="1" t="s">
        <v>4701</v>
      </c>
      <c r="C1538" s="1" t="s">
        <v>4702</v>
      </c>
      <c r="D1538" s="1" t="s">
        <v>4703</v>
      </c>
      <c r="F1538" s="1" t="s">
        <v>4704</v>
      </c>
      <c r="G1538" s="1">
        <v>1</v>
      </c>
      <c r="H1538" s="7">
        <v>45560</v>
      </c>
      <c r="I1538" s="1" t="s">
        <v>7455</v>
      </c>
      <c r="J1538" s="7">
        <v>45560</v>
      </c>
      <c r="K1538" s="1" t="s">
        <v>7455</v>
      </c>
    </row>
    <row r="1539" spans="1:11" x14ac:dyDescent="0.3">
      <c r="A1539" s="1">
        <v>1538</v>
      </c>
      <c r="B1539" s="1" t="s">
        <v>4705</v>
      </c>
      <c r="C1539" s="1" t="s">
        <v>4706</v>
      </c>
      <c r="D1539" s="1" t="s">
        <v>4707</v>
      </c>
      <c r="F1539" s="1" t="s">
        <v>4708</v>
      </c>
      <c r="G1539" s="1">
        <v>1</v>
      </c>
      <c r="H1539" s="7">
        <v>45560</v>
      </c>
      <c r="I1539" s="1" t="s">
        <v>7455</v>
      </c>
      <c r="J1539" s="7">
        <v>45560</v>
      </c>
      <c r="K1539" s="1" t="s">
        <v>7455</v>
      </c>
    </row>
    <row r="1540" spans="1:11" x14ac:dyDescent="0.3">
      <c r="A1540" s="1">
        <v>1539</v>
      </c>
      <c r="B1540" s="1" t="s">
        <v>4709</v>
      </c>
      <c r="C1540" s="1" t="s">
        <v>4710</v>
      </c>
      <c r="D1540" s="1" t="s">
        <v>4711</v>
      </c>
      <c r="F1540" s="1" t="s">
        <v>4712</v>
      </c>
      <c r="G1540" s="1">
        <v>1</v>
      </c>
      <c r="H1540" s="7">
        <v>45560</v>
      </c>
      <c r="I1540" s="1" t="s">
        <v>7455</v>
      </c>
      <c r="J1540" s="7">
        <v>45560</v>
      </c>
      <c r="K1540" s="1" t="s">
        <v>7455</v>
      </c>
    </row>
    <row r="1541" spans="1:11" x14ac:dyDescent="0.3">
      <c r="A1541" s="1">
        <v>1540</v>
      </c>
      <c r="B1541" s="1" t="s">
        <v>4713</v>
      </c>
      <c r="C1541" s="1" t="s">
        <v>4714</v>
      </c>
      <c r="F1541" s="1" t="s">
        <v>4715</v>
      </c>
      <c r="G1541" s="1">
        <v>1</v>
      </c>
      <c r="H1541" s="7">
        <v>45560</v>
      </c>
      <c r="I1541" s="1" t="s">
        <v>7455</v>
      </c>
      <c r="J1541" s="7">
        <v>45560</v>
      </c>
      <c r="K1541" s="1" t="s">
        <v>7455</v>
      </c>
    </row>
    <row r="1542" spans="1:11" x14ac:dyDescent="0.3">
      <c r="A1542" s="1">
        <v>1541</v>
      </c>
      <c r="B1542" s="1" t="s">
        <v>4716</v>
      </c>
      <c r="C1542" s="1" t="s">
        <v>4717</v>
      </c>
      <c r="F1542" s="1" t="s">
        <v>4718</v>
      </c>
      <c r="G1542" s="1">
        <v>1</v>
      </c>
      <c r="H1542" s="7">
        <v>45560</v>
      </c>
      <c r="I1542" s="1" t="s">
        <v>7455</v>
      </c>
      <c r="J1542" s="7">
        <v>45560</v>
      </c>
      <c r="K1542" s="1" t="s">
        <v>7455</v>
      </c>
    </row>
    <row r="1543" spans="1:11" x14ac:dyDescent="0.3">
      <c r="A1543" s="1">
        <v>1542</v>
      </c>
      <c r="B1543" s="1" t="s">
        <v>4719</v>
      </c>
      <c r="C1543" s="1" t="s">
        <v>4720</v>
      </c>
      <c r="F1543" s="1" t="s">
        <v>4721</v>
      </c>
      <c r="G1543" s="1">
        <v>1</v>
      </c>
      <c r="H1543" s="7">
        <v>45560</v>
      </c>
      <c r="I1543" s="1" t="s">
        <v>7455</v>
      </c>
      <c r="J1543" s="7">
        <v>45560</v>
      </c>
      <c r="K1543" s="1" t="s">
        <v>7455</v>
      </c>
    </row>
    <row r="1544" spans="1:11" x14ac:dyDescent="0.3">
      <c r="A1544" s="1">
        <v>1543</v>
      </c>
      <c r="B1544" s="1" t="s">
        <v>4722</v>
      </c>
      <c r="C1544" s="1" t="s">
        <v>4723</v>
      </c>
      <c r="D1544" s="1" t="s">
        <v>4724</v>
      </c>
      <c r="F1544" s="1" t="s">
        <v>4725</v>
      </c>
      <c r="G1544" s="1">
        <v>1</v>
      </c>
      <c r="H1544" s="7">
        <v>45560</v>
      </c>
      <c r="I1544" s="1" t="s">
        <v>7455</v>
      </c>
      <c r="J1544" s="7">
        <v>45560</v>
      </c>
      <c r="K1544" s="1" t="s">
        <v>7455</v>
      </c>
    </row>
    <row r="1545" spans="1:11" x14ac:dyDescent="0.3">
      <c r="A1545" s="1">
        <v>1544</v>
      </c>
      <c r="B1545" s="1" t="s">
        <v>4726</v>
      </c>
      <c r="C1545" s="1" t="s">
        <v>4727</v>
      </c>
      <c r="D1545" s="1" t="s">
        <v>4728</v>
      </c>
      <c r="F1545" s="1" t="s">
        <v>4729</v>
      </c>
      <c r="G1545" s="1">
        <v>1</v>
      </c>
      <c r="H1545" s="7">
        <v>45560</v>
      </c>
      <c r="I1545" s="1" t="s">
        <v>7455</v>
      </c>
      <c r="J1545" s="7">
        <v>45560</v>
      </c>
      <c r="K1545" s="1" t="s">
        <v>7455</v>
      </c>
    </row>
    <row r="1546" spans="1:11" x14ac:dyDescent="0.3">
      <c r="A1546" s="1">
        <v>1545</v>
      </c>
      <c r="B1546" s="1" t="s">
        <v>4730</v>
      </c>
      <c r="C1546" s="1" t="s">
        <v>4731</v>
      </c>
      <c r="D1546" s="1" t="s">
        <v>4732</v>
      </c>
      <c r="F1546" s="1" t="s">
        <v>4733</v>
      </c>
      <c r="G1546" s="1">
        <v>1</v>
      </c>
      <c r="H1546" s="7">
        <v>45560</v>
      </c>
      <c r="I1546" s="1" t="s">
        <v>7455</v>
      </c>
      <c r="J1546" s="7">
        <v>45560</v>
      </c>
      <c r="K1546" s="1" t="s">
        <v>7455</v>
      </c>
    </row>
    <row r="1547" spans="1:11" x14ac:dyDescent="0.3">
      <c r="A1547" s="1">
        <v>1546</v>
      </c>
      <c r="B1547" s="1" t="s">
        <v>4734</v>
      </c>
      <c r="C1547" s="1" t="s">
        <v>4735</v>
      </c>
      <c r="F1547" s="1" t="s">
        <v>4736</v>
      </c>
      <c r="G1547" s="1">
        <v>1</v>
      </c>
      <c r="H1547" s="7">
        <v>45560</v>
      </c>
      <c r="I1547" s="1" t="s">
        <v>7455</v>
      </c>
      <c r="J1547" s="7">
        <v>45560</v>
      </c>
      <c r="K1547" s="1" t="s">
        <v>7455</v>
      </c>
    </row>
    <row r="1548" spans="1:11" x14ac:dyDescent="0.3">
      <c r="A1548" s="1">
        <v>1547</v>
      </c>
      <c r="B1548" s="1" t="s">
        <v>4737</v>
      </c>
      <c r="C1548" s="1" t="s">
        <v>4738</v>
      </c>
      <c r="D1548" s="1" t="s">
        <v>4739</v>
      </c>
      <c r="F1548" s="1" t="s">
        <v>4740</v>
      </c>
      <c r="G1548" s="1">
        <v>1</v>
      </c>
      <c r="H1548" s="7">
        <v>45560</v>
      </c>
      <c r="I1548" s="1" t="s">
        <v>7455</v>
      </c>
      <c r="J1548" s="7">
        <v>45560</v>
      </c>
      <c r="K1548" s="1" t="s">
        <v>7455</v>
      </c>
    </row>
    <row r="1549" spans="1:11" x14ac:dyDescent="0.3">
      <c r="A1549" s="1">
        <v>1548</v>
      </c>
      <c r="B1549" s="1" t="s">
        <v>4741</v>
      </c>
      <c r="C1549" s="1" t="s">
        <v>4742</v>
      </c>
      <c r="D1549" s="1" t="s">
        <v>4743</v>
      </c>
      <c r="F1549" s="1" t="s">
        <v>4744</v>
      </c>
      <c r="G1549" s="1">
        <v>1</v>
      </c>
      <c r="H1549" s="7">
        <v>45560</v>
      </c>
      <c r="I1549" s="1" t="s">
        <v>7455</v>
      </c>
      <c r="J1549" s="7">
        <v>45560</v>
      </c>
      <c r="K1549" s="1" t="s">
        <v>7455</v>
      </c>
    </row>
    <row r="1550" spans="1:11" x14ac:dyDescent="0.3">
      <c r="A1550" s="1">
        <v>1549</v>
      </c>
      <c r="B1550" s="1" t="s">
        <v>4745</v>
      </c>
      <c r="C1550" s="1" t="s">
        <v>4746</v>
      </c>
      <c r="D1550" s="1" t="s">
        <v>4747</v>
      </c>
      <c r="F1550" s="1" t="s">
        <v>4748</v>
      </c>
      <c r="G1550" s="1">
        <v>1</v>
      </c>
      <c r="H1550" s="7">
        <v>45560</v>
      </c>
      <c r="I1550" s="1" t="s">
        <v>7455</v>
      </c>
      <c r="J1550" s="7">
        <v>45560</v>
      </c>
      <c r="K1550" s="1" t="s">
        <v>7455</v>
      </c>
    </row>
    <row r="1551" spans="1:11" x14ac:dyDescent="0.3">
      <c r="A1551" s="1">
        <v>1550</v>
      </c>
      <c r="B1551" s="1" t="s">
        <v>4749</v>
      </c>
      <c r="C1551" s="1" t="s">
        <v>4750</v>
      </c>
      <c r="D1551" s="1" t="s">
        <v>4751</v>
      </c>
      <c r="F1551" s="1" t="s">
        <v>4752</v>
      </c>
      <c r="G1551" s="1">
        <v>1</v>
      </c>
      <c r="H1551" s="7">
        <v>45560</v>
      </c>
      <c r="I1551" s="1" t="s">
        <v>7455</v>
      </c>
      <c r="J1551" s="7">
        <v>45560</v>
      </c>
      <c r="K1551" s="1" t="s">
        <v>7455</v>
      </c>
    </row>
    <row r="1552" spans="1:11" x14ac:dyDescent="0.3">
      <c r="A1552" s="1">
        <v>1551</v>
      </c>
      <c r="B1552" s="1" t="s">
        <v>4753</v>
      </c>
      <c r="C1552" s="1" t="s">
        <v>4754</v>
      </c>
      <c r="D1552" s="1" t="s">
        <v>4755</v>
      </c>
      <c r="F1552" s="1" t="s">
        <v>4756</v>
      </c>
      <c r="G1552" s="1">
        <v>1</v>
      </c>
      <c r="H1552" s="7">
        <v>45560</v>
      </c>
      <c r="I1552" s="1" t="s">
        <v>7455</v>
      </c>
      <c r="J1552" s="7">
        <v>45560</v>
      </c>
      <c r="K1552" s="1" t="s">
        <v>7455</v>
      </c>
    </row>
    <row r="1553" spans="1:11" x14ac:dyDescent="0.3">
      <c r="A1553" s="1">
        <v>1552</v>
      </c>
      <c r="B1553" s="1" t="s">
        <v>4757</v>
      </c>
      <c r="C1553" s="1" t="s">
        <v>4758</v>
      </c>
      <c r="D1553" s="1" t="s">
        <v>4759</v>
      </c>
      <c r="F1553" s="1" t="s">
        <v>4760</v>
      </c>
      <c r="G1553" s="1">
        <v>1</v>
      </c>
      <c r="H1553" s="7">
        <v>45560</v>
      </c>
      <c r="I1553" s="1" t="s">
        <v>7455</v>
      </c>
      <c r="J1553" s="7">
        <v>45560</v>
      </c>
      <c r="K1553" s="1" t="s">
        <v>7455</v>
      </c>
    </row>
    <row r="1554" spans="1:11" x14ac:dyDescent="0.3">
      <c r="A1554" s="1">
        <v>1553</v>
      </c>
      <c r="B1554" s="1" t="s">
        <v>4761</v>
      </c>
      <c r="C1554" s="1" t="s">
        <v>4762</v>
      </c>
      <c r="F1554" s="1" t="s">
        <v>4763</v>
      </c>
      <c r="G1554" s="1">
        <v>1</v>
      </c>
      <c r="H1554" s="7">
        <v>45560</v>
      </c>
      <c r="I1554" s="1" t="s">
        <v>7455</v>
      </c>
      <c r="J1554" s="7">
        <v>45560</v>
      </c>
      <c r="K1554" s="1" t="s">
        <v>7455</v>
      </c>
    </row>
    <row r="1555" spans="1:11" x14ac:dyDescent="0.3">
      <c r="A1555" s="1">
        <v>1554</v>
      </c>
      <c r="B1555" s="1" t="s">
        <v>4764</v>
      </c>
      <c r="C1555" s="1" t="s">
        <v>4765</v>
      </c>
      <c r="D1555" s="1" t="s">
        <v>4766</v>
      </c>
      <c r="F1555" s="1" t="s">
        <v>4767</v>
      </c>
      <c r="G1555" s="1">
        <v>1</v>
      </c>
      <c r="H1555" s="7">
        <v>45560</v>
      </c>
      <c r="I1555" s="1" t="s">
        <v>7455</v>
      </c>
      <c r="J1555" s="7">
        <v>45560</v>
      </c>
      <c r="K1555" s="1" t="s">
        <v>7455</v>
      </c>
    </row>
    <row r="1556" spans="1:11" x14ac:dyDescent="0.3">
      <c r="A1556" s="1">
        <v>1555</v>
      </c>
      <c r="B1556" s="1" t="s">
        <v>4768</v>
      </c>
      <c r="C1556" s="1" t="s">
        <v>4769</v>
      </c>
      <c r="D1556" s="1" t="s">
        <v>4770</v>
      </c>
      <c r="F1556" s="1" t="s">
        <v>4771</v>
      </c>
      <c r="G1556" s="1">
        <v>1</v>
      </c>
      <c r="H1556" s="7">
        <v>45560</v>
      </c>
      <c r="I1556" s="1" t="s">
        <v>7455</v>
      </c>
      <c r="J1556" s="7">
        <v>45560</v>
      </c>
      <c r="K1556" s="1" t="s">
        <v>7455</v>
      </c>
    </row>
    <row r="1557" spans="1:11" x14ac:dyDescent="0.3">
      <c r="A1557" s="1">
        <v>1556</v>
      </c>
      <c r="B1557" s="1" t="s">
        <v>4772</v>
      </c>
      <c r="C1557" s="1" t="s">
        <v>4773</v>
      </c>
      <c r="D1557" s="1" t="s">
        <v>4774</v>
      </c>
      <c r="F1557" s="1" t="s">
        <v>4775</v>
      </c>
      <c r="G1557" s="1">
        <v>1</v>
      </c>
      <c r="H1557" s="7">
        <v>45560</v>
      </c>
      <c r="I1557" s="1" t="s">
        <v>7455</v>
      </c>
      <c r="J1557" s="7">
        <v>45560</v>
      </c>
      <c r="K1557" s="1" t="s">
        <v>7455</v>
      </c>
    </row>
    <row r="1558" spans="1:11" x14ac:dyDescent="0.3">
      <c r="A1558" s="1">
        <v>1557</v>
      </c>
      <c r="B1558" s="1" t="s">
        <v>4776</v>
      </c>
      <c r="C1558" s="1" t="s">
        <v>4777</v>
      </c>
      <c r="D1558" s="1" t="s">
        <v>4778</v>
      </c>
      <c r="G1558" s="1">
        <v>1</v>
      </c>
      <c r="H1558" s="7">
        <v>45560</v>
      </c>
      <c r="I1558" s="1" t="s">
        <v>7455</v>
      </c>
      <c r="J1558" s="7">
        <v>45560</v>
      </c>
      <c r="K1558" s="1" t="s">
        <v>7455</v>
      </c>
    </row>
    <row r="1559" spans="1:11" x14ac:dyDescent="0.3">
      <c r="A1559" s="1">
        <v>1558</v>
      </c>
      <c r="B1559" s="1" t="s">
        <v>4779</v>
      </c>
      <c r="C1559" s="1" t="s">
        <v>4780</v>
      </c>
      <c r="D1559" s="1" t="s">
        <v>4781</v>
      </c>
      <c r="F1559" s="1" t="s">
        <v>4782</v>
      </c>
      <c r="G1559" s="1">
        <v>1</v>
      </c>
      <c r="H1559" s="7">
        <v>45560</v>
      </c>
      <c r="I1559" s="1" t="s">
        <v>7455</v>
      </c>
      <c r="J1559" s="7">
        <v>45560</v>
      </c>
      <c r="K1559" s="1" t="s">
        <v>7455</v>
      </c>
    </row>
    <row r="1560" spans="1:11" x14ac:dyDescent="0.3">
      <c r="A1560" s="1">
        <v>1559</v>
      </c>
      <c r="B1560" s="1" t="s">
        <v>4783</v>
      </c>
      <c r="C1560" s="1" t="s">
        <v>4784</v>
      </c>
      <c r="D1560" s="1" t="s">
        <v>4785</v>
      </c>
      <c r="F1560" s="1" t="s">
        <v>4786</v>
      </c>
      <c r="G1560" s="1">
        <v>1</v>
      </c>
      <c r="H1560" s="7">
        <v>45560</v>
      </c>
      <c r="I1560" s="1" t="s">
        <v>7455</v>
      </c>
      <c r="J1560" s="7">
        <v>45560</v>
      </c>
      <c r="K1560" s="1" t="s">
        <v>7455</v>
      </c>
    </row>
    <row r="1561" spans="1:11" x14ac:dyDescent="0.3">
      <c r="A1561" s="1">
        <v>1560</v>
      </c>
      <c r="B1561" s="1" t="s">
        <v>4787</v>
      </c>
      <c r="C1561" s="1" t="s">
        <v>4788</v>
      </c>
      <c r="D1561" s="1" t="s">
        <v>4789</v>
      </c>
      <c r="F1561" s="1" t="s">
        <v>4790</v>
      </c>
      <c r="G1561" s="1">
        <v>1</v>
      </c>
      <c r="H1561" s="7">
        <v>45560</v>
      </c>
      <c r="I1561" s="1" t="s">
        <v>7455</v>
      </c>
      <c r="J1561" s="7">
        <v>45560</v>
      </c>
      <c r="K1561" s="1" t="s">
        <v>7455</v>
      </c>
    </row>
    <row r="1562" spans="1:11" x14ac:dyDescent="0.3">
      <c r="A1562" s="1">
        <v>1561</v>
      </c>
      <c r="B1562" s="1" t="s">
        <v>4791</v>
      </c>
      <c r="C1562" s="1" t="s">
        <v>4792</v>
      </c>
      <c r="D1562" s="1" t="s">
        <v>4793</v>
      </c>
      <c r="F1562" s="1" t="s">
        <v>4794</v>
      </c>
      <c r="G1562" s="1">
        <v>1</v>
      </c>
      <c r="H1562" s="7">
        <v>45560</v>
      </c>
      <c r="I1562" s="1" t="s">
        <v>7455</v>
      </c>
      <c r="J1562" s="7">
        <v>45560</v>
      </c>
      <c r="K1562" s="1" t="s">
        <v>7455</v>
      </c>
    </row>
    <row r="1563" spans="1:11" x14ac:dyDescent="0.3">
      <c r="A1563" s="1">
        <v>1562</v>
      </c>
      <c r="B1563" s="1" t="s">
        <v>4795</v>
      </c>
      <c r="C1563" s="1" t="s">
        <v>4796</v>
      </c>
      <c r="F1563" s="1" t="s">
        <v>4797</v>
      </c>
      <c r="G1563" s="1">
        <v>1</v>
      </c>
      <c r="H1563" s="7">
        <v>45560</v>
      </c>
      <c r="I1563" s="1" t="s">
        <v>7455</v>
      </c>
      <c r="J1563" s="7">
        <v>45560</v>
      </c>
      <c r="K1563" s="1" t="s">
        <v>7455</v>
      </c>
    </row>
    <row r="1564" spans="1:11" x14ac:dyDescent="0.3">
      <c r="A1564" s="1">
        <v>1563</v>
      </c>
      <c r="B1564" s="1" t="s">
        <v>4798</v>
      </c>
      <c r="C1564" s="1" t="s">
        <v>4799</v>
      </c>
      <c r="D1564" s="1" t="s">
        <v>4800</v>
      </c>
      <c r="F1564" s="1" t="s">
        <v>4801</v>
      </c>
      <c r="G1564" s="1">
        <v>1</v>
      </c>
      <c r="H1564" s="7">
        <v>45560</v>
      </c>
      <c r="I1564" s="1" t="s">
        <v>7455</v>
      </c>
      <c r="J1564" s="7">
        <v>45560</v>
      </c>
      <c r="K1564" s="1" t="s">
        <v>7455</v>
      </c>
    </row>
    <row r="1565" spans="1:11" x14ac:dyDescent="0.3">
      <c r="A1565" s="1">
        <v>1564</v>
      </c>
      <c r="B1565" s="1" t="s">
        <v>4802</v>
      </c>
      <c r="C1565" s="1" t="s">
        <v>4803</v>
      </c>
      <c r="D1565" s="1" t="s">
        <v>4804</v>
      </c>
      <c r="F1565" s="1" t="s">
        <v>4805</v>
      </c>
      <c r="G1565" s="1">
        <v>1</v>
      </c>
      <c r="H1565" s="7">
        <v>45560</v>
      </c>
      <c r="I1565" s="1" t="s">
        <v>7455</v>
      </c>
      <c r="J1565" s="7">
        <v>45560</v>
      </c>
      <c r="K1565" s="1" t="s">
        <v>7455</v>
      </c>
    </row>
    <row r="1566" spans="1:11" x14ac:dyDescent="0.3">
      <c r="A1566" s="1">
        <v>1565</v>
      </c>
      <c r="B1566" s="1" t="s">
        <v>4806</v>
      </c>
      <c r="C1566" s="1" t="s">
        <v>4807</v>
      </c>
      <c r="D1566" s="1" t="s">
        <v>4808</v>
      </c>
      <c r="F1566" s="1" t="s">
        <v>4809</v>
      </c>
      <c r="G1566" s="1">
        <v>1</v>
      </c>
      <c r="H1566" s="7">
        <v>45560</v>
      </c>
      <c r="I1566" s="1" t="s">
        <v>7455</v>
      </c>
      <c r="J1566" s="7">
        <v>45560</v>
      </c>
      <c r="K1566" s="1" t="s">
        <v>7455</v>
      </c>
    </row>
    <row r="1567" spans="1:11" x14ac:dyDescent="0.3">
      <c r="A1567" s="1">
        <v>1566</v>
      </c>
      <c r="B1567" s="1" t="s">
        <v>4810</v>
      </c>
      <c r="C1567" s="1" t="s">
        <v>4811</v>
      </c>
      <c r="D1567" s="1" t="s">
        <v>4812</v>
      </c>
      <c r="F1567" s="1" t="s">
        <v>4813</v>
      </c>
      <c r="G1567" s="1">
        <v>1</v>
      </c>
      <c r="H1567" s="7">
        <v>45560</v>
      </c>
      <c r="I1567" s="1" t="s">
        <v>7455</v>
      </c>
      <c r="J1567" s="7">
        <v>45560</v>
      </c>
      <c r="K1567" s="1" t="s">
        <v>7455</v>
      </c>
    </row>
    <row r="1568" spans="1:11" x14ac:dyDescent="0.3">
      <c r="A1568" s="1">
        <v>1567</v>
      </c>
      <c r="B1568" s="1" t="s">
        <v>4814</v>
      </c>
      <c r="C1568" s="1" t="s">
        <v>4815</v>
      </c>
      <c r="D1568" s="1" t="s">
        <v>4816</v>
      </c>
      <c r="F1568" s="1" t="s">
        <v>4817</v>
      </c>
      <c r="G1568" s="1">
        <v>1</v>
      </c>
      <c r="H1568" s="7">
        <v>45560</v>
      </c>
      <c r="I1568" s="1" t="s">
        <v>7455</v>
      </c>
      <c r="J1568" s="7">
        <v>45560</v>
      </c>
      <c r="K1568" s="1" t="s">
        <v>7455</v>
      </c>
    </row>
    <row r="1569" spans="1:11" x14ac:dyDescent="0.3">
      <c r="A1569" s="1">
        <v>1568</v>
      </c>
      <c r="B1569" s="1" t="s">
        <v>4818</v>
      </c>
      <c r="C1569" s="1" t="s">
        <v>4819</v>
      </c>
      <c r="D1569" s="1" t="s">
        <v>4820</v>
      </c>
      <c r="F1569" s="1" t="s">
        <v>4821</v>
      </c>
      <c r="G1569" s="1">
        <v>1</v>
      </c>
      <c r="H1569" s="7">
        <v>45560</v>
      </c>
      <c r="I1569" s="1" t="s">
        <v>7455</v>
      </c>
      <c r="J1569" s="7">
        <v>45560</v>
      </c>
      <c r="K1569" s="1" t="s">
        <v>7455</v>
      </c>
    </row>
    <row r="1570" spans="1:11" x14ac:dyDescent="0.3">
      <c r="A1570" s="1">
        <v>1569</v>
      </c>
      <c r="B1570" s="1" t="s">
        <v>4822</v>
      </c>
      <c r="C1570" s="1" t="s">
        <v>4823</v>
      </c>
      <c r="D1570" s="1" t="s">
        <v>4824</v>
      </c>
      <c r="F1570" s="1" t="s">
        <v>4825</v>
      </c>
      <c r="G1570" s="1">
        <v>1</v>
      </c>
      <c r="H1570" s="7">
        <v>45560</v>
      </c>
      <c r="I1570" s="1" t="s">
        <v>7455</v>
      </c>
      <c r="J1570" s="7">
        <v>45560</v>
      </c>
      <c r="K1570" s="1" t="s">
        <v>7455</v>
      </c>
    </row>
    <row r="1571" spans="1:11" x14ac:dyDescent="0.3">
      <c r="A1571" s="1">
        <v>1570</v>
      </c>
      <c r="B1571" s="1" t="s">
        <v>4826</v>
      </c>
      <c r="C1571" s="1" t="s">
        <v>4827</v>
      </c>
      <c r="D1571" s="1" t="s">
        <v>4828</v>
      </c>
      <c r="F1571" s="1" t="s">
        <v>4829</v>
      </c>
      <c r="G1571" s="1">
        <v>1</v>
      </c>
      <c r="H1571" s="7">
        <v>45560</v>
      </c>
      <c r="I1571" s="1" t="s">
        <v>7455</v>
      </c>
      <c r="J1571" s="7">
        <v>45560</v>
      </c>
      <c r="K1571" s="1" t="s">
        <v>7455</v>
      </c>
    </row>
    <row r="1572" spans="1:11" x14ac:dyDescent="0.3">
      <c r="A1572" s="1">
        <v>1571</v>
      </c>
      <c r="B1572" s="1" t="s">
        <v>4830</v>
      </c>
      <c r="C1572" s="1" t="s">
        <v>4831</v>
      </c>
      <c r="D1572" s="1" t="s">
        <v>4832</v>
      </c>
      <c r="F1572" s="1" t="s">
        <v>4833</v>
      </c>
      <c r="G1572" s="1">
        <v>1</v>
      </c>
      <c r="H1572" s="7">
        <v>45560</v>
      </c>
      <c r="I1572" s="1" t="s">
        <v>7455</v>
      </c>
      <c r="J1572" s="7">
        <v>45560</v>
      </c>
      <c r="K1572" s="1" t="s">
        <v>7455</v>
      </c>
    </row>
    <row r="1573" spans="1:11" x14ac:dyDescent="0.3">
      <c r="A1573" s="1">
        <v>1572</v>
      </c>
      <c r="B1573" s="1" t="s">
        <v>4834</v>
      </c>
      <c r="C1573" s="1" t="s">
        <v>4835</v>
      </c>
      <c r="D1573" s="1" t="s">
        <v>4836</v>
      </c>
      <c r="F1573" s="1" t="s">
        <v>4837</v>
      </c>
      <c r="G1573" s="1">
        <v>1</v>
      </c>
      <c r="H1573" s="7">
        <v>45560</v>
      </c>
      <c r="I1573" s="1" t="s">
        <v>7455</v>
      </c>
      <c r="J1573" s="7">
        <v>45560</v>
      </c>
      <c r="K1573" s="1" t="s">
        <v>7455</v>
      </c>
    </row>
    <row r="1574" spans="1:11" x14ac:dyDescent="0.3">
      <c r="A1574" s="1">
        <v>1573</v>
      </c>
      <c r="B1574" s="1" t="s">
        <v>3078</v>
      </c>
      <c r="C1574" s="1" t="s">
        <v>4838</v>
      </c>
      <c r="E1574" s="1" t="s">
        <v>52</v>
      </c>
      <c r="G1574" s="1">
        <v>1</v>
      </c>
      <c r="H1574" s="7">
        <v>45560</v>
      </c>
      <c r="I1574" s="1" t="s">
        <v>7455</v>
      </c>
      <c r="J1574" s="7">
        <v>45560</v>
      </c>
      <c r="K1574" s="1" t="s">
        <v>7455</v>
      </c>
    </row>
    <row r="1575" spans="1:11" x14ac:dyDescent="0.3">
      <c r="A1575" s="1">
        <v>1574</v>
      </c>
      <c r="B1575" s="1" t="s">
        <v>4839</v>
      </c>
      <c r="C1575" s="1" t="s">
        <v>4840</v>
      </c>
      <c r="D1575" s="1" t="s">
        <v>4841</v>
      </c>
      <c r="F1575" s="1" t="s">
        <v>4842</v>
      </c>
      <c r="G1575" s="1">
        <v>1</v>
      </c>
      <c r="H1575" s="7">
        <v>45560</v>
      </c>
      <c r="I1575" s="1" t="s">
        <v>7455</v>
      </c>
      <c r="J1575" s="7">
        <v>45560</v>
      </c>
      <c r="K1575" s="1" t="s">
        <v>7455</v>
      </c>
    </row>
    <row r="1576" spans="1:11" x14ac:dyDescent="0.3">
      <c r="A1576" s="1">
        <v>1575</v>
      </c>
      <c r="B1576" s="1" t="s">
        <v>4843</v>
      </c>
      <c r="C1576" s="1" t="s">
        <v>4844</v>
      </c>
      <c r="F1576" s="1" t="s">
        <v>4845</v>
      </c>
      <c r="G1576" s="1">
        <v>1</v>
      </c>
      <c r="H1576" s="7">
        <v>45560</v>
      </c>
      <c r="I1576" s="1" t="s">
        <v>7455</v>
      </c>
      <c r="J1576" s="7">
        <v>45560</v>
      </c>
      <c r="K1576" s="1" t="s">
        <v>7455</v>
      </c>
    </row>
    <row r="1577" spans="1:11" x14ac:dyDescent="0.3">
      <c r="A1577" s="1">
        <v>1576</v>
      </c>
      <c r="B1577" s="1" t="s">
        <v>4846</v>
      </c>
      <c r="C1577" s="1" t="s">
        <v>4847</v>
      </c>
      <c r="D1577" s="1" t="s">
        <v>4848</v>
      </c>
      <c r="F1577" s="1" t="s">
        <v>4849</v>
      </c>
      <c r="G1577" s="1">
        <v>1</v>
      </c>
      <c r="H1577" s="7">
        <v>45560</v>
      </c>
      <c r="I1577" s="1" t="s">
        <v>7455</v>
      </c>
      <c r="J1577" s="7">
        <v>45560</v>
      </c>
      <c r="K1577" s="1" t="s">
        <v>7455</v>
      </c>
    </row>
    <row r="1578" spans="1:11" x14ac:dyDescent="0.3">
      <c r="A1578" s="1">
        <v>1577</v>
      </c>
      <c r="B1578" s="1" t="s">
        <v>4850</v>
      </c>
      <c r="C1578" s="1" t="s">
        <v>4851</v>
      </c>
      <c r="D1578" s="1" t="s">
        <v>4852</v>
      </c>
      <c r="F1578" s="1" t="s">
        <v>4121</v>
      </c>
      <c r="G1578" s="1">
        <v>1</v>
      </c>
      <c r="H1578" s="7">
        <v>45560</v>
      </c>
      <c r="I1578" s="1" t="s">
        <v>7455</v>
      </c>
      <c r="J1578" s="7">
        <v>45560</v>
      </c>
      <c r="K1578" s="1" t="s">
        <v>7455</v>
      </c>
    </row>
    <row r="1579" spans="1:11" x14ac:dyDescent="0.3">
      <c r="A1579" s="1">
        <v>1578</v>
      </c>
      <c r="B1579" s="1" t="s">
        <v>4853</v>
      </c>
      <c r="C1579" s="1" t="s">
        <v>4854</v>
      </c>
      <c r="D1579" s="1" t="s">
        <v>4855</v>
      </c>
      <c r="F1579" s="1" t="s">
        <v>3199</v>
      </c>
      <c r="G1579" s="1">
        <v>1</v>
      </c>
      <c r="H1579" s="7">
        <v>45560</v>
      </c>
      <c r="I1579" s="1" t="s">
        <v>7455</v>
      </c>
      <c r="J1579" s="7">
        <v>45560</v>
      </c>
      <c r="K1579" s="1" t="s">
        <v>7455</v>
      </c>
    </row>
    <row r="1580" spans="1:11" x14ac:dyDescent="0.3">
      <c r="A1580" s="1">
        <v>1579</v>
      </c>
      <c r="B1580" s="1" t="s">
        <v>4856</v>
      </c>
      <c r="C1580" s="1" t="s">
        <v>4857</v>
      </c>
      <c r="D1580" s="1" t="s">
        <v>4858</v>
      </c>
      <c r="G1580" s="1">
        <v>1</v>
      </c>
      <c r="H1580" s="7">
        <v>45560</v>
      </c>
      <c r="I1580" s="1" t="s">
        <v>7455</v>
      </c>
      <c r="J1580" s="7">
        <v>45560</v>
      </c>
      <c r="K1580" s="1" t="s">
        <v>7455</v>
      </c>
    </row>
    <row r="1581" spans="1:11" x14ac:dyDescent="0.3">
      <c r="A1581" s="1">
        <v>1580</v>
      </c>
      <c r="B1581" s="1" t="s">
        <v>4859</v>
      </c>
      <c r="C1581" s="1" t="s">
        <v>4860</v>
      </c>
      <c r="G1581" s="1">
        <v>1</v>
      </c>
      <c r="H1581" s="7">
        <v>45560</v>
      </c>
      <c r="I1581" s="1" t="s">
        <v>7455</v>
      </c>
      <c r="J1581" s="7">
        <v>45560</v>
      </c>
      <c r="K1581" s="1" t="s">
        <v>7455</v>
      </c>
    </row>
    <row r="1582" spans="1:11" x14ac:dyDescent="0.3">
      <c r="A1582" s="1">
        <v>1581</v>
      </c>
      <c r="B1582" s="1" t="s">
        <v>4861</v>
      </c>
      <c r="C1582" s="1" t="s">
        <v>4862</v>
      </c>
      <c r="F1582" s="1" t="s">
        <v>4863</v>
      </c>
      <c r="G1582" s="1">
        <v>1</v>
      </c>
      <c r="H1582" s="7">
        <v>45560</v>
      </c>
      <c r="I1582" s="1" t="s">
        <v>7455</v>
      </c>
      <c r="J1582" s="7">
        <v>45560</v>
      </c>
      <c r="K1582" s="1" t="s">
        <v>7455</v>
      </c>
    </row>
    <row r="1583" spans="1:11" x14ac:dyDescent="0.3">
      <c r="A1583" s="1">
        <v>1582</v>
      </c>
      <c r="B1583" s="1" t="s">
        <v>1717</v>
      </c>
      <c r="C1583" s="1" t="s">
        <v>4864</v>
      </c>
      <c r="F1583" s="1" t="s">
        <v>4865</v>
      </c>
      <c r="G1583" s="1">
        <v>1</v>
      </c>
      <c r="H1583" s="7">
        <v>45560</v>
      </c>
      <c r="I1583" s="1" t="s">
        <v>7455</v>
      </c>
      <c r="J1583" s="7">
        <v>45560</v>
      </c>
      <c r="K1583" s="1" t="s">
        <v>7455</v>
      </c>
    </row>
    <row r="1584" spans="1:11" x14ac:dyDescent="0.3">
      <c r="A1584" s="1">
        <v>1583</v>
      </c>
      <c r="B1584" s="1" t="s">
        <v>4866</v>
      </c>
      <c r="C1584" s="1" t="s">
        <v>4867</v>
      </c>
      <c r="F1584" s="1" t="s">
        <v>4868</v>
      </c>
      <c r="G1584" s="1">
        <v>1</v>
      </c>
      <c r="H1584" s="7">
        <v>45560</v>
      </c>
      <c r="I1584" s="1" t="s">
        <v>7455</v>
      </c>
      <c r="J1584" s="7">
        <v>45560</v>
      </c>
      <c r="K1584" s="1" t="s">
        <v>7455</v>
      </c>
    </row>
    <row r="1585" spans="1:11" x14ac:dyDescent="0.3">
      <c r="A1585" s="1">
        <v>1584</v>
      </c>
      <c r="B1585" s="1" t="s">
        <v>4869</v>
      </c>
      <c r="C1585" s="1" t="s">
        <v>4870</v>
      </c>
      <c r="D1585" s="1" t="s">
        <v>4871</v>
      </c>
      <c r="G1585" s="1">
        <v>1</v>
      </c>
      <c r="H1585" s="7">
        <v>45560</v>
      </c>
      <c r="I1585" s="1" t="s">
        <v>7455</v>
      </c>
      <c r="J1585" s="7">
        <v>45560</v>
      </c>
      <c r="K1585" s="1" t="s">
        <v>7455</v>
      </c>
    </row>
    <row r="1586" spans="1:11" x14ac:dyDescent="0.3">
      <c r="A1586" s="1">
        <v>1585</v>
      </c>
      <c r="B1586" s="1" t="s">
        <v>4872</v>
      </c>
      <c r="C1586" s="1" t="s">
        <v>4873</v>
      </c>
      <c r="E1586" s="1" t="s">
        <v>52</v>
      </c>
      <c r="G1586" s="1">
        <v>1</v>
      </c>
      <c r="H1586" s="7">
        <v>45560</v>
      </c>
      <c r="I1586" s="1" t="s">
        <v>7455</v>
      </c>
      <c r="J1586" s="7">
        <v>45560</v>
      </c>
      <c r="K1586" s="1" t="s">
        <v>7455</v>
      </c>
    </row>
    <row r="1587" spans="1:11" x14ac:dyDescent="0.3">
      <c r="A1587" s="1">
        <v>1586</v>
      </c>
      <c r="B1587" s="1" t="s">
        <v>4874</v>
      </c>
      <c r="C1587" s="1" t="s">
        <v>4875</v>
      </c>
      <c r="D1587" s="1" t="s">
        <v>4876</v>
      </c>
      <c r="F1587" s="1" t="s">
        <v>4877</v>
      </c>
      <c r="G1587" s="1">
        <v>1</v>
      </c>
      <c r="H1587" s="7">
        <v>45560</v>
      </c>
      <c r="I1587" s="1" t="s">
        <v>7455</v>
      </c>
      <c r="J1587" s="7">
        <v>45560</v>
      </c>
      <c r="K1587" s="1" t="s">
        <v>7455</v>
      </c>
    </row>
    <row r="1588" spans="1:11" x14ac:dyDescent="0.3">
      <c r="A1588" s="1">
        <v>1587</v>
      </c>
      <c r="B1588" s="1" t="s">
        <v>4878</v>
      </c>
      <c r="C1588" s="1" t="s">
        <v>4879</v>
      </c>
      <c r="D1588" s="1" t="s">
        <v>4880</v>
      </c>
      <c r="F1588" s="1" t="s">
        <v>4881</v>
      </c>
      <c r="G1588" s="1">
        <v>1</v>
      </c>
      <c r="H1588" s="7">
        <v>45560</v>
      </c>
      <c r="I1588" s="1" t="s">
        <v>7455</v>
      </c>
      <c r="J1588" s="7">
        <v>45560</v>
      </c>
      <c r="K1588" s="1" t="s">
        <v>7455</v>
      </c>
    </row>
    <row r="1589" spans="1:11" x14ac:dyDescent="0.3">
      <c r="A1589" s="1">
        <v>1588</v>
      </c>
      <c r="B1589" s="1" t="s">
        <v>4882</v>
      </c>
      <c r="C1589" s="1" t="s">
        <v>4883</v>
      </c>
      <c r="D1589" s="1" t="s">
        <v>4884</v>
      </c>
      <c r="F1589" s="1" t="s">
        <v>4885</v>
      </c>
      <c r="G1589" s="1">
        <v>1</v>
      </c>
      <c r="H1589" s="7">
        <v>45560</v>
      </c>
      <c r="I1589" s="1" t="s">
        <v>7455</v>
      </c>
      <c r="J1589" s="7">
        <v>45560</v>
      </c>
      <c r="K1589" s="1" t="s">
        <v>7455</v>
      </c>
    </row>
    <row r="1590" spans="1:11" x14ac:dyDescent="0.3">
      <c r="A1590" s="1">
        <v>1589</v>
      </c>
      <c r="B1590" s="1" t="s">
        <v>4886</v>
      </c>
      <c r="C1590" s="1" t="s">
        <v>4887</v>
      </c>
      <c r="D1590" s="1" t="s">
        <v>4888</v>
      </c>
      <c r="G1590" s="1">
        <v>1</v>
      </c>
      <c r="H1590" s="7">
        <v>45560</v>
      </c>
      <c r="I1590" s="1" t="s">
        <v>7455</v>
      </c>
      <c r="J1590" s="7">
        <v>45560</v>
      </c>
      <c r="K1590" s="1" t="s">
        <v>7455</v>
      </c>
    </row>
    <row r="1591" spans="1:11" x14ac:dyDescent="0.3">
      <c r="A1591" s="1">
        <v>1590</v>
      </c>
      <c r="B1591" s="1" t="s">
        <v>4889</v>
      </c>
      <c r="C1591" s="1" t="s">
        <v>4890</v>
      </c>
      <c r="D1591" s="1" t="s">
        <v>4891</v>
      </c>
      <c r="F1591" s="1" t="s">
        <v>4892</v>
      </c>
      <c r="G1591" s="1">
        <v>1</v>
      </c>
      <c r="H1591" s="7">
        <v>45560</v>
      </c>
      <c r="I1591" s="1" t="s">
        <v>7455</v>
      </c>
      <c r="J1591" s="7">
        <v>45560</v>
      </c>
      <c r="K1591" s="1" t="s">
        <v>7455</v>
      </c>
    </row>
    <row r="1592" spans="1:11" x14ac:dyDescent="0.3">
      <c r="A1592" s="1">
        <v>1591</v>
      </c>
      <c r="B1592" s="1" t="s">
        <v>4893</v>
      </c>
      <c r="C1592" s="1" t="s">
        <v>4894</v>
      </c>
      <c r="D1592" s="1" t="s">
        <v>4895</v>
      </c>
      <c r="G1592" s="1">
        <v>1</v>
      </c>
      <c r="H1592" s="7">
        <v>45560</v>
      </c>
      <c r="I1592" s="1" t="s">
        <v>7455</v>
      </c>
      <c r="J1592" s="7">
        <v>45560</v>
      </c>
      <c r="K1592" s="1" t="s">
        <v>7455</v>
      </c>
    </row>
    <row r="1593" spans="1:11" x14ac:dyDescent="0.3">
      <c r="A1593" s="1">
        <v>1592</v>
      </c>
      <c r="B1593" s="1" t="s">
        <v>4896</v>
      </c>
      <c r="C1593" s="1" t="s">
        <v>4897</v>
      </c>
      <c r="D1593" s="1" t="s">
        <v>4898</v>
      </c>
      <c r="G1593" s="1">
        <v>1</v>
      </c>
      <c r="H1593" s="7">
        <v>45560</v>
      </c>
      <c r="I1593" s="1" t="s">
        <v>7455</v>
      </c>
      <c r="J1593" s="7">
        <v>45560</v>
      </c>
      <c r="K1593" s="1" t="s">
        <v>7455</v>
      </c>
    </row>
    <row r="1594" spans="1:11" x14ac:dyDescent="0.3">
      <c r="A1594" s="1">
        <v>1593</v>
      </c>
      <c r="B1594" s="1" t="s">
        <v>4899</v>
      </c>
      <c r="C1594" s="1" t="s">
        <v>4900</v>
      </c>
      <c r="E1594" s="1" t="s">
        <v>52</v>
      </c>
      <c r="F1594" s="1" t="s">
        <v>4901</v>
      </c>
      <c r="G1594" s="1">
        <v>1</v>
      </c>
      <c r="H1594" s="7">
        <v>45560</v>
      </c>
      <c r="I1594" s="1" t="s">
        <v>7455</v>
      </c>
      <c r="J1594" s="7">
        <v>45560</v>
      </c>
      <c r="K1594" s="1" t="s">
        <v>7455</v>
      </c>
    </row>
    <row r="1595" spans="1:11" x14ac:dyDescent="0.3">
      <c r="A1595" s="1">
        <v>1594</v>
      </c>
      <c r="B1595" s="1" t="s">
        <v>4902</v>
      </c>
      <c r="C1595" s="1" t="s">
        <v>4903</v>
      </c>
      <c r="D1595" s="1" t="s">
        <v>4904</v>
      </c>
      <c r="G1595" s="1">
        <v>1</v>
      </c>
      <c r="H1595" s="7">
        <v>45560</v>
      </c>
      <c r="I1595" s="1" t="s">
        <v>7455</v>
      </c>
      <c r="J1595" s="7">
        <v>45560</v>
      </c>
      <c r="K1595" s="1" t="s">
        <v>7455</v>
      </c>
    </row>
    <row r="1596" spans="1:11" x14ac:dyDescent="0.3">
      <c r="A1596" s="1">
        <v>1595</v>
      </c>
      <c r="B1596" s="1" t="s">
        <v>4905</v>
      </c>
      <c r="C1596" s="1" t="s">
        <v>4906</v>
      </c>
      <c r="D1596" s="1" t="s">
        <v>4907</v>
      </c>
      <c r="F1596" s="1" t="s">
        <v>4908</v>
      </c>
      <c r="G1596" s="1">
        <v>1</v>
      </c>
      <c r="H1596" s="7">
        <v>45560</v>
      </c>
      <c r="I1596" s="1" t="s">
        <v>7455</v>
      </c>
      <c r="J1596" s="7">
        <v>45560</v>
      </c>
      <c r="K1596" s="1" t="s">
        <v>7455</v>
      </c>
    </row>
    <row r="1597" spans="1:11" x14ac:dyDescent="0.3">
      <c r="A1597" s="1">
        <v>1596</v>
      </c>
      <c r="B1597" s="1" t="s">
        <v>4909</v>
      </c>
      <c r="C1597" s="1" t="s">
        <v>4910</v>
      </c>
      <c r="D1597" s="1" t="s">
        <v>4911</v>
      </c>
      <c r="F1597" s="1" t="s">
        <v>4912</v>
      </c>
      <c r="G1597" s="1">
        <v>1</v>
      </c>
      <c r="H1597" s="7">
        <v>45560</v>
      </c>
      <c r="I1597" s="1" t="s">
        <v>7455</v>
      </c>
      <c r="J1597" s="7">
        <v>45560</v>
      </c>
      <c r="K1597" s="1" t="s">
        <v>7455</v>
      </c>
    </row>
    <row r="1598" spans="1:11" x14ac:dyDescent="0.3">
      <c r="A1598" s="1">
        <v>1597</v>
      </c>
      <c r="B1598" s="1" t="s">
        <v>4913</v>
      </c>
      <c r="C1598" s="1" t="s">
        <v>4914</v>
      </c>
      <c r="D1598" s="1" t="s">
        <v>4911</v>
      </c>
      <c r="F1598" s="1" t="s">
        <v>4915</v>
      </c>
      <c r="G1598" s="1">
        <v>1</v>
      </c>
      <c r="H1598" s="7">
        <v>45560</v>
      </c>
      <c r="I1598" s="1" t="s">
        <v>7455</v>
      </c>
      <c r="J1598" s="7">
        <v>45560</v>
      </c>
      <c r="K1598" s="1" t="s">
        <v>7455</v>
      </c>
    </row>
    <row r="1599" spans="1:11" x14ac:dyDescent="0.3">
      <c r="A1599" s="1">
        <v>1598</v>
      </c>
      <c r="B1599" s="1" t="s">
        <v>4916</v>
      </c>
      <c r="C1599" s="1" t="s">
        <v>4917</v>
      </c>
      <c r="D1599" s="1" t="s">
        <v>4918</v>
      </c>
      <c r="F1599" s="1" t="s">
        <v>4919</v>
      </c>
      <c r="G1599" s="1">
        <v>1</v>
      </c>
      <c r="H1599" s="7">
        <v>45560</v>
      </c>
      <c r="I1599" s="1" t="s">
        <v>7455</v>
      </c>
      <c r="J1599" s="7">
        <v>45560</v>
      </c>
      <c r="K1599" s="1" t="s">
        <v>7455</v>
      </c>
    </row>
    <row r="1600" spans="1:11" x14ac:dyDescent="0.3">
      <c r="A1600" s="1">
        <v>1599</v>
      </c>
      <c r="B1600" s="1" t="s">
        <v>4920</v>
      </c>
      <c r="C1600" s="1" t="s">
        <v>4921</v>
      </c>
      <c r="D1600" s="1" t="s">
        <v>4922</v>
      </c>
      <c r="G1600" s="1">
        <v>1</v>
      </c>
      <c r="H1600" s="7">
        <v>45560</v>
      </c>
      <c r="I1600" s="1" t="s">
        <v>7455</v>
      </c>
      <c r="J1600" s="7">
        <v>45560</v>
      </c>
      <c r="K1600" s="1" t="s">
        <v>7455</v>
      </c>
    </row>
    <row r="1601" spans="1:11" x14ac:dyDescent="0.3">
      <c r="A1601" s="1">
        <v>1600</v>
      </c>
      <c r="B1601" s="1" t="s">
        <v>4923</v>
      </c>
      <c r="C1601" s="1" t="s">
        <v>4924</v>
      </c>
      <c r="D1601" s="1" t="s">
        <v>4925</v>
      </c>
      <c r="F1601" s="1" t="s">
        <v>4926</v>
      </c>
      <c r="G1601" s="1">
        <v>1</v>
      </c>
      <c r="H1601" s="7">
        <v>45560</v>
      </c>
      <c r="I1601" s="1" t="s">
        <v>7455</v>
      </c>
      <c r="J1601" s="7">
        <v>45560</v>
      </c>
      <c r="K1601" s="1" t="s">
        <v>7455</v>
      </c>
    </row>
    <row r="1602" spans="1:11" x14ac:dyDescent="0.3">
      <c r="A1602" s="1">
        <v>1601</v>
      </c>
      <c r="B1602" s="1" t="s">
        <v>4927</v>
      </c>
      <c r="C1602" s="1" t="s">
        <v>4928</v>
      </c>
      <c r="F1602" s="1" t="s">
        <v>4929</v>
      </c>
      <c r="G1602" s="1">
        <v>1</v>
      </c>
      <c r="H1602" s="7">
        <v>45560</v>
      </c>
      <c r="I1602" s="1" t="s">
        <v>7455</v>
      </c>
      <c r="J1602" s="7">
        <v>45560</v>
      </c>
      <c r="K1602" s="1" t="s">
        <v>7455</v>
      </c>
    </row>
    <row r="1603" spans="1:11" x14ac:dyDescent="0.3">
      <c r="A1603" s="1">
        <v>1602</v>
      </c>
      <c r="B1603" s="1" t="s">
        <v>4930</v>
      </c>
      <c r="C1603" s="1" t="s">
        <v>4931</v>
      </c>
      <c r="E1603" s="1" t="s">
        <v>52</v>
      </c>
      <c r="G1603" s="1">
        <v>1</v>
      </c>
      <c r="H1603" s="7">
        <v>45560</v>
      </c>
      <c r="I1603" s="1" t="s">
        <v>7455</v>
      </c>
      <c r="J1603" s="7">
        <v>45560</v>
      </c>
      <c r="K1603" s="1" t="s">
        <v>7455</v>
      </c>
    </row>
    <row r="1604" spans="1:11" x14ac:dyDescent="0.3">
      <c r="A1604" s="1">
        <v>1603</v>
      </c>
      <c r="B1604" s="1" t="s">
        <v>4932</v>
      </c>
      <c r="C1604" s="1" t="s">
        <v>4933</v>
      </c>
      <c r="F1604" s="1" t="s">
        <v>4934</v>
      </c>
      <c r="G1604" s="1">
        <v>1</v>
      </c>
      <c r="H1604" s="7">
        <v>45560</v>
      </c>
      <c r="I1604" s="1" t="s">
        <v>7455</v>
      </c>
      <c r="J1604" s="7">
        <v>45560</v>
      </c>
      <c r="K1604" s="1" t="s">
        <v>7455</v>
      </c>
    </row>
    <row r="1605" spans="1:11" x14ac:dyDescent="0.3">
      <c r="A1605" s="1">
        <v>1604</v>
      </c>
      <c r="B1605" s="1" t="s">
        <v>4935</v>
      </c>
      <c r="C1605" s="1" t="s">
        <v>4936</v>
      </c>
      <c r="F1605" s="1" t="s">
        <v>4937</v>
      </c>
      <c r="G1605" s="1">
        <v>1</v>
      </c>
      <c r="H1605" s="7">
        <v>45560</v>
      </c>
      <c r="I1605" s="1" t="s">
        <v>7455</v>
      </c>
      <c r="J1605" s="7">
        <v>45560</v>
      </c>
      <c r="K1605" s="1" t="s">
        <v>7455</v>
      </c>
    </row>
    <row r="1606" spans="1:11" x14ac:dyDescent="0.3">
      <c r="A1606" s="1">
        <v>1605</v>
      </c>
      <c r="B1606" s="1" t="s">
        <v>4938</v>
      </c>
      <c r="C1606" s="1" t="s">
        <v>4939</v>
      </c>
      <c r="D1606" s="1" t="s">
        <v>4940</v>
      </c>
      <c r="F1606" s="1" t="s">
        <v>4941</v>
      </c>
      <c r="G1606" s="1">
        <v>1</v>
      </c>
      <c r="H1606" s="7">
        <v>45560</v>
      </c>
      <c r="I1606" s="1" t="s">
        <v>7455</v>
      </c>
      <c r="J1606" s="7">
        <v>45560</v>
      </c>
      <c r="K1606" s="1" t="s">
        <v>7455</v>
      </c>
    </row>
    <row r="1607" spans="1:11" x14ac:dyDescent="0.3">
      <c r="A1607" s="1">
        <v>1606</v>
      </c>
      <c r="B1607" s="1" t="s">
        <v>4942</v>
      </c>
      <c r="C1607" s="1" t="s">
        <v>4943</v>
      </c>
      <c r="D1607" s="1" t="s">
        <v>4944</v>
      </c>
      <c r="F1607" s="1" t="s">
        <v>4945</v>
      </c>
      <c r="G1607" s="1">
        <v>1</v>
      </c>
      <c r="H1607" s="7">
        <v>45560</v>
      </c>
      <c r="I1607" s="1" t="s">
        <v>7455</v>
      </c>
      <c r="J1607" s="7">
        <v>45560</v>
      </c>
      <c r="K1607" s="1" t="s">
        <v>7455</v>
      </c>
    </row>
    <row r="1608" spans="1:11" x14ac:dyDescent="0.3">
      <c r="A1608" s="1">
        <v>1607</v>
      </c>
      <c r="B1608" s="1" t="s">
        <v>4946</v>
      </c>
      <c r="C1608" s="1" t="s">
        <v>4947</v>
      </c>
      <c r="D1608" s="1" t="s">
        <v>4948</v>
      </c>
      <c r="F1608" s="1" t="s">
        <v>4949</v>
      </c>
      <c r="G1608" s="1">
        <v>1</v>
      </c>
      <c r="H1608" s="7">
        <v>45560</v>
      </c>
      <c r="I1608" s="1" t="s">
        <v>7455</v>
      </c>
      <c r="J1608" s="7">
        <v>45560</v>
      </c>
      <c r="K1608" s="1" t="s">
        <v>7455</v>
      </c>
    </row>
    <row r="1609" spans="1:11" x14ac:dyDescent="0.3">
      <c r="A1609" s="1">
        <v>1608</v>
      </c>
      <c r="B1609" s="1" t="s">
        <v>4950</v>
      </c>
      <c r="C1609" s="1" t="s">
        <v>4951</v>
      </c>
      <c r="D1609" s="1" t="s">
        <v>4952</v>
      </c>
      <c r="F1609" s="1" t="s">
        <v>4953</v>
      </c>
      <c r="G1609" s="1">
        <v>1</v>
      </c>
      <c r="H1609" s="7">
        <v>45560</v>
      </c>
      <c r="I1609" s="1" t="s">
        <v>7455</v>
      </c>
      <c r="J1609" s="7">
        <v>45560</v>
      </c>
      <c r="K1609" s="1" t="s">
        <v>7455</v>
      </c>
    </row>
    <row r="1610" spans="1:11" x14ac:dyDescent="0.3">
      <c r="A1610" s="1">
        <v>1609</v>
      </c>
      <c r="B1610" s="1" t="s">
        <v>4954</v>
      </c>
      <c r="C1610" s="1" t="s">
        <v>4955</v>
      </c>
      <c r="D1610" s="1" t="s">
        <v>4956</v>
      </c>
      <c r="F1610" s="1" t="s">
        <v>4957</v>
      </c>
      <c r="G1610" s="1">
        <v>1</v>
      </c>
      <c r="H1610" s="7">
        <v>45560</v>
      </c>
      <c r="I1610" s="1" t="s">
        <v>7455</v>
      </c>
      <c r="J1610" s="7">
        <v>45560</v>
      </c>
      <c r="K1610" s="1" t="s">
        <v>7455</v>
      </c>
    </row>
    <row r="1611" spans="1:11" x14ac:dyDescent="0.3">
      <c r="A1611" s="1">
        <v>1610</v>
      </c>
      <c r="B1611" s="1" t="s">
        <v>982</v>
      </c>
      <c r="C1611" s="1" t="s">
        <v>4958</v>
      </c>
      <c r="E1611" s="1" t="s">
        <v>52</v>
      </c>
      <c r="G1611" s="1">
        <v>1</v>
      </c>
      <c r="H1611" s="7">
        <v>45560</v>
      </c>
      <c r="I1611" s="1" t="s">
        <v>7455</v>
      </c>
      <c r="J1611" s="7">
        <v>45560</v>
      </c>
      <c r="K1611" s="1" t="s">
        <v>7455</v>
      </c>
    </row>
    <row r="1612" spans="1:11" x14ac:dyDescent="0.3">
      <c r="A1612" s="1">
        <v>1611</v>
      </c>
      <c r="B1612" s="1" t="s">
        <v>4959</v>
      </c>
      <c r="C1612" s="1" t="s">
        <v>4960</v>
      </c>
      <c r="F1612" s="1" t="s">
        <v>4961</v>
      </c>
      <c r="G1612" s="1">
        <v>1</v>
      </c>
      <c r="H1612" s="7">
        <v>45560</v>
      </c>
      <c r="I1612" s="1" t="s">
        <v>7455</v>
      </c>
      <c r="J1612" s="7">
        <v>45560</v>
      </c>
      <c r="K1612" s="1" t="s">
        <v>7455</v>
      </c>
    </row>
    <row r="1613" spans="1:11" x14ac:dyDescent="0.3">
      <c r="A1613" s="1">
        <v>1612</v>
      </c>
      <c r="B1613" s="1" t="s">
        <v>4962</v>
      </c>
      <c r="C1613" s="1" t="s">
        <v>4963</v>
      </c>
      <c r="D1613" s="1" t="s">
        <v>4964</v>
      </c>
      <c r="F1613" s="1" t="s">
        <v>4965</v>
      </c>
      <c r="G1613" s="1">
        <v>1</v>
      </c>
      <c r="H1613" s="7">
        <v>45560</v>
      </c>
      <c r="I1613" s="1" t="s">
        <v>7455</v>
      </c>
      <c r="J1613" s="7">
        <v>45560</v>
      </c>
      <c r="K1613" s="1" t="s">
        <v>7455</v>
      </c>
    </row>
    <row r="1614" spans="1:11" x14ac:dyDescent="0.3">
      <c r="A1614" s="1">
        <v>1613</v>
      </c>
      <c r="B1614" s="1" t="s">
        <v>4966</v>
      </c>
      <c r="C1614" s="1" t="s">
        <v>4967</v>
      </c>
      <c r="D1614" s="1" t="s">
        <v>4968</v>
      </c>
      <c r="G1614" s="1">
        <v>1</v>
      </c>
      <c r="H1614" s="7">
        <v>45560</v>
      </c>
      <c r="I1614" s="1" t="s">
        <v>7455</v>
      </c>
      <c r="J1614" s="7">
        <v>45560</v>
      </c>
      <c r="K1614" s="1" t="s">
        <v>7455</v>
      </c>
    </row>
    <row r="1615" spans="1:11" x14ac:dyDescent="0.3">
      <c r="A1615" s="1">
        <v>1614</v>
      </c>
      <c r="B1615" s="1" t="s">
        <v>4969</v>
      </c>
      <c r="C1615" s="1" t="s">
        <v>4970</v>
      </c>
      <c r="D1615" s="1" t="s">
        <v>4971</v>
      </c>
      <c r="F1615" s="1" t="s">
        <v>4972</v>
      </c>
      <c r="G1615" s="1">
        <v>1</v>
      </c>
      <c r="H1615" s="7">
        <v>45560</v>
      </c>
      <c r="I1615" s="1" t="s">
        <v>7455</v>
      </c>
      <c r="J1615" s="7">
        <v>45560</v>
      </c>
      <c r="K1615" s="1" t="s">
        <v>7455</v>
      </c>
    </row>
    <row r="1616" spans="1:11" x14ac:dyDescent="0.3">
      <c r="A1616" s="1">
        <v>1615</v>
      </c>
      <c r="B1616" s="1" t="s">
        <v>4973</v>
      </c>
      <c r="C1616" s="1" t="s">
        <v>4974</v>
      </c>
      <c r="D1616" s="1" t="s">
        <v>4975</v>
      </c>
      <c r="F1616" s="1" t="s">
        <v>4976</v>
      </c>
      <c r="G1616" s="1">
        <v>1</v>
      </c>
      <c r="H1616" s="7">
        <v>45560</v>
      </c>
      <c r="I1616" s="1" t="s">
        <v>7455</v>
      </c>
      <c r="J1616" s="7">
        <v>45560</v>
      </c>
      <c r="K1616" s="1" t="s">
        <v>7455</v>
      </c>
    </row>
    <row r="1617" spans="1:11" x14ac:dyDescent="0.3">
      <c r="A1617" s="1">
        <v>1616</v>
      </c>
      <c r="B1617" s="1" t="s">
        <v>4977</v>
      </c>
      <c r="C1617" s="1" t="s">
        <v>4978</v>
      </c>
      <c r="D1617" s="1" t="s">
        <v>4979</v>
      </c>
      <c r="F1617" s="1" t="s">
        <v>4980</v>
      </c>
      <c r="G1617" s="1">
        <v>1</v>
      </c>
      <c r="H1617" s="7">
        <v>45560</v>
      </c>
      <c r="I1617" s="1" t="s">
        <v>7455</v>
      </c>
      <c r="J1617" s="7">
        <v>45560</v>
      </c>
      <c r="K1617" s="1" t="s">
        <v>7455</v>
      </c>
    </row>
    <row r="1618" spans="1:11" x14ac:dyDescent="0.3">
      <c r="A1618" s="1">
        <v>1617</v>
      </c>
      <c r="B1618" s="1" t="s">
        <v>4981</v>
      </c>
      <c r="C1618" s="1" t="s">
        <v>4982</v>
      </c>
      <c r="D1618" s="1" t="s">
        <v>4983</v>
      </c>
      <c r="F1618" s="1" t="s">
        <v>4984</v>
      </c>
      <c r="G1618" s="1">
        <v>1</v>
      </c>
      <c r="H1618" s="7">
        <v>45560</v>
      </c>
      <c r="I1618" s="1" t="s">
        <v>7455</v>
      </c>
      <c r="J1618" s="7">
        <v>45560</v>
      </c>
      <c r="K1618" s="1" t="s">
        <v>7455</v>
      </c>
    </row>
    <row r="1619" spans="1:11" x14ac:dyDescent="0.3">
      <c r="A1619" s="1">
        <v>1618</v>
      </c>
      <c r="B1619" s="1" t="s">
        <v>4985</v>
      </c>
      <c r="C1619" s="1" t="s">
        <v>4986</v>
      </c>
      <c r="D1619" s="1" t="s">
        <v>4987</v>
      </c>
      <c r="F1619" s="1" t="s">
        <v>4988</v>
      </c>
      <c r="G1619" s="1">
        <v>1</v>
      </c>
      <c r="H1619" s="7">
        <v>45560</v>
      </c>
      <c r="I1619" s="1" t="s">
        <v>7455</v>
      </c>
      <c r="J1619" s="7">
        <v>45560</v>
      </c>
      <c r="K1619" s="1" t="s">
        <v>7455</v>
      </c>
    </row>
    <row r="1620" spans="1:11" x14ac:dyDescent="0.3">
      <c r="A1620" s="1">
        <v>1619</v>
      </c>
      <c r="B1620" s="1" t="s">
        <v>4989</v>
      </c>
      <c r="C1620" s="1" t="s">
        <v>4990</v>
      </c>
      <c r="D1620" s="1" t="s">
        <v>4991</v>
      </c>
      <c r="F1620" s="1" t="s">
        <v>4992</v>
      </c>
      <c r="G1620" s="1">
        <v>1</v>
      </c>
      <c r="H1620" s="7">
        <v>45560</v>
      </c>
      <c r="I1620" s="1" t="s">
        <v>7455</v>
      </c>
      <c r="J1620" s="7">
        <v>45560</v>
      </c>
      <c r="K1620" s="1" t="s">
        <v>7455</v>
      </c>
    </row>
    <row r="1621" spans="1:11" x14ac:dyDescent="0.3">
      <c r="A1621" s="1">
        <v>1620</v>
      </c>
      <c r="B1621" s="1" t="s">
        <v>4993</v>
      </c>
      <c r="C1621" s="1" t="s">
        <v>4994</v>
      </c>
      <c r="D1621" s="1" t="s">
        <v>4995</v>
      </c>
      <c r="F1621" s="1" t="s">
        <v>4996</v>
      </c>
      <c r="G1621" s="1">
        <v>1</v>
      </c>
      <c r="H1621" s="7">
        <v>45560</v>
      </c>
      <c r="I1621" s="1" t="s">
        <v>7455</v>
      </c>
      <c r="J1621" s="7">
        <v>45560</v>
      </c>
      <c r="K1621" s="1" t="s">
        <v>7455</v>
      </c>
    </row>
    <row r="1622" spans="1:11" x14ac:dyDescent="0.3">
      <c r="A1622" s="1">
        <v>1621</v>
      </c>
      <c r="B1622" s="1" t="s">
        <v>4997</v>
      </c>
      <c r="C1622" s="1" t="s">
        <v>4998</v>
      </c>
      <c r="D1622" s="1" t="s">
        <v>4999</v>
      </c>
      <c r="F1622" s="1" t="s">
        <v>5000</v>
      </c>
      <c r="G1622" s="1">
        <v>1</v>
      </c>
      <c r="H1622" s="7">
        <v>45560</v>
      </c>
      <c r="I1622" s="1" t="s">
        <v>7455</v>
      </c>
      <c r="J1622" s="7">
        <v>45560</v>
      </c>
      <c r="K1622" s="1" t="s">
        <v>7455</v>
      </c>
    </row>
    <row r="1623" spans="1:11" x14ac:dyDescent="0.3">
      <c r="A1623" s="1">
        <v>1622</v>
      </c>
      <c r="B1623" s="1" t="s">
        <v>5001</v>
      </c>
      <c r="C1623" s="1" t="s">
        <v>5002</v>
      </c>
      <c r="D1623" s="1" t="s">
        <v>5003</v>
      </c>
      <c r="F1623" s="1" t="s">
        <v>5004</v>
      </c>
      <c r="G1623" s="1">
        <v>1</v>
      </c>
      <c r="H1623" s="7">
        <v>45560</v>
      </c>
      <c r="I1623" s="1" t="s">
        <v>7455</v>
      </c>
      <c r="J1623" s="7">
        <v>45560</v>
      </c>
      <c r="K1623" s="1" t="s">
        <v>7455</v>
      </c>
    </row>
    <row r="1624" spans="1:11" x14ac:dyDescent="0.3">
      <c r="A1624" s="1">
        <v>1623</v>
      </c>
      <c r="B1624" s="1" t="s">
        <v>5005</v>
      </c>
      <c r="C1624" s="1" t="s">
        <v>5006</v>
      </c>
      <c r="D1624" s="1" t="s">
        <v>5007</v>
      </c>
      <c r="F1624" s="1" t="s">
        <v>5008</v>
      </c>
      <c r="G1624" s="1">
        <v>1</v>
      </c>
      <c r="H1624" s="7">
        <v>45560</v>
      </c>
      <c r="I1624" s="1" t="s">
        <v>7455</v>
      </c>
      <c r="J1624" s="7">
        <v>45560</v>
      </c>
      <c r="K1624" s="1" t="s">
        <v>7455</v>
      </c>
    </row>
    <row r="1625" spans="1:11" x14ac:dyDescent="0.3">
      <c r="A1625" s="1">
        <v>1624</v>
      </c>
      <c r="B1625" s="1" t="s">
        <v>5009</v>
      </c>
      <c r="C1625" s="1" t="s">
        <v>5010</v>
      </c>
      <c r="E1625" s="1" t="s">
        <v>52</v>
      </c>
      <c r="G1625" s="1">
        <v>1</v>
      </c>
      <c r="H1625" s="7">
        <v>45560</v>
      </c>
      <c r="I1625" s="1" t="s">
        <v>7455</v>
      </c>
      <c r="J1625" s="7">
        <v>45560</v>
      </c>
      <c r="K1625" s="1" t="s">
        <v>7455</v>
      </c>
    </row>
    <row r="1626" spans="1:11" x14ac:dyDescent="0.3">
      <c r="A1626" s="1">
        <v>1625</v>
      </c>
      <c r="B1626" s="1" t="s">
        <v>5011</v>
      </c>
      <c r="C1626" s="1" t="s">
        <v>5012</v>
      </c>
      <c r="D1626" s="1" t="s">
        <v>5013</v>
      </c>
      <c r="F1626" s="1" t="s">
        <v>5014</v>
      </c>
      <c r="G1626" s="1">
        <v>1</v>
      </c>
      <c r="H1626" s="7">
        <v>45560</v>
      </c>
      <c r="I1626" s="1" t="s">
        <v>7455</v>
      </c>
      <c r="J1626" s="7">
        <v>45560</v>
      </c>
      <c r="K1626" s="1" t="s">
        <v>7455</v>
      </c>
    </row>
    <row r="1627" spans="1:11" x14ac:dyDescent="0.3">
      <c r="A1627" s="1">
        <v>1626</v>
      </c>
      <c r="B1627" s="1" t="s">
        <v>5015</v>
      </c>
      <c r="C1627" s="1" t="s">
        <v>5016</v>
      </c>
      <c r="D1627" s="1" t="s">
        <v>5017</v>
      </c>
      <c r="F1627" s="1" t="s">
        <v>5018</v>
      </c>
      <c r="G1627" s="1">
        <v>1</v>
      </c>
      <c r="H1627" s="7">
        <v>45560</v>
      </c>
      <c r="I1627" s="1" t="s">
        <v>7455</v>
      </c>
      <c r="J1627" s="7">
        <v>45560</v>
      </c>
      <c r="K1627" s="1" t="s">
        <v>7455</v>
      </c>
    </row>
    <row r="1628" spans="1:11" x14ac:dyDescent="0.3">
      <c r="A1628" s="1">
        <v>1627</v>
      </c>
      <c r="B1628" s="1" t="s">
        <v>5019</v>
      </c>
      <c r="C1628" s="1" t="s">
        <v>5020</v>
      </c>
      <c r="D1628" s="1" t="s">
        <v>5021</v>
      </c>
      <c r="F1628" s="1" t="s">
        <v>5022</v>
      </c>
      <c r="G1628" s="1">
        <v>1</v>
      </c>
      <c r="H1628" s="7">
        <v>45560</v>
      </c>
      <c r="I1628" s="1" t="s">
        <v>7455</v>
      </c>
      <c r="J1628" s="7">
        <v>45560</v>
      </c>
      <c r="K1628" s="1" t="s">
        <v>7455</v>
      </c>
    </row>
    <row r="1629" spans="1:11" x14ac:dyDescent="0.3">
      <c r="A1629" s="1">
        <v>1628</v>
      </c>
      <c r="B1629" s="1" t="s">
        <v>5023</v>
      </c>
      <c r="C1629" s="1" t="s">
        <v>5024</v>
      </c>
      <c r="D1629" s="1" t="s">
        <v>5025</v>
      </c>
      <c r="F1629" s="1" t="s">
        <v>5026</v>
      </c>
      <c r="G1629" s="1">
        <v>1</v>
      </c>
      <c r="H1629" s="7">
        <v>45560</v>
      </c>
      <c r="I1629" s="1" t="s">
        <v>7455</v>
      </c>
      <c r="J1629" s="7">
        <v>45560</v>
      </c>
      <c r="K1629" s="1" t="s">
        <v>7455</v>
      </c>
    </row>
    <row r="1630" spans="1:11" x14ac:dyDescent="0.3">
      <c r="A1630" s="1">
        <v>1629</v>
      </c>
      <c r="B1630" s="1" t="s">
        <v>5027</v>
      </c>
      <c r="C1630" s="1" t="s">
        <v>5028</v>
      </c>
      <c r="D1630" s="1" t="s">
        <v>5029</v>
      </c>
      <c r="F1630" s="1" t="s">
        <v>5030</v>
      </c>
      <c r="G1630" s="1">
        <v>1</v>
      </c>
      <c r="H1630" s="7">
        <v>45560</v>
      </c>
      <c r="I1630" s="1" t="s">
        <v>7455</v>
      </c>
      <c r="J1630" s="7">
        <v>45560</v>
      </c>
      <c r="K1630" s="1" t="s">
        <v>7455</v>
      </c>
    </row>
    <row r="1631" spans="1:11" x14ac:dyDescent="0.3">
      <c r="A1631" s="1">
        <v>1630</v>
      </c>
      <c r="B1631" s="1" t="s">
        <v>5031</v>
      </c>
      <c r="C1631" s="1" t="s">
        <v>5032</v>
      </c>
      <c r="D1631" s="1" t="s">
        <v>5033</v>
      </c>
      <c r="F1631" s="1" t="s">
        <v>5034</v>
      </c>
      <c r="G1631" s="1">
        <v>1</v>
      </c>
      <c r="H1631" s="7">
        <v>45560</v>
      </c>
      <c r="I1631" s="1" t="s">
        <v>7455</v>
      </c>
      <c r="J1631" s="7">
        <v>45560</v>
      </c>
      <c r="K1631" s="1" t="s">
        <v>7455</v>
      </c>
    </row>
    <row r="1632" spans="1:11" x14ac:dyDescent="0.3">
      <c r="A1632" s="1">
        <v>1631</v>
      </c>
      <c r="B1632" s="1" t="s">
        <v>5035</v>
      </c>
      <c r="C1632" s="1" t="s">
        <v>5036</v>
      </c>
      <c r="D1632" s="1" t="s">
        <v>5037</v>
      </c>
      <c r="F1632" s="1" t="s">
        <v>5038</v>
      </c>
      <c r="G1632" s="1">
        <v>1</v>
      </c>
      <c r="H1632" s="7">
        <v>45560</v>
      </c>
      <c r="I1632" s="1" t="s">
        <v>7455</v>
      </c>
      <c r="J1632" s="7">
        <v>45560</v>
      </c>
      <c r="K1632" s="1" t="s">
        <v>7455</v>
      </c>
    </row>
    <row r="1633" spans="1:11" x14ac:dyDescent="0.3">
      <c r="A1633" s="1">
        <v>1632</v>
      </c>
      <c r="B1633" s="1" t="s">
        <v>5039</v>
      </c>
      <c r="C1633" s="1" t="s">
        <v>5040</v>
      </c>
      <c r="D1633" s="1" t="s">
        <v>5041</v>
      </c>
      <c r="F1633" s="1" t="s">
        <v>5042</v>
      </c>
      <c r="G1633" s="1">
        <v>1</v>
      </c>
      <c r="H1633" s="7">
        <v>45560</v>
      </c>
      <c r="I1633" s="1" t="s">
        <v>7455</v>
      </c>
      <c r="J1633" s="7">
        <v>45560</v>
      </c>
      <c r="K1633" s="1" t="s">
        <v>7455</v>
      </c>
    </row>
    <row r="1634" spans="1:11" x14ac:dyDescent="0.3">
      <c r="A1634" s="1">
        <v>1633</v>
      </c>
      <c r="B1634" s="1" t="s">
        <v>5043</v>
      </c>
      <c r="C1634" s="1" t="s">
        <v>5044</v>
      </c>
      <c r="D1634" s="1" t="s">
        <v>5045</v>
      </c>
      <c r="F1634" s="1" t="s">
        <v>5046</v>
      </c>
      <c r="G1634" s="1">
        <v>1</v>
      </c>
      <c r="H1634" s="7">
        <v>45560</v>
      </c>
      <c r="I1634" s="1" t="s">
        <v>7455</v>
      </c>
      <c r="J1634" s="7">
        <v>45560</v>
      </c>
      <c r="K1634" s="1" t="s">
        <v>7455</v>
      </c>
    </row>
    <row r="1635" spans="1:11" x14ac:dyDescent="0.3">
      <c r="A1635" s="1">
        <v>1634</v>
      </c>
      <c r="B1635" s="1" t="s">
        <v>5047</v>
      </c>
      <c r="C1635" s="1" t="s">
        <v>5048</v>
      </c>
      <c r="D1635" s="1" t="s">
        <v>5049</v>
      </c>
      <c r="F1635" s="1" t="s">
        <v>5050</v>
      </c>
      <c r="G1635" s="1">
        <v>1</v>
      </c>
      <c r="H1635" s="7">
        <v>45560</v>
      </c>
      <c r="I1635" s="1" t="s">
        <v>7455</v>
      </c>
      <c r="J1635" s="7">
        <v>45560</v>
      </c>
      <c r="K1635" s="1" t="s">
        <v>7455</v>
      </c>
    </row>
    <row r="1636" spans="1:11" x14ac:dyDescent="0.3">
      <c r="A1636" s="1">
        <v>1635</v>
      </c>
      <c r="B1636" s="1" t="s">
        <v>5051</v>
      </c>
      <c r="C1636" s="1" t="s">
        <v>5052</v>
      </c>
      <c r="G1636" s="1">
        <v>1</v>
      </c>
      <c r="H1636" s="7">
        <v>45560</v>
      </c>
      <c r="I1636" s="1" t="s">
        <v>7455</v>
      </c>
      <c r="J1636" s="7">
        <v>45560</v>
      </c>
      <c r="K1636" s="1" t="s">
        <v>7455</v>
      </c>
    </row>
    <row r="1637" spans="1:11" x14ac:dyDescent="0.3">
      <c r="A1637" s="1">
        <v>1636</v>
      </c>
      <c r="B1637" s="1" t="s">
        <v>5053</v>
      </c>
      <c r="C1637" s="1" t="s">
        <v>5054</v>
      </c>
      <c r="D1637" s="1" t="s">
        <v>5055</v>
      </c>
      <c r="F1637" s="1" t="s">
        <v>5056</v>
      </c>
      <c r="G1637" s="1">
        <v>1</v>
      </c>
      <c r="H1637" s="7">
        <v>45560</v>
      </c>
      <c r="I1637" s="1" t="s">
        <v>7455</v>
      </c>
      <c r="J1637" s="7">
        <v>45560</v>
      </c>
      <c r="K1637" s="1" t="s">
        <v>7455</v>
      </c>
    </row>
    <row r="1638" spans="1:11" x14ac:dyDescent="0.3">
      <c r="A1638" s="1">
        <v>1637</v>
      </c>
      <c r="B1638" s="1" t="s">
        <v>5057</v>
      </c>
      <c r="C1638" s="1" t="s">
        <v>5058</v>
      </c>
      <c r="D1638" s="1" t="s">
        <v>5059</v>
      </c>
      <c r="F1638" s="1" t="s">
        <v>5060</v>
      </c>
      <c r="G1638" s="1">
        <v>1</v>
      </c>
      <c r="H1638" s="7">
        <v>45560</v>
      </c>
      <c r="I1638" s="1" t="s">
        <v>7455</v>
      </c>
      <c r="J1638" s="7">
        <v>45560</v>
      </c>
      <c r="K1638" s="1" t="s">
        <v>7455</v>
      </c>
    </row>
    <row r="1639" spans="1:11" x14ac:dyDescent="0.3">
      <c r="A1639" s="1">
        <v>1638</v>
      </c>
      <c r="B1639" s="1" t="s">
        <v>5061</v>
      </c>
      <c r="C1639" s="1" t="s">
        <v>5062</v>
      </c>
      <c r="D1639" s="1" t="s">
        <v>5063</v>
      </c>
      <c r="F1639" s="1" t="s">
        <v>5064</v>
      </c>
      <c r="G1639" s="1">
        <v>1</v>
      </c>
      <c r="H1639" s="7">
        <v>45560</v>
      </c>
      <c r="I1639" s="1" t="s">
        <v>7455</v>
      </c>
      <c r="J1639" s="7">
        <v>45560</v>
      </c>
      <c r="K1639" s="1" t="s">
        <v>7455</v>
      </c>
    </row>
    <row r="1640" spans="1:11" x14ac:dyDescent="0.3">
      <c r="A1640" s="1">
        <v>1639</v>
      </c>
      <c r="B1640" s="1" t="s">
        <v>5065</v>
      </c>
      <c r="C1640" s="1" t="s">
        <v>5066</v>
      </c>
      <c r="D1640" s="1" t="s">
        <v>5067</v>
      </c>
      <c r="F1640" s="1" t="s">
        <v>5068</v>
      </c>
      <c r="G1640" s="1">
        <v>1</v>
      </c>
      <c r="H1640" s="7">
        <v>45560</v>
      </c>
      <c r="I1640" s="1" t="s">
        <v>7455</v>
      </c>
      <c r="J1640" s="7">
        <v>45560</v>
      </c>
      <c r="K1640" s="1" t="s">
        <v>7455</v>
      </c>
    </row>
    <row r="1641" spans="1:11" x14ac:dyDescent="0.3">
      <c r="A1641" s="1">
        <v>1640</v>
      </c>
      <c r="B1641" s="1" t="s">
        <v>5069</v>
      </c>
      <c r="C1641" s="1" t="s">
        <v>5070</v>
      </c>
      <c r="D1641" s="1" t="s">
        <v>5071</v>
      </c>
      <c r="F1641" s="1" t="s">
        <v>5072</v>
      </c>
      <c r="G1641" s="1">
        <v>1</v>
      </c>
      <c r="H1641" s="7">
        <v>45560</v>
      </c>
      <c r="I1641" s="1" t="s">
        <v>7455</v>
      </c>
      <c r="J1641" s="7">
        <v>45560</v>
      </c>
      <c r="K1641" s="1" t="s">
        <v>7455</v>
      </c>
    </row>
    <row r="1642" spans="1:11" x14ac:dyDescent="0.3">
      <c r="A1642" s="1">
        <v>1641</v>
      </c>
      <c r="B1642" s="1" t="s">
        <v>5073</v>
      </c>
      <c r="C1642" s="1" t="s">
        <v>5074</v>
      </c>
      <c r="D1642" s="1" t="s">
        <v>5075</v>
      </c>
      <c r="F1642" s="1" t="s">
        <v>5076</v>
      </c>
      <c r="G1642" s="1">
        <v>1</v>
      </c>
      <c r="H1642" s="7">
        <v>45560</v>
      </c>
      <c r="I1642" s="1" t="s">
        <v>7455</v>
      </c>
      <c r="J1642" s="7">
        <v>45560</v>
      </c>
      <c r="K1642" s="1" t="s">
        <v>7455</v>
      </c>
    </row>
    <row r="1643" spans="1:11" x14ac:dyDescent="0.3">
      <c r="A1643" s="1">
        <v>1642</v>
      </c>
      <c r="B1643" s="1" t="s">
        <v>5077</v>
      </c>
      <c r="C1643" s="1" t="s">
        <v>5078</v>
      </c>
      <c r="D1643" s="1" t="s">
        <v>5079</v>
      </c>
      <c r="F1643" s="1" t="s">
        <v>5080</v>
      </c>
      <c r="G1643" s="1">
        <v>1</v>
      </c>
      <c r="H1643" s="7">
        <v>45560</v>
      </c>
      <c r="I1643" s="1" t="s">
        <v>7455</v>
      </c>
      <c r="J1643" s="7">
        <v>45560</v>
      </c>
      <c r="K1643" s="1" t="s">
        <v>7455</v>
      </c>
    </row>
    <row r="1644" spans="1:11" x14ac:dyDescent="0.3">
      <c r="A1644" s="1">
        <v>1643</v>
      </c>
      <c r="B1644" s="1" t="s">
        <v>5081</v>
      </c>
      <c r="C1644" s="1" t="s">
        <v>5082</v>
      </c>
      <c r="D1644" s="1" t="s">
        <v>5083</v>
      </c>
      <c r="F1644" s="1" t="s">
        <v>5084</v>
      </c>
      <c r="G1644" s="1">
        <v>1</v>
      </c>
      <c r="H1644" s="7">
        <v>45560</v>
      </c>
      <c r="I1644" s="1" t="s">
        <v>7455</v>
      </c>
      <c r="J1644" s="7">
        <v>45560</v>
      </c>
      <c r="K1644" s="1" t="s">
        <v>7455</v>
      </c>
    </row>
    <row r="1645" spans="1:11" x14ac:dyDescent="0.3">
      <c r="A1645" s="1">
        <v>1644</v>
      </c>
      <c r="B1645" s="1" t="s">
        <v>5085</v>
      </c>
      <c r="C1645" s="1" t="s">
        <v>5086</v>
      </c>
      <c r="D1645" s="1" t="s">
        <v>5087</v>
      </c>
      <c r="F1645" s="1" t="s">
        <v>5088</v>
      </c>
      <c r="G1645" s="1">
        <v>1</v>
      </c>
      <c r="H1645" s="7">
        <v>45560</v>
      </c>
      <c r="I1645" s="1" t="s">
        <v>7455</v>
      </c>
      <c r="J1645" s="7">
        <v>45560</v>
      </c>
      <c r="K1645" s="1" t="s">
        <v>7455</v>
      </c>
    </row>
    <row r="1646" spans="1:11" x14ac:dyDescent="0.3">
      <c r="A1646" s="1">
        <v>1645</v>
      </c>
      <c r="B1646" s="1" t="s">
        <v>5089</v>
      </c>
      <c r="C1646" s="1" t="s">
        <v>5090</v>
      </c>
      <c r="D1646" s="1" t="s">
        <v>5091</v>
      </c>
      <c r="F1646" s="1" t="s">
        <v>5092</v>
      </c>
      <c r="G1646" s="1">
        <v>1</v>
      </c>
      <c r="H1646" s="7">
        <v>45560</v>
      </c>
      <c r="I1646" s="1" t="s">
        <v>7455</v>
      </c>
      <c r="J1646" s="7">
        <v>45560</v>
      </c>
      <c r="K1646" s="1" t="s">
        <v>7455</v>
      </c>
    </row>
    <row r="1647" spans="1:11" x14ac:dyDescent="0.3">
      <c r="A1647" s="1">
        <v>1646</v>
      </c>
      <c r="B1647" s="1" t="s">
        <v>5093</v>
      </c>
      <c r="C1647" s="1" t="s">
        <v>5094</v>
      </c>
      <c r="D1647" s="1" t="s">
        <v>5095</v>
      </c>
      <c r="F1647" s="1" t="s">
        <v>5096</v>
      </c>
      <c r="G1647" s="1">
        <v>1</v>
      </c>
      <c r="H1647" s="7">
        <v>45560</v>
      </c>
      <c r="I1647" s="1" t="s">
        <v>7455</v>
      </c>
      <c r="J1647" s="7">
        <v>45560</v>
      </c>
      <c r="K1647" s="1" t="s">
        <v>7455</v>
      </c>
    </row>
    <row r="1648" spans="1:11" x14ac:dyDescent="0.3">
      <c r="A1648" s="1">
        <v>1647</v>
      </c>
      <c r="B1648" s="1" t="s">
        <v>5097</v>
      </c>
      <c r="C1648" s="1" t="s">
        <v>5098</v>
      </c>
      <c r="D1648" s="1" t="s">
        <v>5099</v>
      </c>
      <c r="F1648" s="1" t="s">
        <v>5100</v>
      </c>
      <c r="G1648" s="1">
        <v>1</v>
      </c>
      <c r="H1648" s="7">
        <v>45560</v>
      </c>
      <c r="I1648" s="1" t="s">
        <v>7455</v>
      </c>
      <c r="J1648" s="7">
        <v>45560</v>
      </c>
      <c r="K1648" s="1" t="s">
        <v>7455</v>
      </c>
    </row>
    <row r="1649" spans="1:11" x14ac:dyDescent="0.3">
      <c r="A1649" s="1">
        <v>1648</v>
      </c>
      <c r="B1649" s="1" t="s">
        <v>5101</v>
      </c>
      <c r="C1649" s="1" t="s">
        <v>5102</v>
      </c>
      <c r="D1649" s="1" t="s">
        <v>5103</v>
      </c>
      <c r="F1649" s="1" t="s">
        <v>5104</v>
      </c>
      <c r="G1649" s="1">
        <v>1</v>
      </c>
      <c r="H1649" s="7">
        <v>45560</v>
      </c>
      <c r="I1649" s="1" t="s">
        <v>7455</v>
      </c>
      <c r="J1649" s="7">
        <v>45560</v>
      </c>
      <c r="K1649" s="1" t="s">
        <v>7455</v>
      </c>
    </row>
    <row r="1650" spans="1:11" x14ac:dyDescent="0.3">
      <c r="A1650" s="1">
        <v>1649</v>
      </c>
      <c r="B1650" s="1" t="s">
        <v>5105</v>
      </c>
      <c r="C1650" s="1" t="s">
        <v>5106</v>
      </c>
      <c r="D1650" s="1" t="s">
        <v>5107</v>
      </c>
      <c r="F1650" s="1" t="s">
        <v>5108</v>
      </c>
      <c r="G1650" s="1">
        <v>1</v>
      </c>
      <c r="H1650" s="7">
        <v>45560</v>
      </c>
      <c r="I1650" s="1" t="s">
        <v>7455</v>
      </c>
      <c r="J1650" s="7">
        <v>45560</v>
      </c>
      <c r="K1650" s="1" t="s">
        <v>7455</v>
      </c>
    </row>
    <row r="1651" spans="1:11" x14ac:dyDescent="0.3">
      <c r="A1651" s="1">
        <v>1650</v>
      </c>
      <c r="B1651" s="1" t="s">
        <v>5109</v>
      </c>
      <c r="C1651" s="1" t="s">
        <v>5110</v>
      </c>
      <c r="D1651" s="1" t="s">
        <v>5107</v>
      </c>
      <c r="F1651" s="1" t="s">
        <v>5111</v>
      </c>
      <c r="G1651" s="1">
        <v>1</v>
      </c>
      <c r="H1651" s="7">
        <v>45560</v>
      </c>
      <c r="I1651" s="1" t="s">
        <v>7455</v>
      </c>
      <c r="J1651" s="7">
        <v>45560</v>
      </c>
      <c r="K1651" s="1" t="s">
        <v>7455</v>
      </c>
    </row>
    <row r="1652" spans="1:11" x14ac:dyDescent="0.3">
      <c r="A1652" s="1">
        <v>1651</v>
      </c>
      <c r="B1652" s="1" t="s">
        <v>5112</v>
      </c>
      <c r="C1652" s="1" t="s">
        <v>5113</v>
      </c>
      <c r="D1652" s="1" t="s">
        <v>5114</v>
      </c>
      <c r="F1652" s="1" t="s">
        <v>5115</v>
      </c>
      <c r="G1652" s="1">
        <v>1</v>
      </c>
      <c r="H1652" s="7">
        <v>45560</v>
      </c>
      <c r="I1652" s="1" t="s">
        <v>7455</v>
      </c>
      <c r="J1652" s="7">
        <v>45560</v>
      </c>
      <c r="K1652" s="1" t="s">
        <v>7455</v>
      </c>
    </row>
    <row r="1653" spans="1:11" x14ac:dyDescent="0.3">
      <c r="A1653" s="1">
        <v>1652</v>
      </c>
      <c r="B1653" s="1" t="s">
        <v>5116</v>
      </c>
      <c r="C1653" s="1" t="s">
        <v>5117</v>
      </c>
      <c r="D1653" s="1" t="s">
        <v>5118</v>
      </c>
      <c r="F1653" s="1" t="s">
        <v>5119</v>
      </c>
      <c r="G1653" s="1">
        <v>1</v>
      </c>
      <c r="H1653" s="7">
        <v>45560</v>
      </c>
      <c r="I1653" s="1" t="s">
        <v>7455</v>
      </c>
      <c r="J1653" s="7">
        <v>45560</v>
      </c>
      <c r="K1653" s="1" t="s">
        <v>7455</v>
      </c>
    </row>
    <row r="1654" spans="1:11" x14ac:dyDescent="0.3">
      <c r="A1654" s="1">
        <v>1653</v>
      </c>
      <c r="B1654" s="1" t="s">
        <v>5120</v>
      </c>
      <c r="C1654" s="1" t="s">
        <v>5121</v>
      </c>
      <c r="D1654" s="1" t="s">
        <v>5122</v>
      </c>
      <c r="F1654" s="1" t="s">
        <v>5123</v>
      </c>
      <c r="G1654" s="1">
        <v>1</v>
      </c>
      <c r="H1654" s="7">
        <v>45560</v>
      </c>
      <c r="I1654" s="1" t="s">
        <v>7455</v>
      </c>
      <c r="J1654" s="7">
        <v>45560</v>
      </c>
      <c r="K1654" s="1" t="s">
        <v>7455</v>
      </c>
    </row>
    <row r="1655" spans="1:11" x14ac:dyDescent="0.3">
      <c r="A1655" s="1">
        <v>1654</v>
      </c>
      <c r="B1655" s="1" t="s">
        <v>5124</v>
      </c>
      <c r="C1655" s="1" t="s">
        <v>5125</v>
      </c>
      <c r="D1655" s="1" t="s">
        <v>5126</v>
      </c>
      <c r="F1655" s="1" t="s">
        <v>5127</v>
      </c>
      <c r="G1655" s="1">
        <v>1</v>
      </c>
      <c r="H1655" s="7">
        <v>45560</v>
      </c>
      <c r="I1655" s="1" t="s">
        <v>7455</v>
      </c>
      <c r="J1655" s="7">
        <v>45560</v>
      </c>
      <c r="K1655" s="1" t="s">
        <v>7455</v>
      </c>
    </row>
    <row r="1656" spans="1:11" x14ac:dyDescent="0.3">
      <c r="A1656" s="1">
        <v>1655</v>
      </c>
      <c r="B1656" s="1" t="s">
        <v>5128</v>
      </c>
      <c r="C1656" s="1" t="s">
        <v>5129</v>
      </c>
      <c r="D1656" s="1" t="s">
        <v>5130</v>
      </c>
      <c r="F1656" s="1" t="s">
        <v>5131</v>
      </c>
      <c r="G1656" s="1">
        <v>1</v>
      </c>
      <c r="H1656" s="7">
        <v>45560</v>
      </c>
      <c r="I1656" s="1" t="s">
        <v>7455</v>
      </c>
      <c r="J1656" s="7">
        <v>45560</v>
      </c>
      <c r="K1656" s="1" t="s">
        <v>7455</v>
      </c>
    </row>
    <row r="1657" spans="1:11" x14ac:dyDescent="0.3">
      <c r="A1657" s="1">
        <v>1656</v>
      </c>
      <c r="B1657" s="1" t="s">
        <v>5132</v>
      </c>
      <c r="C1657" s="1" t="s">
        <v>5133</v>
      </c>
      <c r="D1657" s="1" t="s">
        <v>5134</v>
      </c>
      <c r="F1657" s="1" t="s">
        <v>5135</v>
      </c>
      <c r="G1657" s="1">
        <v>1</v>
      </c>
      <c r="H1657" s="7">
        <v>45560</v>
      </c>
      <c r="I1657" s="1" t="s">
        <v>7455</v>
      </c>
      <c r="J1657" s="7">
        <v>45560</v>
      </c>
      <c r="K1657" s="1" t="s">
        <v>7455</v>
      </c>
    </row>
    <row r="1658" spans="1:11" x14ac:dyDescent="0.3">
      <c r="A1658" s="1">
        <v>1657</v>
      </c>
      <c r="B1658" s="1" t="s">
        <v>5136</v>
      </c>
      <c r="C1658" s="1" t="s">
        <v>5137</v>
      </c>
      <c r="D1658" s="1" t="s">
        <v>5134</v>
      </c>
      <c r="F1658" s="1" t="s">
        <v>5138</v>
      </c>
      <c r="G1658" s="1">
        <v>1</v>
      </c>
      <c r="H1658" s="7">
        <v>45560</v>
      </c>
      <c r="I1658" s="1" t="s">
        <v>7455</v>
      </c>
      <c r="J1658" s="7">
        <v>45560</v>
      </c>
      <c r="K1658" s="1" t="s">
        <v>7455</v>
      </c>
    </row>
    <row r="1659" spans="1:11" x14ac:dyDescent="0.3">
      <c r="A1659" s="1">
        <v>1658</v>
      </c>
      <c r="B1659" s="1" t="s">
        <v>5139</v>
      </c>
      <c r="C1659" s="1" t="s">
        <v>5140</v>
      </c>
      <c r="D1659" s="1" t="s">
        <v>5134</v>
      </c>
      <c r="F1659" s="1" t="s">
        <v>5141</v>
      </c>
      <c r="G1659" s="1">
        <v>1</v>
      </c>
      <c r="H1659" s="7">
        <v>45560</v>
      </c>
      <c r="I1659" s="1" t="s">
        <v>7455</v>
      </c>
      <c r="J1659" s="7">
        <v>45560</v>
      </c>
      <c r="K1659" s="1" t="s">
        <v>7455</v>
      </c>
    </row>
    <row r="1660" spans="1:11" x14ac:dyDescent="0.3">
      <c r="A1660" s="1">
        <v>1659</v>
      </c>
      <c r="B1660" s="1" t="s">
        <v>5142</v>
      </c>
      <c r="C1660" s="1" t="s">
        <v>5143</v>
      </c>
      <c r="D1660" s="1" t="s">
        <v>5134</v>
      </c>
      <c r="F1660" s="1" t="s">
        <v>5144</v>
      </c>
      <c r="G1660" s="1">
        <v>1</v>
      </c>
      <c r="H1660" s="7">
        <v>45560</v>
      </c>
      <c r="I1660" s="1" t="s">
        <v>7455</v>
      </c>
      <c r="J1660" s="7">
        <v>45560</v>
      </c>
      <c r="K1660" s="1" t="s">
        <v>7455</v>
      </c>
    </row>
    <row r="1661" spans="1:11" x14ac:dyDescent="0.3">
      <c r="A1661" s="1">
        <v>1660</v>
      </c>
      <c r="B1661" s="1" t="s">
        <v>5145</v>
      </c>
      <c r="C1661" s="1" t="s">
        <v>5146</v>
      </c>
      <c r="D1661" s="1" t="s">
        <v>5134</v>
      </c>
      <c r="F1661" s="1" t="s">
        <v>5147</v>
      </c>
      <c r="G1661" s="1">
        <v>1</v>
      </c>
      <c r="H1661" s="7">
        <v>45560</v>
      </c>
      <c r="I1661" s="1" t="s">
        <v>7455</v>
      </c>
      <c r="J1661" s="7">
        <v>45560</v>
      </c>
      <c r="K1661" s="1" t="s">
        <v>7455</v>
      </c>
    </row>
    <row r="1662" spans="1:11" x14ac:dyDescent="0.3">
      <c r="A1662" s="1">
        <v>1661</v>
      </c>
      <c r="B1662" s="1" t="s">
        <v>5148</v>
      </c>
      <c r="C1662" s="1" t="s">
        <v>5149</v>
      </c>
      <c r="D1662" s="1" t="s">
        <v>5134</v>
      </c>
      <c r="F1662" s="1" t="s">
        <v>5150</v>
      </c>
      <c r="G1662" s="1">
        <v>1</v>
      </c>
      <c r="H1662" s="7">
        <v>45560</v>
      </c>
      <c r="I1662" s="1" t="s">
        <v>7455</v>
      </c>
      <c r="J1662" s="7">
        <v>45560</v>
      </c>
      <c r="K1662" s="1" t="s">
        <v>7455</v>
      </c>
    </row>
    <row r="1663" spans="1:11" x14ac:dyDescent="0.3">
      <c r="A1663" s="1">
        <v>1662</v>
      </c>
      <c r="B1663" s="1" t="s">
        <v>5151</v>
      </c>
      <c r="C1663" s="1" t="s">
        <v>5152</v>
      </c>
      <c r="D1663" s="1" t="s">
        <v>5134</v>
      </c>
      <c r="F1663" s="1" t="s">
        <v>5153</v>
      </c>
      <c r="G1663" s="1">
        <v>1</v>
      </c>
      <c r="H1663" s="7">
        <v>45560</v>
      </c>
      <c r="I1663" s="1" t="s">
        <v>7455</v>
      </c>
      <c r="J1663" s="7">
        <v>45560</v>
      </c>
      <c r="K1663" s="1" t="s">
        <v>7455</v>
      </c>
    </row>
    <row r="1664" spans="1:11" x14ac:dyDescent="0.3">
      <c r="A1664" s="1">
        <v>1663</v>
      </c>
      <c r="B1664" s="1" t="s">
        <v>5154</v>
      </c>
      <c r="C1664" s="1" t="s">
        <v>5155</v>
      </c>
      <c r="D1664" s="1" t="s">
        <v>5134</v>
      </c>
      <c r="F1664" s="1" t="s">
        <v>5156</v>
      </c>
      <c r="G1664" s="1">
        <v>1</v>
      </c>
      <c r="H1664" s="7">
        <v>45560</v>
      </c>
      <c r="I1664" s="1" t="s">
        <v>7455</v>
      </c>
      <c r="J1664" s="7">
        <v>45560</v>
      </c>
      <c r="K1664" s="1" t="s">
        <v>7455</v>
      </c>
    </row>
    <row r="1665" spans="1:11" x14ac:dyDescent="0.3">
      <c r="A1665" s="1">
        <v>1664</v>
      </c>
      <c r="B1665" s="1" t="s">
        <v>5157</v>
      </c>
      <c r="C1665" s="1" t="s">
        <v>5158</v>
      </c>
      <c r="D1665" s="1" t="s">
        <v>5159</v>
      </c>
      <c r="F1665" s="1" t="s">
        <v>5160</v>
      </c>
      <c r="G1665" s="1">
        <v>1</v>
      </c>
      <c r="H1665" s="7">
        <v>45560</v>
      </c>
      <c r="I1665" s="1" t="s">
        <v>7455</v>
      </c>
      <c r="J1665" s="7">
        <v>45560</v>
      </c>
      <c r="K1665" s="1" t="s">
        <v>7455</v>
      </c>
    </row>
    <row r="1666" spans="1:11" x14ac:dyDescent="0.3">
      <c r="A1666" s="1">
        <v>1665</v>
      </c>
      <c r="B1666" s="1" t="s">
        <v>5161</v>
      </c>
      <c r="C1666" s="1" t="s">
        <v>5162</v>
      </c>
      <c r="D1666" s="1" t="s">
        <v>5159</v>
      </c>
      <c r="F1666" s="1" t="s">
        <v>5163</v>
      </c>
      <c r="G1666" s="1">
        <v>1</v>
      </c>
      <c r="H1666" s="7">
        <v>45560</v>
      </c>
      <c r="I1666" s="1" t="s">
        <v>7455</v>
      </c>
      <c r="J1666" s="7">
        <v>45560</v>
      </c>
      <c r="K1666" s="1" t="s">
        <v>7455</v>
      </c>
    </row>
    <row r="1667" spans="1:11" x14ac:dyDescent="0.3">
      <c r="A1667" s="1">
        <v>1666</v>
      </c>
      <c r="B1667" s="1" t="s">
        <v>5164</v>
      </c>
      <c r="C1667" s="1" t="s">
        <v>5165</v>
      </c>
      <c r="D1667" s="1" t="s">
        <v>5166</v>
      </c>
      <c r="F1667" s="1" t="s">
        <v>5167</v>
      </c>
      <c r="G1667" s="1">
        <v>1</v>
      </c>
      <c r="H1667" s="7">
        <v>45560</v>
      </c>
      <c r="I1667" s="1" t="s">
        <v>7455</v>
      </c>
      <c r="J1667" s="7">
        <v>45560</v>
      </c>
      <c r="K1667" s="1" t="s">
        <v>7455</v>
      </c>
    </row>
    <row r="1668" spans="1:11" x14ac:dyDescent="0.3">
      <c r="A1668" s="1">
        <v>1667</v>
      </c>
      <c r="B1668" s="1" t="s">
        <v>5168</v>
      </c>
      <c r="C1668" s="1" t="s">
        <v>5169</v>
      </c>
      <c r="D1668" s="1" t="s">
        <v>5166</v>
      </c>
      <c r="F1668" s="1" t="s">
        <v>5170</v>
      </c>
      <c r="G1668" s="1">
        <v>1</v>
      </c>
      <c r="H1668" s="7">
        <v>45560</v>
      </c>
      <c r="I1668" s="1" t="s">
        <v>7455</v>
      </c>
      <c r="J1668" s="7">
        <v>45560</v>
      </c>
      <c r="K1668" s="1" t="s">
        <v>7455</v>
      </c>
    </row>
    <row r="1669" spans="1:11" x14ac:dyDescent="0.3">
      <c r="A1669" s="1">
        <v>1668</v>
      </c>
      <c r="B1669" s="1" t="s">
        <v>5171</v>
      </c>
      <c r="C1669" s="1" t="s">
        <v>5172</v>
      </c>
      <c r="D1669" s="1" t="s">
        <v>5166</v>
      </c>
      <c r="F1669" s="1" t="s">
        <v>5173</v>
      </c>
      <c r="G1669" s="1">
        <v>1</v>
      </c>
      <c r="H1669" s="7">
        <v>45560</v>
      </c>
      <c r="I1669" s="1" t="s">
        <v>7455</v>
      </c>
      <c r="J1669" s="7">
        <v>45560</v>
      </c>
      <c r="K1669" s="1" t="s">
        <v>7455</v>
      </c>
    </row>
    <row r="1670" spans="1:11" x14ac:dyDescent="0.3">
      <c r="A1670" s="1">
        <v>1669</v>
      </c>
      <c r="B1670" s="1" t="s">
        <v>5174</v>
      </c>
      <c r="C1670" s="1" t="s">
        <v>5175</v>
      </c>
      <c r="D1670" s="1" t="s">
        <v>5166</v>
      </c>
      <c r="F1670" s="1" t="s">
        <v>5176</v>
      </c>
      <c r="G1670" s="1">
        <v>1</v>
      </c>
      <c r="H1670" s="7">
        <v>45560</v>
      </c>
      <c r="I1670" s="1" t="s">
        <v>7455</v>
      </c>
      <c r="J1670" s="7">
        <v>45560</v>
      </c>
      <c r="K1670" s="1" t="s">
        <v>7455</v>
      </c>
    </row>
    <row r="1671" spans="1:11" x14ac:dyDescent="0.3">
      <c r="A1671" s="1">
        <v>1670</v>
      </c>
      <c r="B1671" s="1" t="s">
        <v>5177</v>
      </c>
      <c r="C1671" s="1" t="s">
        <v>5178</v>
      </c>
      <c r="D1671" s="1" t="s">
        <v>5179</v>
      </c>
      <c r="F1671" s="1" t="s">
        <v>5180</v>
      </c>
      <c r="G1671" s="1">
        <v>1</v>
      </c>
      <c r="H1671" s="7">
        <v>45560</v>
      </c>
      <c r="I1671" s="1" t="s">
        <v>7455</v>
      </c>
      <c r="J1671" s="7">
        <v>45560</v>
      </c>
      <c r="K1671" s="1" t="s">
        <v>7455</v>
      </c>
    </row>
    <row r="1672" spans="1:11" x14ac:dyDescent="0.3">
      <c r="A1672" s="1">
        <v>1671</v>
      </c>
      <c r="B1672" s="1" t="s">
        <v>5181</v>
      </c>
      <c r="C1672" s="1" t="s">
        <v>5182</v>
      </c>
      <c r="D1672" s="1" t="s">
        <v>5183</v>
      </c>
      <c r="F1672" s="1" t="s">
        <v>5184</v>
      </c>
      <c r="G1672" s="1">
        <v>1</v>
      </c>
      <c r="H1672" s="7">
        <v>45560</v>
      </c>
      <c r="I1672" s="1" t="s">
        <v>7455</v>
      </c>
      <c r="J1672" s="7">
        <v>45560</v>
      </c>
      <c r="K1672" s="1" t="s">
        <v>7455</v>
      </c>
    </row>
    <row r="1673" spans="1:11" x14ac:dyDescent="0.3">
      <c r="A1673" s="1">
        <v>1672</v>
      </c>
      <c r="B1673" s="1" t="s">
        <v>5185</v>
      </c>
      <c r="C1673" s="1" t="s">
        <v>5186</v>
      </c>
      <c r="D1673" s="1" t="s">
        <v>5187</v>
      </c>
      <c r="F1673" s="1" t="s">
        <v>5188</v>
      </c>
      <c r="G1673" s="1">
        <v>1</v>
      </c>
      <c r="H1673" s="7">
        <v>45560</v>
      </c>
      <c r="I1673" s="1" t="s">
        <v>7455</v>
      </c>
      <c r="J1673" s="7">
        <v>45560</v>
      </c>
      <c r="K1673" s="1" t="s">
        <v>7455</v>
      </c>
    </row>
    <row r="1674" spans="1:11" x14ac:dyDescent="0.3">
      <c r="A1674" s="1">
        <v>1673</v>
      </c>
      <c r="B1674" s="1" t="s">
        <v>5189</v>
      </c>
      <c r="C1674" s="1" t="s">
        <v>5190</v>
      </c>
      <c r="D1674" s="1" t="s">
        <v>5191</v>
      </c>
      <c r="F1674" s="1" t="s">
        <v>5192</v>
      </c>
      <c r="G1674" s="1">
        <v>1</v>
      </c>
      <c r="H1674" s="7">
        <v>45560</v>
      </c>
      <c r="I1674" s="1" t="s">
        <v>7455</v>
      </c>
      <c r="J1674" s="7">
        <v>45560</v>
      </c>
      <c r="K1674" s="1" t="s">
        <v>7455</v>
      </c>
    </row>
    <row r="1675" spans="1:11" x14ac:dyDescent="0.3">
      <c r="A1675" s="1">
        <v>1674</v>
      </c>
      <c r="B1675" s="1" t="s">
        <v>5193</v>
      </c>
      <c r="C1675" s="1" t="s">
        <v>5194</v>
      </c>
      <c r="D1675" s="1" t="s">
        <v>5195</v>
      </c>
      <c r="F1675" s="1" t="s">
        <v>5196</v>
      </c>
      <c r="G1675" s="1">
        <v>1</v>
      </c>
      <c r="H1675" s="7">
        <v>45560</v>
      </c>
      <c r="I1675" s="1" t="s">
        <v>7455</v>
      </c>
      <c r="J1675" s="7">
        <v>45560</v>
      </c>
      <c r="K1675" s="1" t="s">
        <v>7455</v>
      </c>
    </row>
    <row r="1676" spans="1:11" x14ac:dyDescent="0.3">
      <c r="A1676" s="1">
        <v>1675</v>
      </c>
      <c r="B1676" s="1" t="s">
        <v>5197</v>
      </c>
      <c r="C1676" s="1" t="s">
        <v>5198</v>
      </c>
      <c r="D1676" s="1" t="s">
        <v>5199</v>
      </c>
      <c r="F1676" s="1" t="s">
        <v>5200</v>
      </c>
      <c r="G1676" s="1">
        <v>1</v>
      </c>
      <c r="H1676" s="7">
        <v>45560</v>
      </c>
      <c r="I1676" s="1" t="s">
        <v>7455</v>
      </c>
      <c r="J1676" s="7">
        <v>45560</v>
      </c>
      <c r="K1676" s="1" t="s">
        <v>7455</v>
      </c>
    </row>
    <row r="1677" spans="1:11" x14ac:dyDescent="0.3">
      <c r="A1677" s="1">
        <v>1676</v>
      </c>
      <c r="B1677" s="1" t="s">
        <v>5201</v>
      </c>
      <c r="C1677" s="1" t="s">
        <v>5202</v>
      </c>
      <c r="D1677" s="1" t="s">
        <v>5203</v>
      </c>
      <c r="F1677" s="1" t="s">
        <v>5204</v>
      </c>
      <c r="G1677" s="1">
        <v>1</v>
      </c>
      <c r="H1677" s="7">
        <v>45560</v>
      </c>
      <c r="I1677" s="1" t="s">
        <v>7455</v>
      </c>
      <c r="J1677" s="7">
        <v>45560</v>
      </c>
      <c r="K1677" s="1" t="s">
        <v>7455</v>
      </c>
    </row>
    <row r="1678" spans="1:11" x14ac:dyDescent="0.3">
      <c r="A1678" s="1">
        <v>1677</v>
      </c>
      <c r="B1678" s="1" t="s">
        <v>5205</v>
      </c>
      <c r="C1678" s="1" t="s">
        <v>5206</v>
      </c>
      <c r="D1678" s="1" t="s">
        <v>5207</v>
      </c>
      <c r="F1678" s="1" t="s">
        <v>5208</v>
      </c>
      <c r="G1678" s="1">
        <v>1</v>
      </c>
      <c r="H1678" s="7">
        <v>45560</v>
      </c>
      <c r="I1678" s="1" t="s">
        <v>7455</v>
      </c>
      <c r="J1678" s="7">
        <v>45560</v>
      </c>
      <c r="K1678" s="1" t="s">
        <v>7455</v>
      </c>
    </row>
    <row r="1679" spans="1:11" x14ac:dyDescent="0.3">
      <c r="A1679" s="1">
        <v>1678</v>
      </c>
      <c r="B1679" s="1" t="s">
        <v>5209</v>
      </c>
      <c r="C1679" s="1" t="s">
        <v>5210</v>
      </c>
      <c r="D1679" s="1" t="s">
        <v>5211</v>
      </c>
      <c r="F1679" s="1" t="s">
        <v>5212</v>
      </c>
      <c r="G1679" s="1">
        <v>1</v>
      </c>
      <c r="H1679" s="7">
        <v>45560</v>
      </c>
      <c r="I1679" s="1" t="s">
        <v>7455</v>
      </c>
      <c r="J1679" s="7">
        <v>45560</v>
      </c>
      <c r="K1679" s="1" t="s">
        <v>7455</v>
      </c>
    </row>
    <row r="1680" spans="1:11" x14ac:dyDescent="0.3">
      <c r="A1680" s="1">
        <v>1679</v>
      </c>
      <c r="B1680" s="1" t="s">
        <v>5213</v>
      </c>
      <c r="C1680" s="1" t="s">
        <v>5214</v>
      </c>
      <c r="D1680" s="1" t="s">
        <v>5215</v>
      </c>
      <c r="F1680" s="1" t="s">
        <v>5216</v>
      </c>
      <c r="G1680" s="1">
        <v>1</v>
      </c>
      <c r="H1680" s="7">
        <v>45560</v>
      </c>
      <c r="I1680" s="1" t="s">
        <v>7455</v>
      </c>
      <c r="J1680" s="7">
        <v>45560</v>
      </c>
      <c r="K1680" s="1" t="s">
        <v>7455</v>
      </c>
    </row>
    <row r="1681" spans="1:11" x14ac:dyDescent="0.3">
      <c r="A1681" s="1">
        <v>1680</v>
      </c>
      <c r="B1681" s="1" t="s">
        <v>5217</v>
      </c>
      <c r="C1681" s="1" t="s">
        <v>5218</v>
      </c>
      <c r="D1681" s="1" t="s">
        <v>5219</v>
      </c>
      <c r="F1681" s="1" t="s">
        <v>5220</v>
      </c>
      <c r="G1681" s="1">
        <v>1</v>
      </c>
      <c r="H1681" s="7">
        <v>45560</v>
      </c>
      <c r="I1681" s="1" t="s">
        <v>7455</v>
      </c>
      <c r="J1681" s="7">
        <v>45560</v>
      </c>
      <c r="K1681" s="1" t="s">
        <v>7455</v>
      </c>
    </row>
    <row r="1682" spans="1:11" x14ac:dyDescent="0.3">
      <c r="A1682" s="1">
        <v>1681</v>
      </c>
      <c r="B1682" s="1" t="s">
        <v>5221</v>
      </c>
      <c r="C1682" s="1" t="s">
        <v>5222</v>
      </c>
      <c r="D1682" s="1" t="s">
        <v>5223</v>
      </c>
      <c r="F1682" s="1" t="s">
        <v>5224</v>
      </c>
      <c r="G1682" s="1">
        <v>1</v>
      </c>
      <c r="H1682" s="7">
        <v>45560</v>
      </c>
      <c r="I1682" s="1" t="s">
        <v>7455</v>
      </c>
      <c r="J1682" s="7">
        <v>45560</v>
      </c>
      <c r="K1682" s="1" t="s">
        <v>7455</v>
      </c>
    </row>
    <row r="1683" spans="1:11" x14ac:dyDescent="0.3">
      <c r="A1683" s="1">
        <v>1682</v>
      </c>
      <c r="B1683" s="1" t="s">
        <v>5225</v>
      </c>
      <c r="C1683" s="1" t="s">
        <v>5226</v>
      </c>
      <c r="D1683" s="1" t="s">
        <v>5223</v>
      </c>
      <c r="F1683" s="1" t="s">
        <v>5227</v>
      </c>
      <c r="G1683" s="1">
        <v>1</v>
      </c>
      <c r="H1683" s="7">
        <v>45560</v>
      </c>
      <c r="I1683" s="1" t="s">
        <v>7455</v>
      </c>
      <c r="J1683" s="7">
        <v>45560</v>
      </c>
      <c r="K1683" s="1" t="s">
        <v>7455</v>
      </c>
    </row>
    <row r="1684" spans="1:11" x14ac:dyDescent="0.3">
      <c r="A1684" s="1">
        <v>1683</v>
      </c>
      <c r="B1684" s="1" t="s">
        <v>5228</v>
      </c>
      <c r="C1684" s="1" t="s">
        <v>5229</v>
      </c>
      <c r="D1684" s="1" t="s">
        <v>5223</v>
      </c>
      <c r="F1684" s="1" t="s">
        <v>5230</v>
      </c>
      <c r="G1684" s="1">
        <v>1</v>
      </c>
      <c r="H1684" s="7">
        <v>45560</v>
      </c>
      <c r="I1684" s="1" t="s">
        <v>7455</v>
      </c>
      <c r="J1684" s="7">
        <v>45560</v>
      </c>
      <c r="K1684" s="1" t="s">
        <v>7455</v>
      </c>
    </row>
    <row r="1685" spans="1:11" x14ac:dyDescent="0.3">
      <c r="A1685" s="1">
        <v>1684</v>
      </c>
      <c r="B1685" s="1" t="s">
        <v>5231</v>
      </c>
      <c r="C1685" s="1" t="s">
        <v>5232</v>
      </c>
      <c r="D1685" s="1" t="s">
        <v>5233</v>
      </c>
      <c r="F1685" s="1" t="s">
        <v>5234</v>
      </c>
      <c r="G1685" s="1">
        <v>1</v>
      </c>
      <c r="H1685" s="7">
        <v>45560</v>
      </c>
      <c r="I1685" s="1" t="s">
        <v>7455</v>
      </c>
      <c r="J1685" s="7">
        <v>45560</v>
      </c>
      <c r="K1685" s="1" t="s">
        <v>7455</v>
      </c>
    </row>
    <row r="1686" spans="1:11" x14ac:dyDescent="0.3">
      <c r="A1686" s="1">
        <v>1685</v>
      </c>
      <c r="B1686" s="1" t="s">
        <v>5235</v>
      </c>
      <c r="C1686" s="1" t="s">
        <v>5236</v>
      </c>
      <c r="D1686" s="1" t="s">
        <v>5237</v>
      </c>
      <c r="F1686" s="1" t="s">
        <v>5238</v>
      </c>
      <c r="G1686" s="1">
        <v>1</v>
      </c>
      <c r="H1686" s="7">
        <v>45560</v>
      </c>
      <c r="I1686" s="1" t="s">
        <v>7455</v>
      </c>
      <c r="J1686" s="7">
        <v>45560</v>
      </c>
      <c r="K1686" s="1" t="s">
        <v>7455</v>
      </c>
    </row>
    <row r="1687" spans="1:11" x14ac:dyDescent="0.3">
      <c r="A1687" s="1">
        <v>1686</v>
      </c>
      <c r="B1687" s="1" t="s">
        <v>5239</v>
      </c>
      <c r="C1687" s="1" t="s">
        <v>5240</v>
      </c>
      <c r="D1687" s="1" t="s">
        <v>5241</v>
      </c>
      <c r="F1687" s="1" t="s">
        <v>5242</v>
      </c>
      <c r="G1687" s="1">
        <v>1</v>
      </c>
      <c r="H1687" s="7">
        <v>45560</v>
      </c>
      <c r="I1687" s="1" t="s">
        <v>7455</v>
      </c>
      <c r="J1687" s="7">
        <v>45560</v>
      </c>
      <c r="K1687" s="1" t="s">
        <v>7455</v>
      </c>
    </row>
    <row r="1688" spans="1:11" x14ac:dyDescent="0.3">
      <c r="A1688" s="1">
        <v>1687</v>
      </c>
      <c r="B1688" s="1" t="s">
        <v>5243</v>
      </c>
      <c r="C1688" s="1" t="s">
        <v>5244</v>
      </c>
      <c r="D1688" s="1" t="s">
        <v>5245</v>
      </c>
      <c r="F1688" s="1" t="s">
        <v>5246</v>
      </c>
      <c r="G1688" s="1">
        <v>1</v>
      </c>
      <c r="H1688" s="7">
        <v>45560</v>
      </c>
      <c r="I1688" s="1" t="s">
        <v>7455</v>
      </c>
      <c r="J1688" s="7">
        <v>45560</v>
      </c>
      <c r="K1688" s="1" t="s">
        <v>7455</v>
      </c>
    </row>
    <row r="1689" spans="1:11" x14ac:dyDescent="0.3">
      <c r="A1689" s="1">
        <v>1688</v>
      </c>
      <c r="B1689" s="1" t="s">
        <v>5247</v>
      </c>
      <c r="C1689" s="1" t="s">
        <v>5248</v>
      </c>
      <c r="D1689" s="1" t="s">
        <v>5249</v>
      </c>
      <c r="F1689" s="1" t="s">
        <v>5250</v>
      </c>
      <c r="G1689" s="1">
        <v>1</v>
      </c>
      <c r="H1689" s="7">
        <v>45560</v>
      </c>
      <c r="I1689" s="1" t="s">
        <v>7455</v>
      </c>
      <c r="J1689" s="7">
        <v>45560</v>
      </c>
      <c r="K1689" s="1" t="s">
        <v>7455</v>
      </c>
    </row>
    <row r="1690" spans="1:11" x14ac:dyDescent="0.3">
      <c r="A1690" s="1">
        <v>1689</v>
      </c>
      <c r="B1690" s="1" t="s">
        <v>5251</v>
      </c>
      <c r="C1690" s="1" t="s">
        <v>5252</v>
      </c>
      <c r="F1690" s="1" t="s">
        <v>5253</v>
      </c>
      <c r="G1690" s="1">
        <v>1</v>
      </c>
      <c r="H1690" s="7">
        <v>45560</v>
      </c>
      <c r="I1690" s="1" t="s">
        <v>7455</v>
      </c>
      <c r="J1690" s="7">
        <v>45560</v>
      </c>
      <c r="K1690" s="1" t="s">
        <v>7455</v>
      </c>
    </row>
    <row r="1691" spans="1:11" x14ac:dyDescent="0.3">
      <c r="A1691" s="1">
        <v>1690</v>
      </c>
      <c r="B1691" s="1" t="s">
        <v>5254</v>
      </c>
      <c r="C1691" s="1" t="s">
        <v>5255</v>
      </c>
      <c r="D1691" s="1" t="s">
        <v>5256</v>
      </c>
      <c r="F1691" s="1" t="s">
        <v>5257</v>
      </c>
      <c r="G1691" s="1">
        <v>1</v>
      </c>
      <c r="H1691" s="7">
        <v>45560</v>
      </c>
      <c r="I1691" s="1" t="s">
        <v>7455</v>
      </c>
      <c r="J1691" s="7">
        <v>45560</v>
      </c>
      <c r="K1691" s="1" t="s">
        <v>7455</v>
      </c>
    </row>
    <row r="1692" spans="1:11" x14ac:dyDescent="0.3">
      <c r="A1692" s="1">
        <v>1691</v>
      </c>
      <c r="B1692" s="1" t="s">
        <v>5258</v>
      </c>
      <c r="C1692" s="1" t="s">
        <v>5259</v>
      </c>
      <c r="D1692" s="1" t="s">
        <v>5256</v>
      </c>
      <c r="F1692" s="1" t="s">
        <v>5260</v>
      </c>
      <c r="G1692" s="1">
        <v>1</v>
      </c>
      <c r="H1692" s="7">
        <v>45560</v>
      </c>
      <c r="I1692" s="1" t="s">
        <v>7455</v>
      </c>
      <c r="J1692" s="7">
        <v>45560</v>
      </c>
      <c r="K1692" s="1" t="s">
        <v>7455</v>
      </c>
    </row>
    <row r="1693" spans="1:11" x14ac:dyDescent="0.3">
      <c r="A1693" s="1">
        <v>1692</v>
      </c>
      <c r="B1693" s="1" t="s">
        <v>5261</v>
      </c>
      <c r="C1693" s="1" t="s">
        <v>5262</v>
      </c>
      <c r="D1693" s="1" t="s">
        <v>5256</v>
      </c>
      <c r="F1693" s="1" t="s">
        <v>5263</v>
      </c>
      <c r="G1693" s="1">
        <v>1</v>
      </c>
      <c r="H1693" s="7">
        <v>45560</v>
      </c>
      <c r="I1693" s="1" t="s">
        <v>7455</v>
      </c>
      <c r="J1693" s="7">
        <v>45560</v>
      </c>
      <c r="K1693" s="1" t="s">
        <v>7455</v>
      </c>
    </row>
    <row r="1694" spans="1:11" x14ac:dyDescent="0.3">
      <c r="A1694" s="1">
        <v>1693</v>
      </c>
      <c r="B1694" s="1" t="s">
        <v>5264</v>
      </c>
      <c r="C1694" s="1" t="s">
        <v>5265</v>
      </c>
      <c r="D1694" s="1" t="s">
        <v>5256</v>
      </c>
      <c r="F1694" s="1" t="s">
        <v>5266</v>
      </c>
      <c r="G1694" s="1">
        <v>1</v>
      </c>
      <c r="H1694" s="7">
        <v>45560</v>
      </c>
      <c r="I1694" s="1" t="s">
        <v>7455</v>
      </c>
      <c r="J1694" s="7">
        <v>45560</v>
      </c>
      <c r="K1694" s="1" t="s">
        <v>7455</v>
      </c>
    </row>
    <row r="1695" spans="1:11" x14ac:dyDescent="0.3">
      <c r="A1695" s="1">
        <v>1694</v>
      </c>
      <c r="B1695" s="1" t="s">
        <v>5267</v>
      </c>
      <c r="C1695" s="1" t="s">
        <v>5268</v>
      </c>
      <c r="D1695" s="1" t="s">
        <v>5269</v>
      </c>
      <c r="F1695" s="1" t="s">
        <v>5270</v>
      </c>
      <c r="G1695" s="1">
        <v>1</v>
      </c>
      <c r="H1695" s="7">
        <v>45560</v>
      </c>
      <c r="I1695" s="1" t="s">
        <v>7455</v>
      </c>
      <c r="J1695" s="7">
        <v>45560</v>
      </c>
      <c r="K1695" s="1" t="s">
        <v>7455</v>
      </c>
    </row>
    <row r="1696" spans="1:11" x14ac:dyDescent="0.3">
      <c r="A1696" s="1">
        <v>1695</v>
      </c>
      <c r="B1696" s="1" t="s">
        <v>5271</v>
      </c>
      <c r="C1696" s="1" t="s">
        <v>5272</v>
      </c>
      <c r="D1696" s="1" t="s">
        <v>5269</v>
      </c>
      <c r="F1696" s="1" t="s">
        <v>5273</v>
      </c>
      <c r="G1696" s="1">
        <v>1</v>
      </c>
      <c r="H1696" s="7">
        <v>45560</v>
      </c>
      <c r="I1696" s="1" t="s">
        <v>7455</v>
      </c>
      <c r="J1696" s="7">
        <v>45560</v>
      </c>
      <c r="K1696" s="1" t="s">
        <v>7455</v>
      </c>
    </row>
    <row r="1697" spans="1:11" x14ac:dyDescent="0.3">
      <c r="A1697" s="1">
        <v>1696</v>
      </c>
      <c r="B1697" s="1" t="s">
        <v>5274</v>
      </c>
      <c r="C1697" s="1" t="s">
        <v>5275</v>
      </c>
      <c r="D1697" s="1" t="s">
        <v>5276</v>
      </c>
      <c r="F1697" s="1" t="s">
        <v>5277</v>
      </c>
      <c r="G1697" s="1">
        <v>1</v>
      </c>
      <c r="H1697" s="7">
        <v>45560</v>
      </c>
      <c r="I1697" s="1" t="s">
        <v>7455</v>
      </c>
      <c r="J1697" s="7">
        <v>45560</v>
      </c>
      <c r="K1697" s="1" t="s">
        <v>7455</v>
      </c>
    </row>
    <row r="1698" spans="1:11" x14ac:dyDescent="0.3">
      <c r="A1698" s="1">
        <v>1697</v>
      </c>
      <c r="B1698" s="1" t="s">
        <v>5278</v>
      </c>
      <c r="C1698" s="1" t="s">
        <v>5279</v>
      </c>
      <c r="F1698" s="1" t="s">
        <v>5280</v>
      </c>
      <c r="G1698" s="1">
        <v>1</v>
      </c>
      <c r="H1698" s="7">
        <v>45560</v>
      </c>
      <c r="I1698" s="1" t="s">
        <v>7455</v>
      </c>
      <c r="J1698" s="7">
        <v>45560</v>
      </c>
      <c r="K1698" s="1" t="s">
        <v>7455</v>
      </c>
    </row>
    <row r="1699" spans="1:11" x14ac:dyDescent="0.3">
      <c r="A1699" s="1">
        <v>1698</v>
      </c>
      <c r="B1699" s="1" t="s">
        <v>5281</v>
      </c>
      <c r="C1699" s="1" t="s">
        <v>5282</v>
      </c>
      <c r="D1699" s="1" t="s">
        <v>5283</v>
      </c>
      <c r="F1699" s="1" t="s">
        <v>5284</v>
      </c>
      <c r="G1699" s="1">
        <v>1</v>
      </c>
      <c r="H1699" s="7">
        <v>45560</v>
      </c>
      <c r="I1699" s="1" t="s">
        <v>7455</v>
      </c>
      <c r="J1699" s="7">
        <v>45560</v>
      </c>
      <c r="K1699" s="1" t="s">
        <v>7455</v>
      </c>
    </row>
    <row r="1700" spans="1:11" x14ac:dyDescent="0.3">
      <c r="A1700" s="1">
        <v>1699</v>
      </c>
      <c r="B1700" s="1" t="s">
        <v>5285</v>
      </c>
      <c r="C1700" s="1" t="s">
        <v>5286</v>
      </c>
      <c r="D1700" s="1" t="s">
        <v>5287</v>
      </c>
      <c r="F1700" s="1" t="s">
        <v>5288</v>
      </c>
      <c r="G1700" s="1">
        <v>1</v>
      </c>
      <c r="H1700" s="7">
        <v>45560</v>
      </c>
      <c r="I1700" s="1" t="s">
        <v>7455</v>
      </c>
      <c r="J1700" s="7">
        <v>45560</v>
      </c>
      <c r="K1700" s="1" t="s">
        <v>7455</v>
      </c>
    </row>
    <row r="1701" spans="1:11" x14ac:dyDescent="0.3">
      <c r="A1701" s="1">
        <v>1700</v>
      </c>
      <c r="B1701" s="1" t="s">
        <v>5289</v>
      </c>
      <c r="C1701" s="1" t="s">
        <v>5290</v>
      </c>
      <c r="D1701" s="1" t="s">
        <v>5291</v>
      </c>
      <c r="F1701" s="1" t="s">
        <v>5292</v>
      </c>
      <c r="G1701" s="1">
        <v>1</v>
      </c>
      <c r="H1701" s="7">
        <v>45560</v>
      </c>
      <c r="I1701" s="1" t="s">
        <v>7455</v>
      </c>
      <c r="J1701" s="7">
        <v>45560</v>
      </c>
      <c r="K1701" s="1" t="s">
        <v>7455</v>
      </c>
    </row>
    <row r="1702" spans="1:11" x14ac:dyDescent="0.3">
      <c r="A1702" s="1">
        <v>1701</v>
      </c>
      <c r="B1702" s="1" t="s">
        <v>5293</v>
      </c>
      <c r="C1702" s="1" t="s">
        <v>5294</v>
      </c>
      <c r="D1702" s="1" t="s">
        <v>5295</v>
      </c>
      <c r="F1702" s="1" t="s">
        <v>5296</v>
      </c>
      <c r="G1702" s="1">
        <v>1</v>
      </c>
      <c r="H1702" s="7">
        <v>45560</v>
      </c>
      <c r="I1702" s="1" t="s">
        <v>7455</v>
      </c>
      <c r="J1702" s="7">
        <v>45560</v>
      </c>
      <c r="K1702" s="1" t="s">
        <v>7455</v>
      </c>
    </row>
    <row r="1703" spans="1:11" x14ac:dyDescent="0.3">
      <c r="A1703" s="1">
        <v>1702</v>
      </c>
      <c r="B1703" s="1" t="s">
        <v>5297</v>
      </c>
      <c r="C1703" s="1" t="s">
        <v>5298</v>
      </c>
      <c r="D1703" s="1" t="s">
        <v>5299</v>
      </c>
      <c r="F1703" s="1" t="s">
        <v>5300</v>
      </c>
      <c r="G1703" s="1">
        <v>1</v>
      </c>
      <c r="H1703" s="7">
        <v>45560</v>
      </c>
      <c r="I1703" s="1" t="s">
        <v>7455</v>
      </c>
      <c r="J1703" s="7">
        <v>45560</v>
      </c>
      <c r="K1703" s="1" t="s">
        <v>7455</v>
      </c>
    </row>
    <row r="1704" spans="1:11" x14ac:dyDescent="0.3">
      <c r="A1704" s="1">
        <v>1703</v>
      </c>
      <c r="B1704" s="1" t="s">
        <v>5301</v>
      </c>
      <c r="C1704" s="1" t="s">
        <v>5302</v>
      </c>
      <c r="D1704" s="1" t="s">
        <v>5303</v>
      </c>
      <c r="F1704" s="1" t="s">
        <v>5304</v>
      </c>
      <c r="G1704" s="1">
        <v>1</v>
      </c>
      <c r="H1704" s="7">
        <v>45560</v>
      </c>
      <c r="I1704" s="1" t="s">
        <v>7455</v>
      </c>
      <c r="J1704" s="7">
        <v>45560</v>
      </c>
      <c r="K1704" s="1" t="s">
        <v>7455</v>
      </c>
    </row>
    <row r="1705" spans="1:11" x14ac:dyDescent="0.3">
      <c r="A1705" s="1">
        <v>1704</v>
      </c>
      <c r="B1705" s="1" t="s">
        <v>5305</v>
      </c>
      <c r="C1705" s="1" t="s">
        <v>5306</v>
      </c>
      <c r="D1705" s="1" t="s">
        <v>5307</v>
      </c>
      <c r="F1705" s="1" t="s">
        <v>5308</v>
      </c>
      <c r="G1705" s="1">
        <v>1</v>
      </c>
      <c r="H1705" s="7">
        <v>45560</v>
      </c>
      <c r="I1705" s="1" t="s">
        <v>7455</v>
      </c>
      <c r="J1705" s="7">
        <v>45560</v>
      </c>
      <c r="K1705" s="1" t="s">
        <v>7455</v>
      </c>
    </row>
    <row r="1706" spans="1:11" x14ac:dyDescent="0.3">
      <c r="A1706" s="1">
        <v>1705</v>
      </c>
      <c r="B1706" s="1" t="s">
        <v>5309</v>
      </c>
      <c r="C1706" s="1" t="s">
        <v>5310</v>
      </c>
      <c r="D1706" s="1" t="s">
        <v>5311</v>
      </c>
      <c r="F1706" s="1" t="s">
        <v>5312</v>
      </c>
      <c r="G1706" s="1">
        <v>1</v>
      </c>
      <c r="H1706" s="7">
        <v>45560</v>
      </c>
      <c r="I1706" s="1" t="s">
        <v>7455</v>
      </c>
      <c r="J1706" s="7">
        <v>45560</v>
      </c>
      <c r="K1706" s="1" t="s">
        <v>7455</v>
      </c>
    </row>
    <row r="1707" spans="1:11" x14ac:dyDescent="0.3">
      <c r="A1707" s="1">
        <v>1706</v>
      </c>
      <c r="B1707" s="1" t="s">
        <v>5313</v>
      </c>
      <c r="C1707" s="1" t="s">
        <v>5314</v>
      </c>
      <c r="F1707" s="1" t="s">
        <v>5315</v>
      </c>
      <c r="G1707" s="1">
        <v>1</v>
      </c>
      <c r="H1707" s="7">
        <v>45560</v>
      </c>
      <c r="I1707" s="1" t="s">
        <v>7455</v>
      </c>
      <c r="J1707" s="7">
        <v>45560</v>
      </c>
      <c r="K1707" s="1" t="s">
        <v>7455</v>
      </c>
    </row>
    <row r="1708" spans="1:11" x14ac:dyDescent="0.3">
      <c r="A1708" s="1">
        <v>1707</v>
      </c>
      <c r="B1708" s="1" t="s">
        <v>5316</v>
      </c>
      <c r="C1708" s="1" t="s">
        <v>5317</v>
      </c>
      <c r="D1708" s="1" t="s">
        <v>5318</v>
      </c>
      <c r="G1708" s="1">
        <v>1</v>
      </c>
      <c r="H1708" s="7">
        <v>45560</v>
      </c>
      <c r="I1708" s="1" t="s">
        <v>7455</v>
      </c>
      <c r="J1708" s="7">
        <v>45560</v>
      </c>
      <c r="K1708" s="1" t="s">
        <v>7455</v>
      </c>
    </row>
    <row r="1709" spans="1:11" x14ac:dyDescent="0.3">
      <c r="A1709" s="1">
        <v>1708</v>
      </c>
      <c r="B1709" s="1" t="s">
        <v>5319</v>
      </c>
      <c r="C1709" s="1" t="s">
        <v>5320</v>
      </c>
      <c r="E1709" s="1" t="s">
        <v>52</v>
      </c>
      <c r="G1709" s="1">
        <v>1</v>
      </c>
      <c r="H1709" s="7">
        <v>45560</v>
      </c>
      <c r="I1709" s="1" t="s">
        <v>7455</v>
      </c>
      <c r="J1709" s="7">
        <v>45560</v>
      </c>
      <c r="K1709" s="1" t="s">
        <v>7455</v>
      </c>
    </row>
    <row r="1710" spans="1:11" x14ac:dyDescent="0.3">
      <c r="A1710" s="1">
        <v>1709</v>
      </c>
      <c r="B1710" s="1" t="s">
        <v>5321</v>
      </c>
      <c r="C1710" s="1" t="s">
        <v>5322</v>
      </c>
      <c r="E1710" s="1" t="s">
        <v>52</v>
      </c>
      <c r="G1710" s="1">
        <v>1</v>
      </c>
      <c r="H1710" s="7">
        <v>45560</v>
      </c>
      <c r="I1710" s="1" t="s">
        <v>7455</v>
      </c>
      <c r="J1710" s="7">
        <v>45560</v>
      </c>
      <c r="K1710" s="1" t="s">
        <v>7455</v>
      </c>
    </row>
    <row r="1711" spans="1:11" x14ac:dyDescent="0.3">
      <c r="A1711" s="1">
        <v>1710</v>
      </c>
      <c r="B1711" s="1" t="s">
        <v>5323</v>
      </c>
      <c r="C1711" s="1" t="s">
        <v>5324</v>
      </c>
      <c r="E1711" s="1" t="s">
        <v>52</v>
      </c>
      <c r="G1711" s="1">
        <v>1</v>
      </c>
      <c r="H1711" s="7">
        <v>45560</v>
      </c>
      <c r="I1711" s="1" t="s">
        <v>7455</v>
      </c>
      <c r="J1711" s="7">
        <v>45560</v>
      </c>
      <c r="K1711" s="1" t="s">
        <v>7455</v>
      </c>
    </row>
    <row r="1712" spans="1:11" x14ac:dyDescent="0.3">
      <c r="A1712" s="1">
        <v>1711</v>
      </c>
      <c r="B1712" s="1" t="s">
        <v>5325</v>
      </c>
      <c r="C1712" s="1" t="s">
        <v>5326</v>
      </c>
      <c r="D1712" s="1" t="s">
        <v>5327</v>
      </c>
      <c r="G1712" s="1">
        <v>1</v>
      </c>
      <c r="H1712" s="7">
        <v>45560</v>
      </c>
      <c r="I1712" s="1" t="s">
        <v>7455</v>
      </c>
      <c r="J1712" s="7">
        <v>45560</v>
      </c>
      <c r="K1712" s="1" t="s">
        <v>7455</v>
      </c>
    </row>
    <row r="1713" spans="1:11" x14ac:dyDescent="0.3">
      <c r="A1713" s="1">
        <v>1712</v>
      </c>
      <c r="B1713" s="1" t="s">
        <v>5328</v>
      </c>
      <c r="C1713" s="1" t="s">
        <v>5329</v>
      </c>
      <c r="E1713" s="1" t="s">
        <v>52</v>
      </c>
      <c r="G1713" s="1">
        <v>1</v>
      </c>
      <c r="H1713" s="7">
        <v>45560</v>
      </c>
      <c r="I1713" s="1" t="s">
        <v>7455</v>
      </c>
      <c r="J1713" s="7">
        <v>45560</v>
      </c>
      <c r="K1713" s="1" t="s">
        <v>7455</v>
      </c>
    </row>
    <row r="1714" spans="1:11" x14ac:dyDescent="0.3">
      <c r="A1714" s="1">
        <v>1713</v>
      </c>
      <c r="B1714" s="1" t="s">
        <v>5330</v>
      </c>
      <c r="C1714" s="1" t="s">
        <v>5331</v>
      </c>
      <c r="E1714" s="1" t="s">
        <v>52</v>
      </c>
      <c r="G1714" s="1">
        <v>1</v>
      </c>
      <c r="H1714" s="7">
        <v>45560</v>
      </c>
      <c r="I1714" s="1" t="s">
        <v>7455</v>
      </c>
      <c r="J1714" s="7">
        <v>45560</v>
      </c>
      <c r="K1714" s="1" t="s">
        <v>7455</v>
      </c>
    </row>
    <row r="1715" spans="1:11" x14ac:dyDescent="0.3">
      <c r="A1715" s="1">
        <v>1714</v>
      </c>
      <c r="B1715" s="1" t="s">
        <v>5332</v>
      </c>
      <c r="C1715" s="1" t="s">
        <v>5333</v>
      </c>
      <c r="F1715" s="1" t="s">
        <v>5334</v>
      </c>
      <c r="G1715" s="1">
        <v>1</v>
      </c>
      <c r="H1715" s="7">
        <v>45560</v>
      </c>
      <c r="I1715" s="1" t="s">
        <v>7455</v>
      </c>
      <c r="J1715" s="7">
        <v>45560</v>
      </c>
      <c r="K1715" s="1" t="s">
        <v>7455</v>
      </c>
    </row>
    <row r="1716" spans="1:11" x14ac:dyDescent="0.3">
      <c r="A1716" s="1">
        <v>1715</v>
      </c>
      <c r="B1716" s="1" t="s">
        <v>5335</v>
      </c>
      <c r="C1716" s="1" t="s">
        <v>5336</v>
      </c>
      <c r="D1716" s="1" t="s">
        <v>5337</v>
      </c>
      <c r="G1716" s="1">
        <v>1</v>
      </c>
      <c r="H1716" s="7">
        <v>45560</v>
      </c>
      <c r="I1716" s="1" t="s">
        <v>7455</v>
      </c>
      <c r="J1716" s="7">
        <v>45560</v>
      </c>
      <c r="K1716" s="1" t="s">
        <v>7455</v>
      </c>
    </row>
    <row r="1717" spans="1:11" x14ac:dyDescent="0.3">
      <c r="A1717" s="1">
        <v>1716</v>
      </c>
      <c r="B1717" s="1" t="s">
        <v>5338</v>
      </c>
      <c r="C1717" s="1" t="s">
        <v>5339</v>
      </c>
      <c r="E1717" s="1" t="s">
        <v>52</v>
      </c>
      <c r="G1717" s="1">
        <v>1</v>
      </c>
      <c r="H1717" s="7">
        <v>45560</v>
      </c>
      <c r="I1717" s="1" t="s">
        <v>7455</v>
      </c>
      <c r="J1717" s="7">
        <v>45560</v>
      </c>
      <c r="K1717" s="1" t="s">
        <v>7455</v>
      </c>
    </row>
    <row r="1718" spans="1:11" x14ac:dyDescent="0.3">
      <c r="A1718" s="1">
        <v>1717</v>
      </c>
      <c r="B1718" s="1" t="s">
        <v>5340</v>
      </c>
      <c r="C1718" s="1" t="s">
        <v>5341</v>
      </c>
      <c r="E1718" s="1" t="s">
        <v>52</v>
      </c>
      <c r="G1718" s="1">
        <v>1</v>
      </c>
      <c r="H1718" s="7">
        <v>45560</v>
      </c>
      <c r="I1718" s="1" t="s">
        <v>7455</v>
      </c>
      <c r="J1718" s="7">
        <v>45560</v>
      </c>
      <c r="K1718" s="1" t="s">
        <v>7455</v>
      </c>
    </row>
    <row r="1719" spans="1:11" x14ac:dyDescent="0.3">
      <c r="A1719" s="1">
        <v>1718</v>
      </c>
      <c r="B1719" s="1" t="s">
        <v>5342</v>
      </c>
      <c r="C1719" s="1" t="s">
        <v>5343</v>
      </c>
      <c r="E1719" s="1" t="s">
        <v>52</v>
      </c>
      <c r="G1719" s="1">
        <v>1</v>
      </c>
      <c r="H1719" s="7">
        <v>45560</v>
      </c>
      <c r="I1719" s="1" t="s">
        <v>7455</v>
      </c>
      <c r="J1719" s="7">
        <v>45560</v>
      </c>
      <c r="K1719" s="1" t="s">
        <v>7455</v>
      </c>
    </row>
    <row r="1720" spans="1:11" x14ac:dyDescent="0.3">
      <c r="A1720" s="1">
        <v>1719</v>
      </c>
      <c r="B1720" s="1" t="s">
        <v>5344</v>
      </c>
      <c r="C1720" s="1" t="s">
        <v>5345</v>
      </c>
      <c r="D1720" s="1" t="s">
        <v>5346</v>
      </c>
      <c r="F1720" s="1" t="s">
        <v>5347</v>
      </c>
      <c r="G1720" s="1">
        <v>1</v>
      </c>
      <c r="H1720" s="7">
        <v>45560</v>
      </c>
      <c r="I1720" s="1" t="s">
        <v>7455</v>
      </c>
      <c r="J1720" s="7">
        <v>45560</v>
      </c>
      <c r="K1720" s="1" t="s">
        <v>7455</v>
      </c>
    </row>
    <row r="1721" spans="1:11" x14ac:dyDescent="0.3">
      <c r="A1721" s="1">
        <v>1720</v>
      </c>
      <c r="B1721" s="1" t="s">
        <v>5348</v>
      </c>
      <c r="C1721" s="1" t="s">
        <v>5349</v>
      </c>
      <c r="D1721" s="1" t="s">
        <v>5350</v>
      </c>
      <c r="G1721" s="1">
        <v>1</v>
      </c>
      <c r="H1721" s="7">
        <v>45560</v>
      </c>
      <c r="I1721" s="1" t="s">
        <v>7455</v>
      </c>
      <c r="J1721" s="7">
        <v>45560</v>
      </c>
      <c r="K1721" s="1" t="s">
        <v>7455</v>
      </c>
    </row>
    <row r="1722" spans="1:11" x14ac:dyDescent="0.3">
      <c r="A1722" s="1">
        <v>1721</v>
      </c>
      <c r="B1722" s="1" t="s">
        <v>5351</v>
      </c>
      <c r="C1722" s="1" t="s">
        <v>5352</v>
      </c>
      <c r="E1722" s="1" t="s">
        <v>52</v>
      </c>
      <c r="G1722" s="1">
        <v>1</v>
      </c>
      <c r="H1722" s="7">
        <v>45560</v>
      </c>
      <c r="I1722" s="1" t="s">
        <v>7455</v>
      </c>
      <c r="J1722" s="7">
        <v>45560</v>
      </c>
      <c r="K1722" s="1" t="s">
        <v>7455</v>
      </c>
    </row>
    <row r="1723" spans="1:11" x14ac:dyDescent="0.3">
      <c r="A1723" s="1">
        <v>1722</v>
      </c>
      <c r="B1723" s="1" t="s">
        <v>5353</v>
      </c>
      <c r="C1723" s="1" t="s">
        <v>5354</v>
      </c>
      <c r="D1723" s="1" t="s">
        <v>5355</v>
      </c>
      <c r="G1723" s="1">
        <v>1</v>
      </c>
      <c r="H1723" s="7">
        <v>45560</v>
      </c>
      <c r="I1723" s="1" t="s">
        <v>7455</v>
      </c>
      <c r="J1723" s="7">
        <v>45560</v>
      </c>
      <c r="K1723" s="1" t="s">
        <v>7455</v>
      </c>
    </row>
    <row r="1724" spans="1:11" x14ac:dyDescent="0.3">
      <c r="A1724" s="1">
        <v>1723</v>
      </c>
      <c r="B1724" s="1" t="s">
        <v>5356</v>
      </c>
      <c r="C1724" s="1" t="s">
        <v>5357</v>
      </c>
      <c r="D1724" s="1" t="s">
        <v>5358</v>
      </c>
      <c r="G1724" s="1">
        <v>1</v>
      </c>
      <c r="H1724" s="7">
        <v>45560</v>
      </c>
      <c r="I1724" s="1" t="s">
        <v>7455</v>
      </c>
      <c r="J1724" s="7">
        <v>45560</v>
      </c>
      <c r="K1724" s="1" t="s">
        <v>7455</v>
      </c>
    </row>
    <row r="1725" spans="1:11" x14ac:dyDescent="0.3">
      <c r="A1725" s="1">
        <v>1724</v>
      </c>
      <c r="B1725" s="1" t="s">
        <v>5359</v>
      </c>
      <c r="C1725" s="1" t="s">
        <v>5360</v>
      </c>
      <c r="D1725" s="1" t="s">
        <v>5361</v>
      </c>
      <c r="F1725" s="1" t="s">
        <v>5362</v>
      </c>
      <c r="G1725" s="1">
        <v>1</v>
      </c>
      <c r="H1725" s="7">
        <v>45560</v>
      </c>
      <c r="I1725" s="1" t="s">
        <v>7455</v>
      </c>
      <c r="J1725" s="7">
        <v>45560</v>
      </c>
      <c r="K1725" s="1" t="s">
        <v>7455</v>
      </c>
    </row>
    <row r="1726" spans="1:11" x14ac:dyDescent="0.3">
      <c r="A1726" s="1">
        <v>1725</v>
      </c>
      <c r="B1726" s="1" t="s">
        <v>5363</v>
      </c>
      <c r="C1726" s="1" t="s">
        <v>5364</v>
      </c>
      <c r="D1726" s="1" t="s">
        <v>5365</v>
      </c>
      <c r="G1726" s="1">
        <v>1</v>
      </c>
      <c r="H1726" s="7">
        <v>45560</v>
      </c>
      <c r="I1726" s="1" t="s">
        <v>7455</v>
      </c>
      <c r="J1726" s="7">
        <v>45560</v>
      </c>
      <c r="K1726" s="1" t="s">
        <v>7455</v>
      </c>
    </row>
    <row r="1727" spans="1:11" x14ac:dyDescent="0.3">
      <c r="A1727" s="1">
        <v>1726</v>
      </c>
      <c r="B1727" s="1" t="s">
        <v>5366</v>
      </c>
      <c r="C1727" s="1" t="s">
        <v>5367</v>
      </c>
      <c r="E1727" s="1" t="s">
        <v>52</v>
      </c>
      <c r="G1727" s="1">
        <v>1</v>
      </c>
      <c r="H1727" s="7">
        <v>45560</v>
      </c>
      <c r="I1727" s="1" t="s">
        <v>7455</v>
      </c>
      <c r="J1727" s="7">
        <v>45560</v>
      </c>
      <c r="K1727" s="1" t="s">
        <v>7455</v>
      </c>
    </row>
    <row r="1728" spans="1:11" x14ac:dyDescent="0.3">
      <c r="A1728" s="1">
        <v>1727</v>
      </c>
      <c r="B1728" s="1" t="s">
        <v>5368</v>
      </c>
      <c r="C1728" s="1" t="s">
        <v>5369</v>
      </c>
      <c r="D1728" s="1" t="s">
        <v>5370</v>
      </c>
      <c r="E1728" s="1" t="s">
        <v>73</v>
      </c>
      <c r="G1728" s="1">
        <v>1</v>
      </c>
      <c r="H1728" s="7">
        <v>45560</v>
      </c>
      <c r="I1728" s="1" t="s">
        <v>7455</v>
      </c>
      <c r="J1728" s="7">
        <v>45560</v>
      </c>
      <c r="K1728" s="1" t="s">
        <v>7455</v>
      </c>
    </row>
    <row r="1729" spans="1:11" x14ac:dyDescent="0.3">
      <c r="A1729" s="1">
        <v>1728</v>
      </c>
      <c r="B1729" s="1" t="s">
        <v>5371</v>
      </c>
      <c r="C1729" s="1" t="s">
        <v>5372</v>
      </c>
      <c r="D1729" s="1" t="s">
        <v>5373</v>
      </c>
      <c r="G1729" s="1">
        <v>1</v>
      </c>
      <c r="H1729" s="7">
        <v>45560</v>
      </c>
      <c r="I1729" s="1" t="s">
        <v>7455</v>
      </c>
      <c r="J1729" s="7">
        <v>45560</v>
      </c>
      <c r="K1729" s="1" t="s">
        <v>7455</v>
      </c>
    </row>
    <row r="1730" spans="1:11" x14ac:dyDescent="0.3">
      <c r="A1730" s="1">
        <v>1729</v>
      </c>
      <c r="B1730" s="1" t="s">
        <v>5374</v>
      </c>
      <c r="C1730" s="1" t="s">
        <v>5375</v>
      </c>
      <c r="E1730" s="1" t="s">
        <v>73</v>
      </c>
      <c r="G1730" s="1">
        <v>1</v>
      </c>
      <c r="H1730" s="7">
        <v>45560</v>
      </c>
      <c r="I1730" s="1" t="s">
        <v>7455</v>
      </c>
      <c r="J1730" s="7">
        <v>45560</v>
      </c>
      <c r="K1730" s="1" t="s">
        <v>7455</v>
      </c>
    </row>
    <row r="1731" spans="1:11" x14ac:dyDescent="0.3">
      <c r="A1731" s="1">
        <v>1730</v>
      </c>
      <c r="B1731" s="1" t="s">
        <v>5376</v>
      </c>
      <c r="C1731" s="1" t="s">
        <v>5377</v>
      </c>
      <c r="E1731" s="1" t="s">
        <v>73</v>
      </c>
      <c r="G1731" s="1">
        <v>1</v>
      </c>
      <c r="H1731" s="7">
        <v>45560</v>
      </c>
      <c r="I1731" s="1" t="s">
        <v>7455</v>
      </c>
      <c r="J1731" s="7">
        <v>45560</v>
      </c>
      <c r="K1731" s="1" t="s">
        <v>7455</v>
      </c>
    </row>
    <row r="1732" spans="1:11" x14ac:dyDescent="0.3">
      <c r="A1732" s="1">
        <v>1731</v>
      </c>
      <c r="B1732" s="1" t="s">
        <v>5378</v>
      </c>
      <c r="C1732" s="1" t="s">
        <v>5379</v>
      </c>
      <c r="D1732" s="1" t="s">
        <v>5380</v>
      </c>
      <c r="G1732" s="1">
        <v>1</v>
      </c>
      <c r="H1732" s="7">
        <v>45560</v>
      </c>
      <c r="I1732" s="1" t="s">
        <v>7455</v>
      </c>
      <c r="J1732" s="7">
        <v>45560</v>
      </c>
      <c r="K1732" s="1" t="s">
        <v>7455</v>
      </c>
    </row>
    <row r="1733" spans="1:11" x14ac:dyDescent="0.3">
      <c r="A1733" s="1">
        <v>1732</v>
      </c>
      <c r="B1733" s="1" t="s">
        <v>5381</v>
      </c>
      <c r="C1733" s="1" t="s">
        <v>5382</v>
      </c>
      <c r="D1733" s="1" t="s">
        <v>5383</v>
      </c>
      <c r="E1733" s="1" t="s">
        <v>73</v>
      </c>
      <c r="G1733" s="1">
        <v>1</v>
      </c>
      <c r="H1733" s="7">
        <v>45560</v>
      </c>
      <c r="I1733" s="1" t="s">
        <v>7455</v>
      </c>
      <c r="J1733" s="7">
        <v>45560</v>
      </c>
      <c r="K1733" s="1" t="s">
        <v>7455</v>
      </c>
    </row>
    <row r="1734" spans="1:11" x14ac:dyDescent="0.3">
      <c r="A1734" s="1">
        <v>1733</v>
      </c>
      <c r="B1734" s="1" t="s">
        <v>5384</v>
      </c>
      <c r="C1734" s="1" t="s">
        <v>5385</v>
      </c>
      <c r="E1734" s="1" t="s">
        <v>52</v>
      </c>
      <c r="G1734" s="1">
        <v>1</v>
      </c>
      <c r="H1734" s="7">
        <v>45560</v>
      </c>
      <c r="I1734" s="1" t="s">
        <v>7455</v>
      </c>
      <c r="J1734" s="7">
        <v>45560</v>
      </c>
      <c r="K1734" s="1" t="s">
        <v>7455</v>
      </c>
    </row>
    <row r="1735" spans="1:11" x14ac:dyDescent="0.3">
      <c r="A1735" s="1">
        <v>1734</v>
      </c>
      <c r="B1735" s="1" t="s">
        <v>5386</v>
      </c>
      <c r="C1735" s="1" t="s">
        <v>5387</v>
      </c>
      <c r="E1735" s="1" t="s">
        <v>52</v>
      </c>
      <c r="G1735" s="1">
        <v>1</v>
      </c>
      <c r="H1735" s="7">
        <v>45560</v>
      </c>
      <c r="I1735" s="1" t="s">
        <v>7455</v>
      </c>
      <c r="J1735" s="7">
        <v>45560</v>
      </c>
      <c r="K1735" s="1" t="s">
        <v>7455</v>
      </c>
    </row>
    <row r="1736" spans="1:11" x14ac:dyDescent="0.3">
      <c r="A1736" s="1">
        <v>1735</v>
      </c>
      <c r="B1736" s="1" t="s">
        <v>5388</v>
      </c>
      <c r="C1736" s="1" t="s">
        <v>5389</v>
      </c>
      <c r="D1736" s="1" t="s">
        <v>5390</v>
      </c>
      <c r="F1736" s="1" t="s">
        <v>5391</v>
      </c>
      <c r="G1736" s="1">
        <v>1</v>
      </c>
      <c r="H1736" s="7">
        <v>45560</v>
      </c>
      <c r="I1736" s="1" t="s">
        <v>7455</v>
      </c>
      <c r="J1736" s="7">
        <v>45560</v>
      </c>
      <c r="K1736" s="1" t="s">
        <v>7455</v>
      </c>
    </row>
    <row r="1737" spans="1:11" x14ac:dyDescent="0.3">
      <c r="A1737" s="1">
        <v>1736</v>
      </c>
      <c r="B1737" s="1" t="s">
        <v>5392</v>
      </c>
      <c r="C1737" s="1" t="s">
        <v>5393</v>
      </c>
      <c r="D1737" s="1" t="s">
        <v>5394</v>
      </c>
      <c r="G1737" s="1">
        <v>1</v>
      </c>
      <c r="H1737" s="7">
        <v>45560</v>
      </c>
      <c r="I1737" s="1" t="s">
        <v>7455</v>
      </c>
      <c r="J1737" s="7">
        <v>45560</v>
      </c>
      <c r="K1737" s="1" t="s">
        <v>7455</v>
      </c>
    </row>
    <row r="1738" spans="1:11" x14ac:dyDescent="0.3">
      <c r="A1738" s="1">
        <v>1737</v>
      </c>
      <c r="B1738" s="1" t="s">
        <v>5395</v>
      </c>
      <c r="C1738" s="1" t="s">
        <v>5396</v>
      </c>
      <c r="D1738" s="1" t="s">
        <v>5397</v>
      </c>
      <c r="G1738" s="1">
        <v>1</v>
      </c>
      <c r="H1738" s="7">
        <v>45560</v>
      </c>
      <c r="I1738" s="1" t="s">
        <v>7455</v>
      </c>
      <c r="J1738" s="7">
        <v>45560</v>
      </c>
      <c r="K1738" s="1" t="s">
        <v>7455</v>
      </c>
    </row>
    <row r="1739" spans="1:11" x14ac:dyDescent="0.3">
      <c r="A1739" s="1">
        <v>1738</v>
      </c>
      <c r="B1739" s="1" t="s">
        <v>5398</v>
      </c>
      <c r="C1739" s="1" t="s">
        <v>5398</v>
      </c>
      <c r="D1739" s="1" t="s">
        <v>5399</v>
      </c>
      <c r="F1739" s="1" t="s">
        <v>5400</v>
      </c>
      <c r="G1739" s="1">
        <v>1</v>
      </c>
      <c r="H1739" s="7">
        <v>45560</v>
      </c>
      <c r="I1739" s="1" t="s">
        <v>7455</v>
      </c>
      <c r="J1739" s="7">
        <v>45560</v>
      </c>
      <c r="K1739" s="1" t="s">
        <v>7455</v>
      </c>
    </row>
    <row r="1740" spans="1:11" x14ac:dyDescent="0.3">
      <c r="A1740" s="1">
        <v>1739</v>
      </c>
      <c r="B1740" s="1" t="s">
        <v>5401</v>
      </c>
      <c r="C1740" s="1" t="s">
        <v>5402</v>
      </c>
      <c r="F1740" s="1" t="s">
        <v>5403</v>
      </c>
      <c r="G1740" s="1">
        <v>1</v>
      </c>
      <c r="H1740" s="7">
        <v>45560</v>
      </c>
      <c r="I1740" s="1" t="s">
        <v>7455</v>
      </c>
      <c r="J1740" s="7">
        <v>45560</v>
      </c>
      <c r="K1740" s="1" t="s">
        <v>7455</v>
      </c>
    </row>
    <row r="1741" spans="1:11" x14ac:dyDescent="0.3">
      <c r="A1741" s="1">
        <v>1740</v>
      </c>
      <c r="B1741" s="1" t="s">
        <v>5404</v>
      </c>
      <c r="C1741" s="1" t="s">
        <v>5405</v>
      </c>
      <c r="D1741" s="1" t="s">
        <v>5406</v>
      </c>
      <c r="F1741" s="1" t="s">
        <v>5407</v>
      </c>
      <c r="G1741" s="1">
        <v>1</v>
      </c>
      <c r="H1741" s="7">
        <v>45560</v>
      </c>
      <c r="I1741" s="1" t="s">
        <v>7455</v>
      </c>
      <c r="J1741" s="7">
        <v>45560</v>
      </c>
      <c r="K1741" s="1" t="s">
        <v>7455</v>
      </c>
    </row>
    <row r="1742" spans="1:11" x14ac:dyDescent="0.3">
      <c r="A1742" s="1">
        <v>1741</v>
      </c>
      <c r="B1742" s="1" t="s">
        <v>5408</v>
      </c>
      <c r="C1742" s="1" t="s">
        <v>5409</v>
      </c>
      <c r="E1742" s="1" t="s">
        <v>52</v>
      </c>
      <c r="G1742" s="1">
        <v>1</v>
      </c>
      <c r="H1742" s="7">
        <v>45560</v>
      </c>
      <c r="I1742" s="1" t="s">
        <v>7455</v>
      </c>
      <c r="J1742" s="7">
        <v>45560</v>
      </c>
      <c r="K1742" s="1" t="s">
        <v>7455</v>
      </c>
    </row>
    <row r="1743" spans="1:11" x14ac:dyDescent="0.3">
      <c r="A1743" s="1">
        <v>1742</v>
      </c>
      <c r="B1743" s="1" t="s">
        <v>5410</v>
      </c>
      <c r="C1743" s="1" t="s">
        <v>5411</v>
      </c>
      <c r="D1743" s="1" t="s">
        <v>5412</v>
      </c>
      <c r="F1743" s="1" t="s">
        <v>5413</v>
      </c>
      <c r="G1743" s="1">
        <v>1</v>
      </c>
      <c r="H1743" s="7">
        <v>45560</v>
      </c>
      <c r="I1743" s="1" t="s">
        <v>7455</v>
      </c>
      <c r="J1743" s="7">
        <v>45560</v>
      </c>
      <c r="K1743" s="1" t="s">
        <v>7455</v>
      </c>
    </row>
    <row r="1744" spans="1:11" x14ac:dyDescent="0.3">
      <c r="A1744" s="1">
        <v>1743</v>
      </c>
      <c r="B1744" s="1" t="s">
        <v>5414</v>
      </c>
      <c r="C1744" s="1" t="s">
        <v>5415</v>
      </c>
      <c r="D1744" s="1" t="s">
        <v>5416</v>
      </c>
      <c r="G1744" s="1">
        <v>1</v>
      </c>
      <c r="H1744" s="7">
        <v>45560</v>
      </c>
      <c r="I1744" s="1" t="s">
        <v>7455</v>
      </c>
      <c r="J1744" s="7">
        <v>45560</v>
      </c>
      <c r="K1744" s="1" t="s">
        <v>7455</v>
      </c>
    </row>
    <row r="1745" spans="1:11" x14ac:dyDescent="0.3">
      <c r="A1745" s="1">
        <v>1744</v>
      </c>
      <c r="B1745" s="1" t="s">
        <v>5417</v>
      </c>
      <c r="C1745" s="1" t="s">
        <v>5418</v>
      </c>
      <c r="D1745" s="1" t="s">
        <v>5419</v>
      </c>
      <c r="E1745" s="1" t="s">
        <v>73</v>
      </c>
      <c r="G1745" s="1">
        <v>1</v>
      </c>
      <c r="H1745" s="7">
        <v>45560</v>
      </c>
      <c r="I1745" s="1" t="s">
        <v>7455</v>
      </c>
      <c r="J1745" s="7">
        <v>45560</v>
      </c>
      <c r="K1745" s="1" t="s">
        <v>7455</v>
      </c>
    </row>
    <row r="1746" spans="1:11" x14ac:dyDescent="0.3">
      <c r="A1746" s="1">
        <v>1745</v>
      </c>
      <c r="B1746" s="1" t="s">
        <v>5420</v>
      </c>
      <c r="C1746" s="1" t="s">
        <v>5421</v>
      </c>
      <c r="F1746" s="1" t="s">
        <v>5422</v>
      </c>
      <c r="G1746" s="1">
        <v>1</v>
      </c>
      <c r="H1746" s="7">
        <v>45560</v>
      </c>
      <c r="I1746" s="1" t="s">
        <v>7455</v>
      </c>
      <c r="J1746" s="7">
        <v>45560</v>
      </c>
      <c r="K1746" s="1" t="s">
        <v>7455</v>
      </c>
    </row>
    <row r="1747" spans="1:11" x14ac:dyDescent="0.3">
      <c r="A1747" s="1">
        <v>1746</v>
      </c>
      <c r="B1747" s="1" t="s">
        <v>5423</v>
      </c>
      <c r="C1747" s="1" t="s">
        <v>5424</v>
      </c>
      <c r="F1747" s="1" t="s">
        <v>5425</v>
      </c>
      <c r="G1747" s="1">
        <v>1</v>
      </c>
      <c r="H1747" s="7">
        <v>45560</v>
      </c>
      <c r="I1747" s="1" t="s">
        <v>7455</v>
      </c>
      <c r="J1747" s="7">
        <v>45560</v>
      </c>
      <c r="K1747" s="1" t="s">
        <v>7455</v>
      </c>
    </row>
    <row r="1748" spans="1:11" x14ac:dyDescent="0.3">
      <c r="A1748" s="1">
        <v>1747</v>
      </c>
      <c r="B1748" s="1" t="s">
        <v>5426</v>
      </c>
      <c r="C1748" s="1" t="s">
        <v>5427</v>
      </c>
      <c r="E1748" s="1" t="s">
        <v>52</v>
      </c>
      <c r="G1748" s="1">
        <v>1</v>
      </c>
      <c r="H1748" s="7">
        <v>45560</v>
      </c>
      <c r="I1748" s="1" t="s">
        <v>7455</v>
      </c>
      <c r="J1748" s="7">
        <v>45560</v>
      </c>
      <c r="K1748" s="1" t="s">
        <v>7455</v>
      </c>
    </row>
    <row r="1749" spans="1:11" x14ac:dyDescent="0.3">
      <c r="A1749" s="1">
        <v>1748</v>
      </c>
      <c r="B1749" s="1" t="s">
        <v>5428</v>
      </c>
      <c r="C1749" s="1" t="s">
        <v>5429</v>
      </c>
      <c r="D1749" s="1" t="s">
        <v>5430</v>
      </c>
      <c r="F1749" s="1" t="s">
        <v>5431</v>
      </c>
      <c r="G1749" s="1">
        <v>1</v>
      </c>
      <c r="H1749" s="7">
        <v>45560</v>
      </c>
      <c r="I1749" s="1" t="s">
        <v>7455</v>
      </c>
      <c r="J1749" s="7">
        <v>45560</v>
      </c>
      <c r="K1749" s="1" t="s">
        <v>7455</v>
      </c>
    </row>
    <row r="1750" spans="1:11" x14ac:dyDescent="0.3">
      <c r="A1750" s="1">
        <v>1749</v>
      </c>
      <c r="B1750" s="1" t="s">
        <v>5432</v>
      </c>
      <c r="C1750" s="1" t="s">
        <v>5433</v>
      </c>
      <c r="D1750" s="1" t="s">
        <v>5434</v>
      </c>
      <c r="F1750" s="1" t="s">
        <v>5435</v>
      </c>
      <c r="G1750" s="1">
        <v>1</v>
      </c>
      <c r="H1750" s="7">
        <v>45560</v>
      </c>
      <c r="I1750" s="1" t="s">
        <v>7455</v>
      </c>
      <c r="J1750" s="7">
        <v>45560</v>
      </c>
      <c r="K1750" s="1" t="s">
        <v>7455</v>
      </c>
    </row>
    <row r="1751" spans="1:11" x14ac:dyDescent="0.3">
      <c r="A1751" s="1">
        <v>1750</v>
      </c>
      <c r="B1751" s="1" t="s">
        <v>5436</v>
      </c>
      <c r="C1751" s="1" t="s">
        <v>5437</v>
      </c>
      <c r="D1751" s="1" t="s">
        <v>5438</v>
      </c>
      <c r="F1751" s="1" t="s">
        <v>5439</v>
      </c>
      <c r="G1751" s="1">
        <v>1</v>
      </c>
      <c r="H1751" s="7">
        <v>45560</v>
      </c>
      <c r="I1751" s="1" t="s">
        <v>7455</v>
      </c>
      <c r="J1751" s="7">
        <v>45560</v>
      </c>
      <c r="K1751" s="1" t="s">
        <v>7455</v>
      </c>
    </row>
    <row r="1752" spans="1:11" x14ac:dyDescent="0.3">
      <c r="A1752" s="1">
        <v>1751</v>
      </c>
      <c r="B1752" s="1" t="s">
        <v>5440</v>
      </c>
      <c r="C1752" s="1" t="s">
        <v>5441</v>
      </c>
      <c r="D1752" s="1" t="s">
        <v>5442</v>
      </c>
      <c r="F1752" s="1" t="s">
        <v>5400</v>
      </c>
      <c r="G1752" s="1">
        <v>1</v>
      </c>
      <c r="H1752" s="7">
        <v>45560</v>
      </c>
      <c r="I1752" s="1" t="s">
        <v>7455</v>
      </c>
      <c r="J1752" s="7">
        <v>45560</v>
      </c>
      <c r="K1752" s="1" t="s">
        <v>7455</v>
      </c>
    </row>
    <row r="1753" spans="1:11" x14ac:dyDescent="0.3">
      <c r="A1753" s="1">
        <v>1752</v>
      </c>
      <c r="B1753" s="1" t="s">
        <v>5443</v>
      </c>
      <c r="C1753" s="1" t="s">
        <v>5444</v>
      </c>
      <c r="D1753" s="1" t="s">
        <v>5445</v>
      </c>
      <c r="F1753" s="1" t="s">
        <v>5446</v>
      </c>
      <c r="G1753" s="1">
        <v>1</v>
      </c>
      <c r="H1753" s="7">
        <v>45560</v>
      </c>
      <c r="I1753" s="1" t="s">
        <v>7455</v>
      </c>
      <c r="J1753" s="7">
        <v>45560</v>
      </c>
      <c r="K1753" s="1" t="s">
        <v>7455</v>
      </c>
    </row>
    <row r="1754" spans="1:11" x14ac:dyDescent="0.3">
      <c r="A1754" s="1">
        <v>1753</v>
      </c>
      <c r="B1754" s="1" t="s">
        <v>5447</v>
      </c>
      <c r="C1754" s="1" t="s">
        <v>5448</v>
      </c>
      <c r="D1754" s="1" t="s">
        <v>5449</v>
      </c>
      <c r="F1754" s="1" t="s">
        <v>5450</v>
      </c>
      <c r="G1754" s="1">
        <v>1</v>
      </c>
      <c r="H1754" s="7">
        <v>45560</v>
      </c>
      <c r="I1754" s="1" t="s">
        <v>7455</v>
      </c>
      <c r="J1754" s="7">
        <v>45560</v>
      </c>
      <c r="K1754" s="1" t="s">
        <v>7455</v>
      </c>
    </row>
    <row r="1755" spans="1:11" x14ac:dyDescent="0.3">
      <c r="A1755" s="1">
        <v>1754</v>
      </c>
      <c r="B1755" s="1" t="s">
        <v>5451</v>
      </c>
      <c r="C1755" s="1" t="s">
        <v>5452</v>
      </c>
      <c r="D1755" s="1" t="s">
        <v>5453</v>
      </c>
      <c r="F1755" s="1" t="s">
        <v>5454</v>
      </c>
      <c r="G1755" s="1">
        <v>1</v>
      </c>
      <c r="H1755" s="7">
        <v>45560</v>
      </c>
      <c r="I1755" s="1" t="s">
        <v>7455</v>
      </c>
      <c r="J1755" s="7">
        <v>45560</v>
      </c>
      <c r="K1755" s="1" t="s">
        <v>7455</v>
      </c>
    </row>
    <row r="1756" spans="1:11" x14ac:dyDescent="0.3">
      <c r="A1756" s="1">
        <v>1755</v>
      </c>
      <c r="B1756" s="1" t="s">
        <v>5455</v>
      </c>
      <c r="C1756" s="1" t="s">
        <v>5456</v>
      </c>
      <c r="D1756" s="1" t="s">
        <v>5457</v>
      </c>
      <c r="F1756" s="1" t="s">
        <v>5458</v>
      </c>
      <c r="G1756" s="1">
        <v>1</v>
      </c>
      <c r="H1756" s="7">
        <v>45560</v>
      </c>
      <c r="I1756" s="1" t="s">
        <v>7455</v>
      </c>
      <c r="J1756" s="7">
        <v>45560</v>
      </c>
      <c r="K1756" s="1" t="s">
        <v>7455</v>
      </c>
    </row>
    <row r="1757" spans="1:11" x14ac:dyDescent="0.3">
      <c r="A1757" s="1">
        <v>1756</v>
      </c>
      <c r="B1757" s="1" t="s">
        <v>5459</v>
      </c>
      <c r="C1757" s="1" t="s">
        <v>5460</v>
      </c>
      <c r="D1757" s="1" t="s">
        <v>5461</v>
      </c>
      <c r="F1757" s="1" t="s">
        <v>5462</v>
      </c>
      <c r="G1757" s="1">
        <v>1</v>
      </c>
      <c r="H1757" s="7">
        <v>45560</v>
      </c>
      <c r="I1757" s="1" t="s">
        <v>7455</v>
      </c>
      <c r="J1757" s="7">
        <v>45560</v>
      </c>
      <c r="K1757" s="1" t="s">
        <v>7455</v>
      </c>
    </row>
    <row r="1758" spans="1:11" x14ac:dyDescent="0.3">
      <c r="A1758" s="1">
        <v>1757</v>
      </c>
      <c r="B1758" s="1" t="s">
        <v>5463</v>
      </c>
      <c r="C1758" s="1" t="s">
        <v>5464</v>
      </c>
      <c r="D1758" s="1" t="s">
        <v>5465</v>
      </c>
      <c r="F1758" s="1" t="s">
        <v>5466</v>
      </c>
      <c r="G1758" s="1">
        <v>1</v>
      </c>
      <c r="H1758" s="7">
        <v>45560</v>
      </c>
      <c r="I1758" s="1" t="s">
        <v>7455</v>
      </c>
      <c r="J1758" s="7">
        <v>45560</v>
      </c>
      <c r="K1758" s="1" t="s">
        <v>7455</v>
      </c>
    </row>
    <row r="1759" spans="1:11" x14ac:dyDescent="0.3">
      <c r="A1759" s="1">
        <v>1758</v>
      </c>
      <c r="B1759" s="1" t="s">
        <v>5467</v>
      </c>
      <c r="C1759" s="1" t="s">
        <v>5468</v>
      </c>
      <c r="D1759" s="1" t="s">
        <v>5469</v>
      </c>
      <c r="F1759" s="1" t="s">
        <v>5470</v>
      </c>
      <c r="G1759" s="1">
        <v>1</v>
      </c>
      <c r="H1759" s="7">
        <v>45560</v>
      </c>
      <c r="I1759" s="1" t="s">
        <v>7455</v>
      </c>
      <c r="J1759" s="7">
        <v>45560</v>
      </c>
      <c r="K1759" s="1" t="s">
        <v>7455</v>
      </c>
    </row>
    <row r="1760" spans="1:11" x14ac:dyDescent="0.3">
      <c r="A1760" s="1">
        <v>1759</v>
      </c>
      <c r="B1760" s="1" t="s">
        <v>5471</v>
      </c>
      <c r="C1760" s="1" t="s">
        <v>5472</v>
      </c>
      <c r="F1760" s="1" t="s">
        <v>5473</v>
      </c>
      <c r="G1760" s="1">
        <v>1</v>
      </c>
      <c r="H1760" s="7">
        <v>45560</v>
      </c>
      <c r="I1760" s="1" t="s">
        <v>7455</v>
      </c>
      <c r="J1760" s="7">
        <v>45560</v>
      </c>
      <c r="K1760" s="1" t="s">
        <v>7455</v>
      </c>
    </row>
    <row r="1761" spans="1:11" x14ac:dyDescent="0.3">
      <c r="A1761" s="1">
        <v>1760</v>
      </c>
      <c r="B1761" s="1" t="s">
        <v>5474</v>
      </c>
      <c r="C1761" s="1" t="s">
        <v>5475</v>
      </c>
      <c r="D1761" s="1" t="s">
        <v>5476</v>
      </c>
      <c r="F1761" s="1" t="s">
        <v>5477</v>
      </c>
      <c r="G1761" s="1">
        <v>1</v>
      </c>
      <c r="H1761" s="7">
        <v>45560</v>
      </c>
      <c r="I1761" s="1" t="s">
        <v>7455</v>
      </c>
      <c r="J1761" s="7">
        <v>45560</v>
      </c>
      <c r="K1761" s="1" t="s">
        <v>7455</v>
      </c>
    </row>
    <row r="1762" spans="1:11" x14ac:dyDescent="0.3">
      <c r="A1762" s="1">
        <v>1761</v>
      </c>
      <c r="B1762" s="1" t="s">
        <v>5478</v>
      </c>
      <c r="C1762" s="1" t="s">
        <v>5479</v>
      </c>
      <c r="D1762" s="1" t="s">
        <v>5480</v>
      </c>
      <c r="F1762" s="1" t="s">
        <v>5481</v>
      </c>
      <c r="G1762" s="1">
        <v>1</v>
      </c>
      <c r="H1762" s="7">
        <v>45560</v>
      </c>
      <c r="I1762" s="1" t="s">
        <v>7455</v>
      </c>
      <c r="J1762" s="7">
        <v>45560</v>
      </c>
      <c r="K1762" s="1" t="s">
        <v>7455</v>
      </c>
    </row>
    <row r="1763" spans="1:11" x14ac:dyDescent="0.3">
      <c r="A1763" s="1">
        <v>1762</v>
      </c>
      <c r="B1763" s="1" t="s">
        <v>5482</v>
      </c>
      <c r="C1763" s="1" t="s">
        <v>5483</v>
      </c>
      <c r="D1763" s="1" t="s">
        <v>5484</v>
      </c>
      <c r="F1763" s="1" t="s">
        <v>5485</v>
      </c>
      <c r="G1763" s="1">
        <v>1</v>
      </c>
      <c r="H1763" s="7">
        <v>45560</v>
      </c>
      <c r="I1763" s="1" t="s">
        <v>7455</v>
      </c>
      <c r="J1763" s="7">
        <v>45560</v>
      </c>
      <c r="K1763" s="1" t="s">
        <v>7455</v>
      </c>
    </row>
    <row r="1764" spans="1:11" x14ac:dyDescent="0.3">
      <c r="A1764" s="1">
        <v>1763</v>
      </c>
      <c r="B1764" s="1" t="s">
        <v>5486</v>
      </c>
      <c r="C1764" s="1" t="s">
        <v>5487</v>
      </c>
      <c r="D1764" s="1" t="s">
        <v>5488</v>
      </c>
      <c r="F1764" s="1" t="s">
        <v>5489</v>
      </c>
      <c r="G1764" s="1">
        <v>1</v>
      </c>
      <c r="H1764" s="7">
        <v>45560</v>
      </c>
      <c r="I1764" s="1" t="s">
        <v>7455</v>
      </c>
      <c r="J1764" s="7">
        <v>45560</v>
      </c>
      <c r="K1764" s="1" t="s">
        <v>7455</v>
      </c>
    </row>
    <row r="1765" spans="1:11" x14ac:dyDescent="0.3">
      <c r="A1765" s="1">
        <v>1764</v>
      </c>
      <c r="B1765" s="1" t="s">
        <v>5490</v>
      </c>
      <c r="C1765" s="1" t="s">
        <v>5491</v>
      </c>
      <c r="D1765" s="1" t="s">
        <v>5492</v>
      </c>
      <c r="F1765" s="1" t="s">
        <v>5493</v>
      </c>
      <c r="G1765" s="1">
        <v>1</v>
      </c>
      <c r="H1765" s="7">
        <v>45560</v>
      </c>
      <c r="I1765" s="1" t="s">
        <v>7455</v>
      </c>
      <c r="J1765" s="7">
        <v>45560</v>
      </c>
      <c r="K1765" s="1" t="s">
        <v>7455</v>
      </c>
    </row>
    <row r="1766" spans="1:11" x14ac:dyDescent="0.3">
      <c r="A1766" s="1">
        <v>1765</v>
      </c>
      <c r="B1766" s="1" t="s">
        <v>5494</v>
      </c>
      <c r="C1766" s="1" t="s">
        <v>5495</v>
      </c>
      <c r="D1766" s="1" t="s">
        <v>5496</v>
      </c>
      <c r="F1766" s="1" t="s">
        <v>5497</v>
      </c>
      <c r="G1766" s="1">
        <v>1</v>
      </c>
      <c r="H1766" s="7">
        <v>45560</v>
      </c>
      <c r="I1766" s="1" t="s">
        <v>7455</v>
      </c>
      <c r="J1766" s="7">
        <v>45560</v>
      </c>
      <c r="K1766" s="1" t="s">
        <v>7455</v>
      </c>
    </row>
    <row r="1767" spans="1:11" x14ac:dyDescent="0.3">
      <c r="A1767" s="1">
        <v>1766</v>
      </c>
      <c r="B1767" s="1" t="s">
        <v>5498</v>
      </c>
      <c r="C1767" s="1" t="s">
        <v>5499</v>
      </c>
      <c r="D1767" s="1" t="s">
        <v>5500</v>
      </c>
      <c r="F1767" s="1" t="s">
        <v>5501</v>
      </c>
      <c r="G1767" s="1">
        <v>1</v>
      </c>
      <c r="H1767" s="7">
        <v>45560</v>
      </c>
      <c r="I1767" s="1" t="s">
        <v>7455</v>
      </c>
      <c r="J1767" s="7">
        <v>45560</v>
      </c>
      <c r="K1767" s="1" t="s">
        <v>7455</v>
      </c>
    </row>
    <row r="1768" spans="1:11" x14ac:dyDescent="0.3">
      <c r="A1768" s="1">
        <v>1767</v>
      </c>
      <c r="B1768" s="1" t="s">
        <v>5502</v>
      </c>
      <c r="C1768" s="1" t="s">
        <v>5503</v>
      </c>
      <c r="D1768" s="1" t="s">
        <v>5504</v>
      </c>
      <c r="F1768" s="1" t="s">
        <v>5505</v>
      </c>
      <c r="G1768" s="1">
        <v>1</v>
      </c>
      <c r="H1768" s="7">
        <v>45560</v>
      </c>
      <c r="I1768" s="1" t="s">
        <v>7455</v>
      </c>
      <c r="J1768" s="7">
        <v>45560</v>
      </c>
      <c r="K1768" s="1" t="s">
        <v>7455</v>
      </c>
    </row>
    <row r="1769" spans="1:11" x14ac:dyDescent="0.3">
      <c r="A1769" s="1">
        <v>1768</v>
      </c>
      <c r="B1769" s="1" t="s">
        <v>5506</v>
      </c>
      <c r="C1769" s="1" t="s">
        <v>5507</v>
      </c>
      <c r="D1769" s="1" t="s">
        <v>5508</v>
      </c>
      <c r="F1769" s="1" t="s">
        <v>5509</v>
      </c>
      <c r="G1769" s="1">
        <v>1</v>
      </c>
      <c r="H1769" s="7">
        <v>45560</v>
      </c>
      <c r="I1769" s="1" t="s">
        <v>7455</v>
      </c>
      <c r="J1769" s="7">
        <v>45560</v>
      </c>
      <c r="K1769" s="1" t="s">
        <v>7455</v>
      </c>
    </row>
    <row r="1770" spans="1:11" x14ac:dyDescent="0.3">
      <c r="A1770" s="1">
        <v>1769</v>
      </c>
      <c r="B1770" s="1" t="s">
        <v>5510</v>
      </c>
      <c r="C1770" s="1" t="s">
        <v>5511</v>
      </c>
      <c r="D1770" s="1" t="s">
        <v>5512</v>
      </c>
      <c r="F1770" s="1" t="s">
        <v>5513</v>
      </c>
      <c r="G1770" s="1">
        <v>1</v>
      </c>
      <c r="H1770" s="7">
        <v>45560</v>
      </c>
      <c r="I1770" s="1" t="s">
        <v>7455</v>
      </c>
      <c r="J1770" s="7">
        <v>45560</v>
      </c>
      <c r="K1770" s="1" t="s">
        <v>7455</v>
      </c>
    </row>
    <row r="1771" spans="1:11" x14ac:dyDescent="0.3">
      <c r="A1771" s="1">
        <v>1770</v>
      </c>
      <c r="B1771" s="1" t="s">
        <v>5514</v>
      </c>
      <c r="C1771" s="1" t="s">
        <v>5515</v>
      </c>
      <c r="E1771" s="1" t="s">
        <v>52</v>
      </c>
      <c r="G1771" s="1">
        <v>1</v>
      </c>
      <c r="H1771" s="7">
        <v>45560</v>
      </c>
      <c r="I1771" s="1" t="s">
        <v>7455</v>
      </c>
      <c r="J1771" s="7">
        <v>45560</v>
      </c>
      <c r="K1771" s="1" t="s">
        <v>7455</v>
      </c>
    </row>
    <row r="1772" spans="1:11" x14ac:dyDescent="0.3">
      <c r="A1772" s="1">
        <v>1771</v>
      </c>
      <c r="B1772" s="1" t="s">
        <v>5516</v>
      </c>
      <c r="C1772" s="1" t="s">
        <v>5517</v>
      </c>
      <c r="D1772" s="1" t="s">
        <v>5518</v>
      </c>
      <c r="F1772" s="1" t="s">
        <v>5519</v>
      </c>
      <c r="G1772" s="1">
        <v>1</v>
      </c>
      <c r="H1772" s="7">
        <v>45560</v>
      </c>
      <c r="I1772" s="1" t="s">
        <v>7455</v>
      </c>
      <c r="J1772" s="7">
        <v>45560</v>
      </c>
      <c r="K1772" s="1" t="s">
        <v>7455</v>
      </c>
    </row>
    <row r="1773" spans="1:11" x14ac:dyDescent="0.3">
      <c r="A1773" s="1">
        <v>1772</v>
      </c>
      <c r="B1773" s="1" t="s">
        <v>5520</v>
      </c>
      <c r="C1773" s="1" t="s">
        <v>5521</v>
      </c>
      <c r="D1773" s="1" t="s">
        <v>5518</v>
      </c>
      <c r="F1773" s="1" t="s">
        <v>5522</v>
      </c>
      <c r="G1773" s="1">
        <v>1</v>
      </c>
      <c r="H1773" s="7">
        <v>45560</v>
      </c>
      <c r="I1773" s="1" t="s">
        <v>7455</v>
      </c>
      <c r="J1773" s="7">
        <v>45560</v>
      </c>
      <c r="K1773" s="1" t="s">
        <v>7455</v>
      </c>
    </row>
    <row r="1774" spans="1:11" x14ac:dyDescent="0.3">
      <c r="A1774" s="1">
        <v>1773</v>
      </c>
      <c r="B1774" s="1" t="s">
        <v>5523</v>
      </c>
      <c r="C1774" s="1" t="s">
        <v>5524</v>
      </c>
      <c r="D1774" s="1" t="s">
        <v>5525</v>
      </c>
      <c r="F1774" s="1" t="s">
        <v>5526</v>
      </c>
      <c r="G1774" s="1">
        <v>1</v>
      </c>
      <c r="H1774" s="7">
        <v>45560</v>
      </c>
      <c r="I1774" s="1" t="s">
        <v>7455</v>
      </c>
      <c r="J1774" s="7">
        <v>45560</v>
      </c>
      <c r="K1774" s="1" t="s">
        <v>7455</v>
      </c>
    </row>
    <row r="1775" spans="1:11" x14ac:dyDescent="0.3">
      <c r="A1775" s="1">
        <v>1774</v>
      </c>
      <c r="B1775" s="1" t="s">
        <v>5527</v>
      </c>
      <c r="C1775" s="1" t="s">
        <v>5528</v>
      </c>
      <c r="D1775" s="1" t="s">
        <v>5529</v>
      </c>
      <c r="F1775" s="1" t="s">
        <v>5530</v>
      </c>
      <c r="G1775" s="1">
        <v>1</v>
      </c>
      <c r="H1775" s="7">
        <v>45560</v>
      </c>
      <c r="I1775" s="1" t="s">
        <v>7455</v>
      </c>
      <c r="J1775" s="7">
        <v>45560</v>
      </c>
      <c r="K1775" s="1" t="s">
        <v>7455</v>
      </c>
    </row>
    <row r="1776" spans="1:11" x14ac:dyDescent="0.3">
      <c r="A1776" s="1">
        <v>1775</v>
      </c>
      <c r="B1776" s="1" t="s">
        <v>5531</v>
      </c>
      <c r="C1776" s="1" t="s">
        <v>5532</v>
      </c>
      <c r="D1776" s="1" t="s">
        <v>5533</v>
      </c>
      <c r="F1776" s="1" t="s">
        <v>5534</v>
      </c>
      <c r="G1776" s="1">
        <v>1</v>
      </c>
      <c r="H1776" s="7">
        <v>45560</v>
      </c>
      <c r="I1776" s="1" t="s">
        <v>7455</v>
      </c>
      <c r="J1776" s="7">
        <v>45560</v>
      </c>
      <c r="K1776" s="1" t="s">
        <v>7455</v>
      </c>
    </row>
    <row r="1777" spans="1:11" x14ac:dyDescent="0.3">
      <c r="A1777" s="1">
        <v>1776</v>
      </c>
      <c r="B1777" s="1" t="s">
        <v>5535</v>
      </c>
      <c r="C1777" s="1" t="s">
        <v>5536</v>
      </c>
      <c r="D1777" s="1" t="s">
        <v>5537</v>
      </c>
      <c r="F1777" s="1" t="s">
        <v>3314</v>
      </c>
      <c r="G1777" s="1">
        <v>1</v>
      </c>
      <c r="H1777" s="7">
        <v>45560</v>
      </c>
      <c r="I1777" s="1" t="s">
        <v>7455</v>
      </c>
      <c r="J1777" s="7">
        <v>45560</v>
      </c>
      <c r="K1777" s="1" t="s">
        <v>7455</v>
      </c>
    </row>
    <row r="1778" spans="1:11" x14ac:dyDescent="0.3">
      <c r="A1778" s="1">
        <v>1777</v>
      </c>
      <c r="B1778" s="1" t="s">
        <v>5538</v>
      </c>
      <c r="C1778" s="1" t="s">
        <v>5539</v>
      </c>
      <c r="D1778" s="1" t="s">
        <v>5540</v>
      </c>
      <c r="F1778" s="1" t="s">
        <v>5541</v>
      </c>
      <c r="G1778" s="1">
        <v>1</v>
      </c>
      <c r="H1778" s="7">
        <v>45560</v>
      </c>
      <c r="I1778" s="1" t="s">
        <v>7455</v>
      </c>
      <c r="J1778" s="7">
        <v>45560</v>
      </c>
      <c r="K1778" s="1" t="s">
        <v>7455</v>
      </c>
    </row>
    <row r="1779" spans="1:11" x14ac:dyDescent="0.3">
      <c r="A1779" s="1">
        <v>1778</v>
      </c>
      <c r="B1779" s="1" t="s">
        <v>5542</v>
      </c>
      <c r="C1779" s="1" t="s">
        <v>5543</v>
      </c>
      <c r="D1779" s="1" t="s">
        <v>5544</v>
      </c>
      <c r="F1779" s="1" t="s">
        <v>5545</v>
      </c>
      <c r="G1779" s="1">
        <v>1</v>
      </c>
      <c r="H1779" s="7">
        <v>45560</v>
      </c>
      <c r="I1779" s="1" t="s">
        <v>7455</v>
      </c>
      <c r="J1779" s="7">
        <v>45560</v>
      </c>
      <c r="K1779" s="1" t="s">
        <v>7455</v>
      </c>
    </row>
    <row r="1780" spans="1:11" x14ac:dyDescent="0.3">
      <c r="A1780" s="1">
        <v>1779</v>
      </c>
      <c r="B1780" s="1" t="s">
        <v>5546</v>
      </c>
      <c r="C1780" s="1" t="s">
        <v>5547</v>
      </c>
      <c r="D1780" s="1" t="s">
        <v>5544</v>
      </c>
      <c r="F1780" s="1" t="s">
        <v>5548</v>
      </c>
      <c r="G1780" s="1">
        <v>1</v>
      </c>
      <c r="H1780" s="7">
        <v>45560</v>
      </c>
      <c r="I1780" s="1" t="s">
        <v>7455</v>
      </c>
      <c r="J1780" s="7">
        <v>45560</v>
      </c>
      <c r="K1780" s="1" t="s">
        <v>7455</v>
      </c>
    </row>
    <row r="1781" spans="1:11" x14ac:dyDescent="0.3">
      <c r="A1781" s="1">
        <v>1780</v>
      </c>
      <c r="B1781" s="1" t="s">
        <v>5549</v>
      </c>
      <c r="C1781" s="1" t="s">
        <v>5550</v>
      </c>
      <c r="D1781" s="1" t="s">
        <v>5544</v>
      </c>
      <c r="F1781" s="1" t="s">
        <v>5551</v>
      </c>
      <c r="G1781" s="1">
        <v>1</v>
      </c>
      <c r="H1781" s="7">
        <v>45560</v>
      </c>
      <c r="I1781" s="1" t="s">
        <v>7455</v>
      </c>
      <c r="J1781" s="7">
        <v>45560</v>
      </c>
      <c r="K1781" s="1" t="s">
        <v>7455</v>
      </c>
    </row>
    <row r="1782" spans="1:11" x14ac:dyDescent="0.3">
      <c r="A1782" s="1">
        <v>1781</v>
      </c>
      <c r="B1782" s="1" t="s">
        <v>5552</v>
      </c>
      <c r="C1782" s="1" t="s">
        <v>5553</v>
      </c>
      <c r="E1782" s="1" t="s">
        <v>52</v>
      </c>
      <c r="G1782" s="1">
        <v>1</v>
      </c>
      <c r="H1782" s="7">
        <v>45560</v>
      </c>
      <c r="I1782" s="1" t="s">
        <v>7455</v>
      </c>
      <c r="J1782" s="7">
        <v>45560</v>
      </c>
      <c r="K1782" s="1" t="s">
        <v>7455</v>
      </c>
    </row>
    <row r="1783" spans="1:11" x14ac:dyDescent="0.3">
      <c r="A1783" s="1">
        <v>1782</v>
      </c>
      <c r="B1783" s="1" t="s">
        <v>5554</v>
      </c>
      <c r="C1783" s="1" t="s">
        <v>5555</v>
      </c>
      <c r="D1783" s="1" t="s">
        <v>5556</v>
      </c>
      <c r="F1783" s="1" t="s">
        <v>5557</v>
      </c>
      <c r="G1783" s="1">
        <v>1</v>
      </c>
      <c r="H1783" s="7">
        <v>45560</v>
      </c>
      <c r="I1783" s="1" t="s">
        <v>7455</v>
      </c>
      <c r="J1783" s="7">
        <v>45560</v>
      </c>
      <c r="K1783" s="1" t="s">
        <v>7455</v>
      </c>
    </row>
    <row r="1784" spans="1:11" x14ac:dyDescent="0.3">
      <c r="A1784" s="1">
        <v>1783</v>
      </c>
      <c r="B1784" s="1" t="s">
        <v>5558</v>
      </c>
      <c r="C1784" s="1" t="s">
        <v>5559</v>
      </c>
      <c r="D1784" s="1" t="s">
        <v>5560</v>
      </c>
      <c r="F1784" s="1" t="s">
        <v>5561</v>
      </c>
      <c r="G1784" s="1">
        <v>1</v>
      </c>
      <c r="H1784" s="7">
        <v>45560</v>
      </c>
      <c r="I1784" s="1" t="s">
        <v>7455</v>
      </c>
      <c r="J1784" s="7">
        <v>45560</v>
      </c>
      <c r="K1784" s="1" t="s">
        <v>7455</v>
      </c>
    </row>
    <row r="1785" spans="1:11" x14ac:dyDescent="0.3">
      <c r="A1785" s="1">
        <v>1784</v>
      </c>
      <c r="B1785" s="1" t="s">
        <v>5562</v>
      </c>
      <c r="C1785" s="1" t="s">
        <v>5563</v>
      </c>
      <c r="D1785" s="1" t="s">
        <v>5564</v>
      </c>
      <c r="F1785" s="1" t="s">
        <v>5565</v>
      </c>
      <c r="G1785" s="1">
        <v>1</v>
      </c>
      <c r="H1785" s="7">
        <v>45560</v>
      </c>
      <c r="I1785" s="1" t="s">
        <v>7455</v>
      </c>
      <c r="J1785" s="7">
        <v>45560</v>
      </c>
      <c r="K1785" s="1" t="s">
        <v>7455</v>
      </c>
    </row>
    <row r="1786" spans="1:11" x14ac:dyDescent="0.3">
      <c r="A1786" s="1">
        <v>1785</v>
      </c>
      <c r="B1786" s="1" t="s">
        <v>5566</v>
      </c>
      <c r="C1786" s="1" t="s">
        <v>5567</v>
      </c>
      <c r="D1786" s="1" t="s">
        <v>5568</v>
      </c>
      <c r="F1786" s="1" t="s">
        <v>5569</v>
      </c>
      <c r="G1786" s="1">
        <v>1</v>
      </c>
      <c r="H1786" s="7">
        <v>45560</v>
      </c>
      <c r="I1786" s="1" t="s">
        <v>7455</v>
      </c>
      <c r="J1786" s="7">
        <v>45560</v>
      </c>
      <c r="K1786" s="1" t="s">
        <v>7455</v>
      </c>
    </row>
    <row r="1787" spans="1:11" x14ac:dyDescent="0.3">
      <c r="A1787" s="1">
        <v>1786</v>
      </c>
      <c r="B1787" s="1" t="s">
        <v>5570</v>
      </c>
      <c r="C1787" s="1" t="s">
        <v>5571</v>
      </c>
      <c r="D1787" s="1" t="s">
        <v>5572</v>
      </c>
      <c r="F1787" s="1" t="s">
        <v>5573</v>
      </c>
      <c r="G1787" s="1">
        <v>1</v>
      </c>
      <c r="H1787" s="7">
        <v>45560</v>
      </c>
      <c r="I1787" s="1" t="s">
        <v>7455</v>
      </c>
      <c r="J1787" s="7">
        <v>45560</v>
      </c>
      <c r="K1787" s="1" t="s">
        <v>7455</v>
      </c>
    </row>
    <row r="1788" spans="1:11" ht="28.8" x14ac:dyDescent="0.3">
      <c r="A1788" s="1">
        <v>1787</v>
      </c>
      <c r="B1788" s="1" t="s">
        <v>5574</v>
      </c>
      <c r="C1788" s="1" t="s">
        <v>5575</v>
      </c>
      <c r="D1788" s="8" t="s">
        <v>5576</v>
      </c>
      <c r="F1788" s="1" t="s">
        <v>5577</v>
      </c>
      <c r="G1788" s="1">
        <v>1</v>
      </c>
      <c r="H1788" s="7">
        <v>45560</v>
      </c>
      <c r="I1788" s="1" t="s">
        <v>7455</v>
      </c>
      <c r="J1788" s="7">
        <v>45560</v>
      </c>
      <c r="K1788" s="1" t="s">
        <v>7455</v>
      </c>
    </row>
    <row r="1789" spans="1:11" ht="28.8" x14ac:dyDescent="0.3">
      <c r="A1789" s="1">
        <v>1788</v>
      </c>
      <c r="B1789" s="1" t="s">
        <v>5578</v>
      </c>
      <c r="C1789" s="1" t="s">
        <v>5579</v>
      </c>
      <c r="D1789" s="8" t="s">
        <v>5580</v>
      </c>
      <c r="F1789" s="1" t="s">
        <v>5581</v>
      </c>
      <c r="G1789" s="1">
        <v>1</v>
      </c>
      <c r="H1789" s="7">
        <v>45560</v>
      </c>
      <c r="I1789" s="1" t="s">
        <v>7455</v>
      </c>
      <c r="J1789" s="7">
        <v>45560</v>
      </c>
      <c r="K1789" s="1" t="s">
        <v>7455</v>
      </c>
    </row>
    <row r="1790" spans="1:11" x14ac:dyDescent="0.3">
      <c r="A1790" s="1">
        <v>1789</v>
      </c>
      <c r="B1790" s="1" t="s">
        <v>5582</v>
      </c>
      <c r="C1790" s="1" t="s">
        <v>5583</v>
      </c>
      <c r="D1790" s="1" t="s">
        <v>5584</v>
      </c>
      <c r="F1790" s="1" t="s">
        <v>5585</v>
      </c>
      <c r="G1790" s="1">
        <v>1</v>
      </c>
      <c r="H1790" s="7">
        <v>45560</v>
      </c>
      <c r="I1790" s="1" t="s">
        <v>7455</v>
      </c>
      <c r="J1790" s="7">
        <v>45560</v>
      </c>
      <c r="K1790" s="1" t="s">
        <v>7455</v>
      </c>
    </row>
    <row r="1791" spans="1:11" x14ac:dyDescent="0.3">
      <c r="A1791" s="1">
        <v>1790</v>
      </c>
      <c r="B1791" s="1" t="s">
        <v>5586</v>
      </c>
      <c r="C1791" s="1" t="s">
        <v>5587</v>
      </c>
      <c r="D1791" s="1" t="s">
        <v>5588</v>
      </c>
      <c r="F1791" s="1" t="s">
        <v>5589</v>
      </c>
      <c r="G1791" s="1">
        <v>1</v>
      </c>
      <c r="H1791" s="7">
        <v>45560</v>
      </c>
      <c r="I1791" s="1" t="s">
        <v>7455</v>
      </c>
      <c r="J1791" s="7">
        <v>45560</v>
      </c>
      <c r="K1791" s="1" t="s">
        <v>7455</v>
      </c>
    </row>
    <row r="1792" spans="1:11" ht="28.8" x14ac:dyDescent="0.3">
      <c r="A1792" s="1">
        <v>1791</v>
      </c>
      <c r="B1792" s="1" t="s">
        <v>5590</v>
      </c>
      <c r="C1792" s="1" t="s">
        <v>5591</v>
      </c>
      <c r="D1792" s="8" t="s">
        <v>5592</v>
      </c>
      <c r="F1792" s="1" t="s">
        <v>5593</v>
      </c>
      <c r="G1792" s="1">
        <v>1</v>
      </c>
      <c r="H1792" s="7">
        <v>45560</v>
      </c>
      <c r="I1792" s="1" t="s">
        <v>7455</v>
      </c>
      <c r="J1792" s="7">
        <v>45560</v>
      </c>
      <c r="K1792" s="1" t="s">
        <v>7455</v>
      </c>
    </row>
    <row r="1793" spans="1:11" x14ac:dyDescent="0.3">
      <c r="A1793" s="1">
        <v>1792</v>
      </c>
      <c r="B1793" s="1" t="s">
        <v>5594</v>
      </c>
      <c r="C1793" s="1" t="s">
        <v>5595</v>
      </c>
      <c r="D1793" s="1" t="s">
        <v>5596</v>
      </c>
      <c r="G1793" s="1">
        <v>1</v>
      </c>
      <c r="H1793" s="7">
        <v>45560</v>
      </c>
      <c r="I1793" s="1" t="s">
        <v>7455</v>
      </c>
      <c r="J1793" s="7">
        <v>45560</v>
      </c>
      <c r="K1793" s="1" t="s">
        <v>7455</v>
      </c>
    </row>
    <row r="1794" spans="1:11" x14ac:dyDescent="0.3">
      <c r="A1794" s="1">
        <v>1793</v>
      </c>
      <c r="B1794" s="1" t="s">
        <v>5597</v>
      </c>
      <c r="C1794" s="1" t="s">
        <v>5598</v>
      </c>
      <c r="D1794" s="1" t="s">
        <v>5599</v>
      </c>
      <c r="F1794" s="1" t="s">
        <v>5600</v>
      </c>
      <c r="G1794" s="1">
        <v>1</v>
      </c>
      <c r="H1794" s="7">
        <v>45560</v>
      </c>
      <c r="I1794" s="1" t="s">
        <v>7455</v>
      </c>
      <c r="J1794" s="7">
        <v>45560</v>
      </c>
      <c r="K1794" s="1" t="s">
        <v>7455</v>
      </c>
    </row>
    <row r="1795" spans="1:11" x14ac:dyDescent="0.3">
      <c r="A1795" s="1">
        <v>1794</v>
      </c>
      <c r="B1795" s="1" t="s">
        <v>5601</v>
      </c>
      <c r="C1795" s="1" t="s">
        <v>5602</v>
      </c>
      <c r="D1795" s="1" t="s">
        <v>5603</v>
      </c>
      <c r="F1795" s="1" t="s">
        <v>5604</v>
      </c>
      <c r="G1795" s="1">
        <v>1</v>
      </c>
      <c r="H1795" s="7">
        <v>45560</v>
      </c>
      <c r="I1795" s="1" t="s">
        <v>7455</v>
      </c>
      <c r="J1795" s="7">
        <v>45560</v>
      </c>
      <c r="K1795" s="1" t="s">
        <v>7455</v>
      </c>
    </row>
    <row r="1796" spans="1:11" x14ac:dyDescent="0.3">
      <c r="A1796" s="1">
        <v>1795</v>
      </c>
      <c r="B1796" s="1" t="s">
        <v>5605</v>
      </c>
      <c r="C1796" s="1" t="s">
        <v>5606</v>
      </c>
      <c r="D1796" s="1" t="s">
        <v>5607</v>
      </c>
      <c r="F1796" s="1" t="s">
        <v>5608</v>
      </c>
      <c r="G1796" s="1">
        <v>1</v>
      </c>
      <c r="H1796" s="7">
        <v>45560</v>
      </c>
      <c r="I1796" s="1" t="s">
        <v>7455</v>
      </c>
      <c r="J1796" s="7">
        <v>45560</v>
      </c>
      <c r="K1796" s="1" t="s">
        <v>7455</v>
      </c>
    </row>
    <row r="1797" spans="1:11" x14ac:dyDescent="0.3">
      <c r="A1797" s="1">
        <v>1796</v>
      </c>
      <c r="B1797" s="1" t="s">
        <v>5609</v>
      </c>
      <c r="C1797" s="1" t="s">
        <v>5610</v>
      </c>
      <c r="D1797" s="1" t="s">
        <v>5611</v>
      </c>
      <c r="F1797" s="1" t="s">
        <v>5612</v>
      </c>
      <c r="G1797" s="1">
        <v>1</v>
      </c>
      <c r="H1797" s="7">
        <v>45560</v>
      </c>
      <c r="I1797" s="1" t="s">
        <v>7455</v>
      </c>
      <c r="J1797" s="7">
        <v>45560</v>
      </c>
      <c r="K1797" s="1" t="s">
        <v>7455</v>
      </c>
    </row>
    <row r="1798" spans="1:11" x14ac:dyDescent="0.3">
      <c r="A1798" s="1">
        <v>1797</v>
      </c>
      <c r="B1798" s="1" t="s">
        <v>5613</v>
      </c>
      <c r="C1798" s="1" t="s">
        <v>5614</v>
      </c>
      <c r="D1798" s="1" t="s">
        <v>5615</v>
      </c>
      <c r="F1798" s="1" t="s">
        <v>5616</v>
      </c>
      <c r="G1798" s="1">
        <v>1</v>
      </c>
      <c r="H1798" s="7">
        <v>45560</v>
      </c>
      <c r="I1798" s="1" t="s">
        <v>7455</v>
      </c>
      <c r="J1798" s="7">
        <v>45560</v>
      </c>
      <c r="K1798" s="1" t="s">
        <v>7455</v>
      </c>
    </row>
    <row r="1799" spans="1:11" x14ac:dyDescent="0.3">
      <c r="A1799" s="1">
        <v>1798</v>
      </c>
      <c r="B1799" s="1" t="s">
        <v>5617</v>
      </c>
      <c r="C1799" s="1" t="s">
        <v>5618</v>
      </c>
      <c r="D1799" s="1" t="s">
        <v>5619</v>
      </c>
      <c r="F1799" s="1" t="s">
        <v>5620</v>
      </c>
      <c r="G1799" s="1">
        <v>1</v>
      </c>
      <c r="H1799" s="7">
        <v>45560</v>
      </c>
      <c r="I1799" s="1" t="s">
        <v>7455</v>
      </c>
      <c r="J1799" s="7">
        <v>45560</v>
      </c>
      <c r="K1799" s="1" t="s">
        <v>7455</v>
      </c>
    </row>
    <row r="1800" spans="1:11" x14ac:dyDescent="0.3">
      <c r="A1800" s="1">
        <v>1799</v>
      </c>
      <c r="B1800" s="1" t="s">
        <v>5621</v>
      </c>
      <c r="C1800" s="1" t="s">
        <v>5622</v>
      </c>
      <c r="D1800" s="1" t="s">
        <v>5623</v>
      </c>
      <c r="F1800" s="1" t="s">
        <v>5624</v>
      </c>
      <c r="G1800" s="1">
        <v>1</v>
      </c>
      <c r="H1800" s="7">
        <v>45560</v>
      </c>
      <c r="I1800" s="1" t="s">
        <v>7455</v>
      </c>
      <c r="J1800" s="7">
        <v>45560</v>
      </c>
      <c r="K1800" s="1" t="s">
        <v>7455</v>
      </c>
    </row>
    <row r="1801" spans="1:11" x14ac:dyDescent="0.3">
      <c r="A1801" s="1">
        <v>1800</v>
      </c>
      <c r="B1801" s="1" t="s">
        <v>5625</v>
      </c>
      <c r="C1801" s="1" t="s">
        <v>5626</v>
      </c>
      <c r="D1801" s="1" t="s">
        <v>5627</v>
      </c>
      <c r="F1801" s="1" t="s">
        <v>5628</v>
      </c>
      <c r="G1801" s="1">
        <v>1</v>
      </c>
      <c r="H1801" s="7">
        <v>45560</v>
      </c>
      <c r="I1801" s="1" t="s">
        <v>7455</v>
      </c>
      <c r="J1801" s="7">
        <v>45560</v>
      </c>
      <c r="K1801" s="1" t="s">
        <v>7455</v>
      </c>
    </row>
    <row r="1802" spans="1:11" x14ac:dyDescent="0.3">
      <c r="A1802" s="1">
        <v>1801</v>
      </c>
      <c r="B1802" s="1" t="s">
        <v>5629</v>
      </c>
      <c r="C1802" s="1" t="s">
        <v>5630</v>
      </c>
      <c r="D1802" s="1" t="s">
        <v>5631</v>
      </c>
      <c r="F1802" s="1" t="s">
        <v>5632</v>
      </c>
      <c r="G1802" s="1">
        <v>1</v>
      </c>
      <c r="H1802" s="7">
        <v>45560</v>
      </c>
      <c r="I1802" s="1" t="s">
        <v>7455</v>
      </c>
      <c r="J1802" s="7">
        <v>45560</v>
      </c>
      <c r="K1802" s="1" t="s">
        <v>7455</v>
      </c>
    </row>
    <row r="1803" spans="1:11" x14ac:dyDescent="0.3">
      <c r="A1803" s="1">
        <v>1802</v>
      </c>
      <c r="B1803" s="1" t="s">
        <v>5633</v>
      </c>
      <c r="C1803" s="1" t="s">
        <v>5634</v>
      </c>
      <c r="D1803" s="1" t="s">
        <v>5635</v>
      </c>
      <c r="F1803" s="1" t="s">
        <v>5636</v>
      </c>
      <c r="G1803" s="1">
        <v>1</v>
      </c>
      <c r="H1803" s="7">
        <v>45560</v>
      </c>
      <c r="I1803" s="1" t="s">
        <v>7455</v>
      </c>
      <c r="J1803" s="7">
        <v>45560</v>
      </c>
      <c r="K1803" s="1" t="s">
        <v>7455</v>
      </c>
    </row>
    <row r="1804" spans="1:11" x14ac:dyDescent="0.3">
      <c r="A1804" s="1">
        <v>1803</v>
      </c>
      <c r="B1804" s="1" t="s">
        <v>5637</v>
      </c>
      <c r="C1804" s="1" t="s">
        <v>5638</v>
      </c>
      <c r="E1804" s="1" t="s">
        <v>52</v>
      </c>
      <c r="G1804" s="1">
        <v>1</v>
      </c>
      <c r="H1804" s="7">
        <v>45560</v>
      </c>
      <c r="I1804" s="1" t="s">
        <v>7455</v>
      </c>
      <c r="J1804" s="7">
        <v>45560</v>
      </c>
      <c r="K1804" s="1" t="s">
        <v>7455</v>
      </c>
    </row>
    <row r="1805" spans="1:11" x14ac:dyDescent="0.3">
      <c r="A1805" s="1">
        <v>1804</v>
      </c>
      <c r="B1805" s="1" t="s">
        <v>5639</v>
      </c>
      <c r="C1805" s="1" t="s">
        <v>5640</v>
      </c>
      <c r="D1805" s="1" t="s">
        <v>5641</v>
      </c>
      <c r="F1805" s="1" t="s">
        <v>5642</v>
      </c>
      <c r="G1805" s="1">
        <v>1</v>
      </c>
      <c r="H1805" s="7">
        <v>45560</v>
      </c>
      <c r="I1805" s="1" t="s">
        <v>7455</v>
      </c>
      <c r="J1805" s="7">
        <v>45560</v>
      </c>
      <c r="K1805" s="1" t="s">
        <v>7455</v>
      </c>
    </row>
    <row r="1806" spans="1:11" x14ac:dyDescent="0.3">
      <c r="A1806" s="1">
        <v>1805</v>
      </c>
      <c r="B1806" s="1" t="s">
        <v>5643</v>
      </c>
      <c r="C1806" s="1" t="s">
        <v>5644</v>
      </c>
      <c r="D1806" s="1" t="s">
        <v>5645</v>
      </c>
      <c r="F1806" s="1" t="s">
        <v>5646</v>
      </c>
      <c r="G1806" s="1">
        <v>1</v>
      </c>
      <c r="H1806" s="7">
        <v>45560</v>
      </c>
      <c r="I1806" s="1" t="s">
        <v>7455</v>
      </c>
      <c r="J1806" s="7">
        <v>45560</v>
      </c>
      <c r="K1806" s="1" t="s">
        <v>7455</v>
      </c>
    </row>
    <row r="1807" spans="1:11" x14ac:dyDescent="0.3">
      <c r="A1807" s="1">
        <v>1806</v>
      </c>
      <c r="B1807" s="1" t="s">
        <v>5647</v>
      </c>
      <c r="C1807" s="1" t="s">
        <v>5648</v>
      </c>
      <c r="D1807" s="1" t="s">
        <v>5649</v>
      </c>
      <c r="F1807" s="1" t="s">
        <v>5650</v>
      </c>
      <c r="G1807" s="1">
        <v>1</v>
      </c>
      <c r="H1807" s="7">
        <v>45560</v>
      </c>
      <c r="I1807" s="1" t="s">
        <v>7455</v>
      </c>
      <c r="J1807" s="7">
        <v>45560</v>
      </c>
      <c r="K1807" s="1" t="s">
        <v>7455</v>
      </c>
    </row>
    <row r="1808" spans="1:11" x14ac:dyDescent="0.3">
      <c r="A1808" s="1">
        <v>1807</v>
      </c>
      <c r="B1808" s="1" t="s">
        <v>5651</v>
      </c>
      <c r="C1808" s="1" t="s">
        <v>5652</v>
      </c>
      <c r="D1808" s="1" t="s">
        <v>5653</v>
      </c>
      <c r="F1808" s="1" t="s">
        <v>5654</v>
      </c>
      <c r="G1808" s="1">
        <v>1</v>
      </c>
      <c r="H1808" s="7">
        <v>45560</v>
      </c>
      <c r="I1808" s="1" t="s">
        <v>7455</v>
      </c>
      <c r="J1808" s="7">
        <v>45560</v>
      </c>
      <c r="K1808" s="1" t="s">
        <v>7455</v>
      </c>
    </row>
    <row r="1809" spans="1:11" x14ac:dyDescent="0.3">
      <c r="A1809" s="1">
        <v>1808</v>
      </c>
      <c r="B1809" s="1" t="s">
        <v>5655</v>
      </c>
      <c r="C1809" s="1" t="s">
        <v>5656</v>
      </c>
      <c r="D1809" s="1" t="s">
        <v>5657</v>
      </c>
      <c r="F1809" s="1" t="s">
        <v>5658</v>
      </c>
      <c r="G1809" s="1">
        <v>1</v>
      </c>
      <c r="H1809" s="7">
        <v>45560</v>
      </c>
      <c r="I1809" s="1" t="s">
        <v>7455</v>
      </c>
      <c r="J1809" s="7">
        <v>45560</v>
      </c>
      <c r="K1809" s="1" t="s">
        <v>7455</v>
      </c>
    </row>
    <row r="1810" spans="1:11" x14ac:dyDescent="0.3">
      <c r="A1810" s="1">
        <v>1809</v>
      </c>
      <c r="B1810" s="1" t="s">
        <v>5659</v>
      </c>
      <c r="C1810" s="1" t="s">
        <v>5660</v>
      </c>
      <c r="D1810" s="1" t="s">
        <v>5661</v>
      </c>
      <c r="F1810" s="1" t="s">
        <v>5662</v>
      </c>
      <c r="G1810" s="1">
        <v>1</v>
      </c>
      <c r="H1810" s="7">
        <v>45560</v>
      </c>
      <c r="I1810" s="1" t="s">
        <v>7455</v>
      </c>
      <c r="J1810" s="7">
        <v>45560</v>
      </c>
      <c r="K1810" s="1" t="s">
        <v>7455</v>
      </c>
    </row>
    <row r="1811" spans="1:11" x14ac:dyDescent="0.3">
      <c r="A1811" s="1">
        <v>1810</v>
      </c>
      <c r="B1811" s="1" t="s">
        <v>5663</v>
      </c>
      <c r="C1811" s="1" t="s">
        <v>5664</v>
      </c>
      <c r="D1811" s="1" t="s">
        <v>5665</v>
      </c>
      <c r="F1811" s="1" t="s">
        <v>5666</v>
      </c>
      <c r="G1811" s="1">
        <v>1</v>
      </c>
      <c r="H1811" s="7">
        <v>45560</v>
      </c>
      <c r="I1811" s="1" t="s">
        <v>7455</v>
      </c>
      <c r="J1811" s="7">
        <v>45560</v>
      </c>
      <c r="K1811" s="1" t="s">
        <v>7455</v>
      </c>
    </row>
    <row r="1812" spans="1:11" x14ac:dyDescent="0.3">
      <c r="A1812" s="1">
        <v>1811</v>
      </c>
      <c r="B1812" s="1" t="s">
        <v>5667</v>
      </c>
      <c r="C1812" s="1" t="s">
        <v>5668</v>
      </c>
      <c r="D1812" s="1" t="s">
        <v>5669</v>
      </c>
      <c r="F1812" s="1" t="s">
        <v>5670</v>
      </c>
      <c r="G1812" s="1">
        <v>1</v>
      </c>
      <c r="H1812" s="7">
        <v>45560</v>
      </c>
      <c r="I1812" s="1" t="s">
        <v>7455</v>
      </c>
      <c r="J1812" s="7">
        <v>45560</v>
      </c>
      <c r="K1812" s="1" t="s">
        <v>7455</v>
      </c>
    </row>
    <row r="1813" spans="1:11" x14ac:dyDescent="0.3">
      <c r="A1813" s="1">
        <v>1812</v>
      </c>
      <c r="B1813" s="1" t="s">
        <v>5671</v>
      </c>
      <c r="C1813" s="1" t="s">
        <v>5672</v>
      </c>
      <c r="D1813" s="1" t="s">
        <v>5673</v>
      </c>
      <c r="F1813" s="1" t="s">
        <v>5674</v>
      </c>
      <c r="G1813" s="1">
        <v>1</v>
      </c>
      <c r="H1813" s="7">
        <v>45560</v>
      </c>
      <c r="I1813" s="1" t="s">
        <v>7455</v>
      </c>
      <c r="J1813" s="7">
        <v>45560</v>
      </c>
      <c r="K1813" s="1" t="s">
        <v>7455</v>
      </c>
    </row>
    <row r="1814" spans="1:11" x14ac:dyDescent="0.3">
      <c r="A1814" s="1">
        <v>1813</v>
      </c>
      <c r="B1814" s="1" t="s">
        <v>5675</v>
      </c>
      <c r="C1814" s="1" t="s">
        <v>5676</v>
      </c>
      <c r="D1814" s="1" t="s">
        <v>5677</v>
      </c>
      <c r="F1814" s="1" t="s">
        <v>5678</v>
      </c>
      <c r="G1814" s="1">
        <v>1</v>
      </c>
      <c r="H1814" s="7">
        <v>45560</v>
      </c>
      <c r="I1814" s="1" t="s">
        <v>7455</v>
      </c>
      <c r="J1814" s="7">
        <v>45560</v>
      </c>
      <c r="K1814" s="1" t="s">
        <v>7455</v>
      </c>
    </row>
    <row r="1815" spans="1:11" x14ac:dyDescent="0.3">
      <c r="A1815" s="1">
        <v>1814</v>
      </c>
      <c r="B1815" s="1" t="s">
        <v>5679</v>
      </c>
      <c r="C1815" s="1" t="s">
        <v>5680</v>
      </c>
      <c r="E1815" s="1" t="s">
        <v>52</v>
      </c>
      <c r="G1815" s="1">
        <v>1</v>
      </c>
      <c r="H1815" s="7">
        <v>45560</v>
      </c>
      <c r="I1815" s="1" t="s">
        <v>7455</v>
      </c>
      <c r="J1815" s="7">
        <v>45560</v>
      </c>
      <c r="K1815" s="1" t="s">
        <v>7455</v>
      </c>
    </row>
    <row r="1816" spans="1:11" x14ac:dyDescent="0.3">
      <c r="A1816" s="1">
        <v>1815</v>
      </c>
      <c r="B1816" s="1" t="s">
        <v>5681</v>
      </c>
      <c r="C1816" s="1" t="s">
        <v>5682</v>
      </c>
      <c r="D1816" s="1" t="s">
        <v>5683</v>
      </c>
      <c r="F1816" s="1" t="s">
        <v>5684</v>
      </c>
      <c r="G1816" s="1">
        <v>1</v>
      </c>
      <c r="H1816" s="7">
        <v>45560</v>
      </c>
      <c r="I1816" s="1" t="s">
        <v>7455</v>
      </c>
      <c r="J1816" s="7">
        <v>45560</v>
      </c>
      <c r="K1816" s="1" t="s">
        <v>7455</v>
      </c>
    </row>
    <row r="1817" spans="1:11" x14ac:dyDescent="0.3">
      <c r="A1817" s="1">
        <v>1816</v>
      </c>
      <c r="B1817" s="1" t="s">
        <v>5685</v>
      </c>
      <c r="C1817" s="1" t="s">
        <v>5686</v>
      </c>
      <c r="D1817" s="1" t="s">
        <v>5687</v>
      </c>
      <c r="F1817" s="1" t="s">
        <v>5688</v>
      </c>
      <c r="G1817" s="1">
        <v>1</v>
      </c>
      <c r="H1817" s="7">
        <v>45560</v>
      </c>
      <c r="I1817" s="1" t="s">
        <v>7455</v>
      </c>
      <c r="J1817" s="7">
        <v>45560</v>
      </c>
      <c r="K1817" s="1" t="s">
        <v>7455</v>
      </c>
    </row>
    <row r="1818" spans="1:11" x14ac:dyDescent="0.3">
      <c r="A1818" s="1">
        <v>1817</v>
      </c>
      <c r="B1818" s="1" t="s">
        <v>5689</v>
      </c>
      <c r="C1818" s="1" t="s">
        <v>5690</v>
      </c>
      <c r="D1818" s="1" t="s">
        <v>5691</v>
      </c>
      <c r="F1818" s="1" t="s">
        <v>5692</v>
      </c>
      <c r="G1818" s="1">
        <v>1</v>
      </c>
      <c r="H1818" s="7">
        <v>45560</v>
      </c>
      <c r="I1818" s="1" t="s">
        <v>7455</v>
      </c>
      <c r="J1818" s="7">
        <v>45560</v>
      </c>
      <c r="K1818" s="1" t="s">
        <v>7455</v>
      </c>
    </row>
    <row r="1819" spans="1:11" x14ac:dyDescent="0.3">
      <c r="A1819" s="1">
        <v>1818</v>
      </c>
      <c r="B1819" s="1" t="s">
        <v>5693</v>
      </c>
      <c r="C1819" s="1" t="s">
        <v>5694</v>
      </c>
      <c r="D1819" s="1" t="s">
        <v>5695</v>
      </c>
      <c r="F1819" s="1" t="s">
        <v>5696</v>
      </c>
      <c r="G1819" s="1">
        <v>1</v>
      </c>
      <c r="H1819" s="7">
        <v>45560</v>
      </c>
      <c r="I1819" s="1" t="s">
        <v>7455</v>
      </c>
      <c r="J1819" s="7">
        <v>45560</v>
      </c>
      <c r="K1819" s="1" t="s">
        <v>7455</v>
      </c>
    </row>
    <row r="1820" spans="1:11" x14ac:dyDescent="0.3">
      <c r="A1820" s="1">
        <v>1819</v>
      </c>
      <c r="B1820" s="1" t="s">
        <v>5697</v>
      </c>
      <c r="C1820" s="1" t="s">
        <v>5698</v>
      </c>
      <c r="D1820" s="1" t="s">
        <v>5699</v>
      </c>
      <c r="F1820" s="1" t="s">
        <v>5700</v>
      </c>
      <c r="G1820" s="1">
        <v>1</v>
      </c>
      <c r="H1820" s="7">
        <v>45560</v>
      </c>
      <c r="I1820" s="1" t="s">
        <v>7455</v>
      </c>
      <c r="J1820" s="7">
        <v>45560</v>
      </c>
      <c r="K1820" s="1" t="s">
        <v>7455</v>
      </c>
    </row>
    <row r="1821" spans="1:11" x14ac:dyDescent="0.3">
      <c r="A1821" s="1">
        <v>1820</v>
      </c>
      <c r="B1821" s="1" t="s">
        <v>5701</v>
      </c>
      <c r="C1821" s="1" t="s">
        <v>5702</v>
      </c>
      <c r="D1821" s="1" t="s">
        <v>5703</v>
      </c>
      <c r="F1821" s="1" t="s">
        <v>5704</v>
      </c>
      <c r="G1821" s="1">
        <v>1</v>
      </c>
      <c r="H1821" s="7">
        <v>45560</v>
      </c>
      <c r="I1821" s="1" t="s">
        <v>7455</v>
      </c>
      <c r="J1821" s="7">
        <v>45560</v>
      </c>
      <c r="K1821" s="1" t="s">
        <v>7455</v>
      </c>
    </row>
    <row r="1822" spans="1:11" x14ac:dyDescent="0.3">
      <c r="A1822" s="1">
        <v>1821</v>
      </c>
      <c r="B1822" s="1" t="s">
        <v>5705</v>
      </c>
      <c r="C1822" s="1" t="s">
        <v>5706</v>
      </c>
      <c r="D1822" s="1" t="s">
        <v>5707</v>
      </c>
      <c r="F1822" s="1" t="s">
        <v>5708</v>
      </c>
      <c r="G1822" s="1">
        <v>1</v>
      </c>
      <c r="H1822" s="7">
        <v>45560</v>
      </c>
      <c r="I1822" s="1" t="s">
        <v>7455</v>
      </c>
      <c r="J1822" s="7">
        <v>45560</v>
      </c>
      <c r="K1822" s="1" t="s">
        <v>7455</v>
      </c>
    </row>
    <row r="1823" spans="1:11" x14ac:dyDescent="0.3">
      <c r="A1823" s="1">
        <v>1822</v>
      </c>
      <c r="B1823" s="1" t="s">
        <v>5709</v>
      </c>
      <c r="C1823" s="1" t="s">
        <v>5710</v>
      </c>
      <c r="D1823" s="1" t="s">
        <v>5711</v>
      </c>
      <c r="F1823" s="1" t="s">
        <v>5712</v>
      </c>
      <c r="G1823" s="1">
        <v>1</v>
      </c>
      <c r="H1823" s="7">
        <v>45560</v>
      </c>
      <c r="I1823" s="1" t="s">
        <v>7455</v>
      </c>
      <c r="J1823" s="7">
        <v>45560</v>
      </c>
      <c r="K1823" s="1" t="s">
        <v>7455</v>
      </c>
    </row>
    <row r="1824" spans="1:11" x14ac:dyDescent="0.3">
      <c r="A1824" s="1">
        <v>1823</v>
      </c>
      <c r="B1824" s="1" t="s">
        <v>5713</v>
      </c>
      <c r="C1824" s="1" t="s">
        <v>5714</v>
      </c>
      <c r="D1824" s="1" t="s">
        <v>5715</v>
      </c>
      <c r="F1824" s="1" t="s">
        <v>5716</v>
      </c>
      <c r="G1824" s="1">
        <v>1</v>
      </c>
      <c r="H1824" s="7">
        <v>45560</v>
      </c>
      <c r="I1824" s="1" t="s">
        <v>7455</v>
      </c>
      <c r="J1824" s="7">
        <v>45560</v>
      </c>
      <c r="K1824" s="1" t="s">
        <v>7455</v>
      </c>
    </row>
    <row r="1825" spans="1:11" x14ac:dyDescent="0.3">
      <c r="A1825" s="1">
        <v>1824</v>
      </c>
      <c r="B1825" s="1" t="s">
        <v>5717</v>
      </c>
      <c r="C1825" s="1" t="s">
        <v>5718</v>
      </c>
      <c r="D1825" s="1" t="s">
        <v>5719</v>
      </c>
      <c r="F1825" s="1" t="s">
        <v>5720</v>
      </c>
      <c r="G1825" s="1">
        <v>1</v>
      </c>
      <c r="H1825" s="7">
        <v>45560</v>
      </c>
      <c r="I1825" s="1" t="s">
        <v>7455</v>
      </c>
      <c r="J1825" s="7">
        <v>45560</v>
      </c>
      <c r="K1825" s="1" t="s">
        <v>7455</v>
      </c>
    </row>
    <row r="1826" spans="1:11" x14ac:dyDescent="0.3">
      <c r="A1826" s="1">
        <v>1825</v>
      </c>
      <c r="B1826" s="1" t="s">
        <v>5721</v>
      </c>
      <c r="C1826" s="1" t="s">
        <v>5722</v>
      </c>
      <c r="E1826" s="1" t="s">
        <v>52</v>
      </c>
      <c r="G1826" s="1">
        <v>1</v>
      </c>
      <c r="H1826" s="7">
        <v>45560</v>
      </c>
      <c r="I1826" s="1" t="s">
        <v>7455</v>
      </c>
      <c r="J1826" s="7">
        <v>45560</v>
      </c>
      <c r="K1826" s="1" t="s">
        <v>7455</v>
      </c>
    </row>
    <row r="1827" spans="1:11" x14ac:dyDescent="0.3">
      <c r="A1827" s="1">
        <v>1826</v>
      </c>
      <c r="B1827" s="1" t="s">
        <v>5723</v>
      </c>
      <c r="C1827" s="1" t="s">
        <v>5724</v>
      </c>
      <c r="D1827" s="1" t="s">
        <v>5725</v>
      </c>
      <c r="F1827" s="1" t="s">
        <v>5726</v>
      </c>
      <c r="G1827" s="1">
        <v>1</v>
      </c>
      <c r="H1827" s="7">
        <v>45560</v>
      </c>
      <c r="I1827" s="1" t="s">
        <v>7455</v>
      </c>
      <c r="J1827" s="7">
        <v>45560</v>
      </c>
      <c r="K1827" s="1" t="s">
        <v>7455</v>
      </c>
    </row>
    <row r="1828" spans="1:11" x14ac:dyDescent="0.3">
      <c r="A1828" s="1">
        <v>1827</v>
      </c>
      <c r="B1828" s="1" t="s">
        <v>5727</v>
      </c>
      <c r="C1828" s="1" t="s">
        <v>5728</v>
      </c>
      <c r="D1828" s="1" t="s">
        <v>5729</v>
      </c>
      <c r="F1828" s="1" t="s">
        <v>5730</v>
      </c>
      <c r="G1828" s="1">
        <v>1</v>
      </c>
      <c r="H1828" s="7">
        <v>45560</v>
      </c>
      <c r="I1828" s="1" t="s">
        <v>7455</v>
      </c>
      <c r="J1828" s="7">
        <v>45560</v>
      </c>
      <c r="K1828" s="1" t="s">
        <v>7455</v>
      </c>
    </row>
    <row r="1829" spans="1:11" x14ac:dyDescent="0.3">
      <c r="A1829" s="1">
        <v>1828</v>
      </c>
      <c r="B1829" s="1" t="s">
        <v>5731</v>
      </c>
      <c r="C1829" s="1" t="s">
        <v>5732</v>
      </c>
      <c r="D1829" s="1" t="s">
        <v>5733</v>
      </c>
      <c r="F1829" s="1" t="s">
        <v>5734</v>
      </c>
      <c r="G1829" s="1">
        <v>1</v>
      </c>
      <c r="H1829" s="7">
        <v>45560</v>
      </c>
      <c r="I1829" s="1" t="s">
        <v>7455</v>
      </c>
      <c r="J1829" s="7">
        <v>45560</v>
      </c>
      <c r="K1829" s="1" t="s">
        <v>7455</v>
      </c>
    </row>
    <row r="1830" spans="1:11" x14ac:dyDescent="0.3">
      <c r="A1830" s="1">
        <v>1829</v>
      </c>
      <c r="B1830" s="1" t="s">
        <v>5735</v>
      </c>
      <c r="C1830" s="1" t="s">
        <v>5736</v>
      </c>
      <c r="D1830" s="1" t="s">
        <v>5737</v>
      </c>
      <c r="F1830" s="1" t="s">
        <v>5738</v>
      </c>
      <c r="G1830" s="1">
        <v>1</v>
      </c>
      <c r="H1830" s="7">
        <v>45560</v>
      </c>
      <c r="I1830" s="1" t="s">
        <v>7455</v>
      </c>
      <c r="J1830" s="7">
        <v>45560</v>
      </c>
      <c r="K1830" s="1" t="s">
        <v>7455</v>
      </c>
    </row>
    <row r="1831" spans="1:11" x14ac:dyDescent="0.3">
      <c r="A1831" s="1">
        <v>1830</v>
      </c>
      <c r="B1831" s="1" t="s">
        <v>5739</v>
      </c>
      <c r="C1831" s="1" t="s">
        <v>5740</v>
      </c>
      <c r="D1831" s="1" t="s">
        <v>5741</v>
      </c>
      <c r="F1831" s="1" t="s">
        <v>5742</v>
      </c>
      <c r="G1831" s="1">
        <v>1</v>
      </c>
      <c r="H1831" s="7">
        <v>45560</v>
      </c>
      <c r="I1831" s="1" t="s">
        <v>7455</v>
      </c>
      <c r="J1831" s="7">
        <v>45560</v>
      </c>
      <c r="K1831" s="1" t="s">
        <v>7455</v>
      </c>
    </row>
    <row r="1832" spans="1:11" x14ac:dyDescent="0.3">
      <c r="A1832" s="1">
        <v>1831</v>
      </c>
      <c r="B1832" s="1" t="s">
        <v>5743</v>
      </c>
      <c r="C1832" s="1" t="s">
        <v>5744</v>
      </c>
      <c r="D1832" s="1" t="s">
        <v>5745</v>
      </c>
      <c r="F1832" s="1" t="s">
        <v>5746</v>
      </c>
      <c r="G1832" s="1">
        <v>1</v>
      </c>
      <c r="H1832" s="7">
        <v>45560</v>
      </c>
      <c r="I1832" s="1" t="s">
        <v>7455</v>
      </c>
      <c r="J1832" s="7">
        <v>45560</v>
      </c>
      <c r="K1832" s="1" t="s">
        <v>7455</v>
      </c>
    </row>
    <row r="1833" spans="1:11" x14ac:dyDescent="0.3">
      <c r="A1833" s="1">
        <v>1832</v>
      </c>
      <c r="B1833" s="1" t="s">
        <v>5747</v>
      </c>
      <c r="C1833" s="1" t="s">
        <v>5748</v>
      </c>
      <c r="D1833" s="1" t="s">
        <v>5749</v>
      </c>
      <c r="F1833" s="1" t="s">
        <v>5750</v>
      </c>
      <c r="G1833" s="1">
        <v>1</v>
      </c>
      <c r="H1833" s="7">
        <v>45560</v>
      </c>
      <c r="I1833" s="1" t="s">
        <v>7455</v>
      </c>
      <c r="J1833" s="7">
        <v>45560</v>
      </c>
      <c r="K1833" s="1" t="s">
        <v>7455</v>
      </c>
    </row>
    <row r="1834" spans="1:11" x14ac:dyDescent="0.3">
      <c r="A1834" s="1">
        <v>1833</v>
      </c>
      <c r="B1834" s="1" t="s">
        <v>5751</v>
      </c>
      <c r="C1834" s="1" t="s">
        <v>5752</v>
      </c>
      <c r="D1834" s="1" t="s">
        <v>5753</v>
      </c>
      <c r="F1834" s="1" t="s">
        <v>5754</v>
      </c>
      <c r="G1834" s="1">
        <v>1</v>
      </c>
      <c r="H1834" s="7">
        <v>45560</v>
      </c>
      <c r="I1834" s="1" t="s">
        <v>7455</v>
      </c>
      <c r="J1834" s="7">
        <v>45560</v>
      </c>
      <c r="K1834" s="1" t="s">
        <v>7455</v>
      </c>
    </row>
    <row r="1835" spans="1:11" x14ac:dyDescent="0.3">
      <c r="A1835" s="1">
        <v>1834</v>
      </c>
      <c r="B1835" s="1" t="s">
        <v>5755</v>
      </c>
      <c r="C1835" s="1" t="s">
        <v>5756</v>
      </c>
      <c r="D1835" s="1" t="s">
        <v>5757</v>
      </c>
      <c r="F1835" s="1" t="s">
        <v>5758</v>
      </c>
      <c r="G1835" s="1">
        <v>1</v>
      </c>
      <c r="H1835" s="7">
        <v>45560</v>
      </c>
      <c r="I1835" s="1" t="s">
        <v>7455</v>
      </c>
      <c r="J1835" s="7">
        <v>45560</v>
      </c>
      <c r="K1835" s="1" t="s">
        <v>7455</v>
      </c>
    </row>
    <row r="1836" spans="1:11" x14ac:dyDescent="0.3">
      <c r="A1836" s="1">
        <v>1835</v>
      </c>
      <c r="B1836" s="1" t="s">
        <v>5759</v>
      </c>
      <c r="C1836" s="1" t="s">
        <v>5760</v>
      </c>
      <c r="D1836" s="1" t="s">
        <v>109</v>
      </c>
      <c r="F1836" s="1" t="s">
        <v>5761</v>
      </c>
      <c r="G1836" s="1">
        <v>1</v>
      </c>
      <c r="H1836" s="7">
        <v>45560</v>
      </c>
      <c r="I1836" s="1" t="s">
        <v>7455</v>
      </c>
      <c r="J1836" s="7">
        <v>45560</v>
      </c>
      <c r="K1836" s="1" t="s">
        <v>7455</v>
      </c>
    </row>
    <row r="1837" spans="1:11" x14ac:dyDescent="0.3">
      <c r="A1837" s="1">
        <v>1836</v>
      </c>
      <c r="B1837" s="1" t="s">
        <v>5762</v>
      </c>
      <c r="C1837" s="1" t="s">
        <v>5763</v>
      </c>
      <c r="E1837" s="1" t="s">
        <v>52</v>
      </c>
      <c r="G1837" s="1">
        <v>1</v>
      </c>
      <c r="H1837" s="7">
        <v>45560</v>
      </c>
      <c r="I1837" s="1" t="s">
        <v>7455</v>
      </c>
      <c r="J1837" s="7">
        <v>45560</v>
      </c>
      <c r="K1837" s="1" t="s">
        <v>7455</v>
      </c>
    </row>
    <row r="1838" spans="1:11" x14ac:dyDescent="0.3">
      <c r="A1838" s="1">
        <v>1837</v>
      </c>
      <c r="B1838" s="1" t="s">
        <v>5764</v>
      </c>
      <c r="C1838" s="1" t="s">
        <v>5765</v>
      </c>
      <c r="D1838" s="1" t="s">
        <v>109</v>
      </c>
      <c r="F1838" s="1" t="s">
        <v>5766</v>
      </c>
      <c r="G1838" s="1">
        <v>1</v>
      </c>
      <c r="H1838" s="7">
        <v>45560</v>
      </c>
      <c r="I1838" s="1" t="s">
        <v>7455</v>
      </c>
      <c r="J1838" s="7">
        <v>45560</v>
      </c>
      <c r="K1838" s="1" t="s">
        <v>7455</v>
      </c>
    </row>
    <row r="1839" spans="1:11" x14ac:dyDescent="0.3">
      <c r="A1839" s="1">
        <v>1838</v>
      </c>
      <c r="B1839" s="1" t="s">
        <v>5767</v>
      </c>
      <c r="C1839" s="1" t="s">
        <v>5768</v>
      </c>
      <c r="D1839" s="1" t="s">
        <v>5769</v>
      </c>
      <c r="F1839" s="1" t="s">
        <v>5770</v>
      </c>
      <c r="G1839" s="1">
        <v>1</v>
      </c>
      <c r="H1839" s="7">
        <v>45560</v>
      </c>
      <c r="I1839" s="1" t="s">
        <v>7455</v>
      </c>
      <c r="J1839" s="7">
        <v>45560</v>
      </c>
      <c r="K1839" s="1" t="s">
        <v>7455</v>
      </c>
    </row>
    <row r="1840" spans="1:11" x14ac:dyDescent="0.3">
      <c r="A1840" s="1">
        <v>1839</v>
      </c>
      <c r="B1840" s="1" t="s">
        <v>5771</v>
      </c>
      <c r="C1840" s="1" t="s">
        <v>5772</v>
      </c>
      <c r="D1840" s="1" t="s">
        <v>5773</v>
      </c>
      <c r="F1840" s="1" t="s">
        <v>5774</v>
      </c>
      <c r="G1840" s="1">
        <v>1</v>
      </c>
      <c r="H1840" s="7">
        <v>45560</v>
      </c>
      <c r="I1840" s="1" t="s">
        <v>7455</v>
      </c>
      <c r="J1840" s="7">
        <v>45560</v>
      </c>
      <c r="K1840" s="1" t="s">
        <v>7455</v>
      </c>
    </row>
    <row r="1841" spans="1:11" x14ac:dyDescent="0.3">
      <c r="A1841" s="1">
        <v>1840</v>
      </c>
      <c r="B1841" s="1" t="s">
        <v>5775</v>
      </c>
      <c r="C1841" s="1" t="s">
        <v>5776</v>
      </c>
      <c r="D1841" s="1" t="s">
        <v>5777</v>
      </c>
      <c r="F1841" s="1" t="s">
        <v>5778</v>
      </c>
      <c r="G1841" s="1">
        <v>1</v>
      </c>
      <c r="H1841" s="7">
        <v>45560</v>
      </c>
      <c r="I1841" s="1" t="s">
        <v>7455</v>
      </c>
      <c r="J1841" s="7">
        <v>45560</v>
      </c>
      <c r="K1841" s="1" t="s">
        <v>7455</v>
      </c>
    </row>
    <row r="1842" spans="1:11" x14ac:dyDescent="0.3">
      <c r="A1842" s="1">
        <v>1841</v>
      </c>
      <c r="B1842" s="1" t="s">
        <v>5779</v>
      </c>
      <c r="C1842" s="1" t="s">
        <v>5780</v>
      </c>
      <c r="D1842" s="1" t="s">
        <v>5781</v>
      </c>
      <c r="F1842" s="1" t="s">
        <v>5782</v>
      </c>
      <c r="G1842" s="1">
        <v>1</v>
      </c>
      <c r="H1842" s="7">
        <v>45560</v>
      </c>
      <c r="I1842" s="1" t="s">
        <v>7455</v>
      </c>
      <c r="J1842" s="7">
        <v>45560</v>
      </c>
      <c r="K1842" s="1" t="s">
        <v>7455</v>
      </c>
    </row>
    <row r="1843" spans="1:11" x14ac:dyDescent="0.3">
      <c r="A1843" s="1">
        <v>1842</v>
      </c>
      <c r="B1843" s="1" t="s">
        <v>5783</v>
      </c>
      <c r="C1843" s="1" t="s">
        <v>5784</v>
      </c>
      <c r="D1843" s="1" t="s">
        <v>5785</v>
      </c>
      <c r="F1843" s="1" t="s">
        <v>5786</v>
      </c>
      <c r="G1843" s="1">
        <v>1</v>
      </c>
      <c r="H1843" s="7">
        <v>45560</v>
      </c>
      <c r="I1843" s="1" t="s">
        <v>7455</v>
      </c>
      <c r="J1843" s="7">
        <v>45560</v>
      </c>
      <c r="K1843" s="1" t="s">
        <v>7455</v>
      </c>
    </row>
    <row r="1844" spans="1:11" x14ac:dyDescent="0.3">
      <c r="A1844" s="1">
        <v>1843</v>
      </c>
      <c r="B1844" s="1" t="s">
        <v>5787</v>
      </c>
      <c r="C1844" s="1" t="s">
        <v>5788</v>
      </c>
      <c r="D1844" s="1" t="s">
        <v>5789</v>
      </c>
      <c r="F1844" s="1" t="s">
        <v>5790</v>
      </c>
      <c r="G1844" s="1">
        <v>1</v>
      </c>
      <c r="H1844" s="7">
        <v>45560</v>
      </c>
      <c r="I1844" s="1" t="s">
        <v>7455</v>
      </c>
      <c r="J1844" s="7">
        <v>45560</v>
      </c>
      <c r="K1844" s="1" t="s">
        <v>7455</v>
      </c>
    </row>
    <row r="1845" spans="1:11" x14ac:dyDescent="0.3">
      <c r="A1845" s="1">
        <v>1844</v>
      </c>
      <c r="B1845" s="1" t="s">
        <v>5791</v>
      </c>
      <c r="C1845" s="1" t="s">
        <v>5792</v>
      </c>
      <c r="D1845" s="1" t="s">
        <v>5793</v>
      </c>
      <c r="F1845" s="1" t="s">
        <v>5794</v>
      </c>
      <c r="G1845" s="1">
        <v>1</v>
      </c>
      <c r="H1845" s="7">
        <v>45560</v>
      </c>
      <c r="I1845" s="1" t="s">
        <v>7455</v>
      </c>
      <c r="J1845" s="7">
        <v>45560</v>
      </c>
      <c r="K1845" s="1" t="s">
        <v>7455</v>
      </c>
    </row>
    <row r="1846" spans="1:11" x14ac:dyDescent="0.3">
      <c r="A1846" s="1">
        <v>1845</v>
      </c>
      <c r="B1846" s="1" t="s">
        <v>5795</v>
      </c>
      <c r="C1846" s="1" t="s">
        <v>5796</v>
      </c>
      <c r="D1846" s="1" t="s">
        <v>5797</v>
      </c>
      <c r="F1846" s="1" t="s">
        <v>5798</v>
      </c>
      <c r="G1846" s="1">
        <v>1</v>
      </c>
      <c r="H1846" s="7">
        <v>45560</v>
      </c>
      <c r="I1846" s="1" t="s">
        <v>7455</v>
      </c>
      <c r="J1846" s="7">
        <v>45560</v>
      </c>
      <c r="K1846" s="1" t="s">
        <v>7455</v>
      </c>
    </row>
    <row r="1847" spans="1:11" x14ac:dyDescent="0.3">
      <c r="A1847" s="1">
        <v>1846</v>
      </c>
      <c r="B1847" s="1" t="s">
        <v>5799</v>
      </c>
      <c r="C1847" s="1" t="s">
        <v>5800</v>
      </c>
      <c r="D1847" s="1" t="s">
        <v>5801</v>
      </c>
      <c r="F1847" s="1" t="s">
        <v>5802</v>
      </c>
      <c r="G1847" s="1">
        <v>1</v>
      </c>
      <c r="H1847" s="7">
        <v>45560</v>
      </c>
      <c r="I1847" s="1" t="s">
        <v>7455</v>
      </c>
      <c r="J1847" s="7">
        <v>45560</v>
      </c>
      <c r="K1847" s="1" t="s">
        <v>7455</v>
      </c>
    </row>
    <row r="1848" spans="1:11" x14ac:dyDescent="0.3">
      <c r="A1848" s="1">
        <v>1847</v>
      </c>
      <c r="B1848" s="1" t="s">
        <v>5803</v>
      </c>
      <c r="C1848" s="1" t="s">
        <v>5804</v>
      </c>
      <c r="D1848" s="1" t="s">
        <v>5805</v>
      </c>
      <c r="F1848" s="1" t="s">
        <v>5806</v>
      </c>
      <c r="G1848" s="1">
        <v>1</v>
      </c>
      <c r="H1848" s="7">
        <v>45560</v>
      </c>
      <c r="I1848" s="1" t="s">
        <v>7455</v>
      </c>
      <c r="J1848" s="7">
        <v>45560</v>
      </c>
      <c r="K1848" s="1" t="s">
        <v>7455</v>
      </c>
    </row>
    <row r="1849" spans="1:11" x14ac:dyDescent="0.3">
      <c r="A1849" s="1">
        <v>1848</v>
      </c>
      <c r="B1849" s="1" t="s">
        <v>5807</v>
      </c>
      <c r="C1849" s="1" t="s">
        <v>5808</v>
      </c>
      <c r="E1849" s="1" t="s">
        <v>52</v>
      </c>
      <c r="G1849" s="1">
        <v>1</v>
      </c>
      <c r="H1849" s="7">
        <v>45560</v>
      </c>
      <c r="I1849" s="1" t="s">
        <v>7455</v>
      </c>
      <c r="J1849" s="7">
        <v>45560</v>
      </c>
      <c r="K1849" s="1" t="s">
        <v>7455</v>
      </c>
    </row>
    <row r="1850" spans="1:11" x14ac:dyDescent="0.3">
      <c r="A1850" s="1">
        <v>1849</v>
      </c>
      <c r="B1850" s="1" t="s">
        <v>5809</v>
      </c>
      <c r="C1850" s="1" t="s">
        <v>5810</v>
      </c>
      <c r="D1850" s="1" t="s">
        <v>5811</v>
      </c>
      <c r="G1850" s="1">
        <v>1</v>
      </c>
      <c r="H1850" s="7">
        <v>45560</v>
      </c>
      <c r="I1850" s="1" t="s">
        <v>7455</v>
      </c>
      <c r="J1850" s="7">
        <v>45560</v>
      </c>
      <c r="K1850" s="1" t="s">
        <v>7455</v>
      </c>
    </row>
    <row r="1851" spans="1:11" x14ac:dyDescent="0.3">
      <c r="A1851" s="1">
        <v>1850</v>
      </c>
      <c r="B1851" s="1" t="s">
        <v>5812</v>
      </c>
      <c r="C1851" s="1" t="s">
        <v>5813</v>
      </c>
      <c r="E1851" s="1" t="s">
        <v>52</v>
      </c>
      <c r="G1851" s="1">
        <v>1</v>
      </c>
      <c r="H1851" s="7">
        <v>45560</v>
      </c>
      <c r="I1851" s="1" t="s">
        <v>7455</v>
      </c>
      <c r="J1851" s="7">
        <v>45560</v>
      </c>
      <c r="K1851" s="1" t="s">
        <v>7455</v>
      </c>
    </row>
    <row r="1852" spans="1:11" x14ac:dyDescent="0.3">
      <c r="A1852" s="1">
        <v>1851</v>
      </c>
      <c r="B1852" s="1" t="s">
        <v>5814</v>
      </c>
      <c r="C1852" s="1" t="s">
        <v>5815</v>
      </c>
      <c r="D1852" s="1" t="s">
        <v>5816</v>
      </c>
      <c r="G1852" s="1">
        <v>1</v>
      </c>
      <c r="H1852" s="7">
        <v>45560</v>
      </c>
      <c r="I1852" s="1" t="s">
        <v>7455</v>
      </c>
      <c r="J1852" s="7">
        <v>45560</v>
      </c>
      <c r="K1852" s="1" t="s">
        <v>7455</v>
      </c>
    </row>
    <row r="1853" spans="1:11" x14ac:dyDescent="0.3">
      <c r="A1853" s="1">
        <v>1852</v>
      </c>
      <c r="B1853" s="1" t="s">
        <v>5817</v>
      </c>
      <c r="C1853" s="1" t="s">
        <v>5818</v>
      </c>
      <c r="D1853" s="1" t="s">
        <v>5819</v>
      </c>
      <c r="G1853" s="1">
        <v>1</v>
      </c>
      <c r="H1853" s="7">
        <v>45560</v>
      </c>
      <c r="I1853" s="1" t="s">
        <v>7455</v>
      </c>
      <c r="J1853" s="7">
        <v>45560</v>
      </c>
      <c r="K1853" s="1" t="s">
        <v>7455</v>
      </c>
    </row>
    <row r="1854" spans="1:11" x14ac:dyDescent="0.3">
      <c r="A1854" s="1">
        <v>1853</v>
      </c>
      <c r="B1854" s="1" t="s">
        <v>5820</v>
      </c>
      <c r="C1854" s="1" t="s">
        <v>5821</v>
      </c>
      <c r="D1854" s="1" t="s">
        <v>5822</v>
      </c>
      <c r="G1854" s="1">
        <v>1</v>
      </c>
      <c r="H1854" s="7">
        <v>45560</v>
      </c>
      <c r="I1854" s="1" t="s">
        <v>7455</v>
      </c>
      <c r="J1854" s="7">
        <v>45560</v>
      </c>
      <c r="K1854" s="1" t="s">
        <v>7455</v>
      </c>
    </row>
    <row r="1855" spans="1:11" x14ac:dyDescent="0.3">
      <c r="A1855" s="1">
        <v>1854</v>
      </c>
      <c r="B1855" s="1" t="s">
        <v>5823</v>
      </c>
      <c r="C1855" s="1" t="s">
        <v>5824</v>
      </c>
      <c r="D1855" s="1" t="s">
        <v>5825</v>
      </c>
      <c r="F1855" s="1" t="s">
        <v>5826</v>
      </c>
      <c r="G1855" s="1">
        <v>1</v>
      </c>
      <c r="H1855" s="7">
        <v>45560</v>
      </c>
      <c r="I1855" s="1" t="s">
        <v>7455</v>
      </c>
      <c r="J1855" s="7">
        <v>45560</v>
      </c>
      <c r="K1855" s="1" t="s">
        <v>7455</v>
      </c>
    </row>
    <row r="1856" spans="1:11" x14ac:dyDescent="0.3">
      <c r="A1856" s="1">
        <v>1855</v>
      </c>
      <c r="B1856" s="1" t="s">
        <v>5827</v>
      </c>
      <c r="C1856" s="1" t="s">
        <v>5828</v>
      </c>
      <c r="E1856" s="1" t="s">
        <v>52</v>
      </c>
      <c r="G1856" s="1">
        <v>1</v>
      </c>
      <c r="H1856" s="7">
        <v>45560</v>
      </c>
      <c r="I1856" s="1" t="s">
        <v>7455</v>
      </c>
      <c r="J1856" s="7">
        <v>45560</v>
      </c>
      <c r="K1856" s="1" t="s">
        <v>7455</v>
      </c>
    </row>
    <row r="1857" spans="1:11" x14ac:dyDescent="0.3">
      <c r="A1857" s="1">
        <v>1856</v>
      </c>
      <c r="B1857" s="1" t="s">
        <v>5829</v>
      </c>
      <c r="C1857" s="1" t="s">
        <v>5830</v>
      </c>
      <c r="F1857" s="1" t="s">
        <v>5831</v>
      </c>
      <c r="G1857" s="1">
        <v>1</v>
      </c>
      <c r="H1857" s="7">
        <v>45560</v>
      </c>
      <c r="I1857" s="1" t="s">
        <v>7455</v>
      </c>
      <c r="J1857" s="7">
        <v>45560</v>
      </c>
      <c r="K1857" s="1" t="s">
        <v>7455</v>
      </c>
    </row>
    <row r="1858" spans="1:11" x14ac:dyDescent="0.3">
      <c r="A1858" s="1">
        <v>1857</v>
      </c>
      <c r="B1858" s="1" t="s">
        <v>5832</v>
      </c>
      <c r="C1858" s="1" t="s">
        <v>5833</v>
      </c>
      <c r="D1858" s="1" t="s">
        <v>5834</v>
      </c>
      <c r="F1858" s="1" t="s">
        <v>5835</v>
      </c>
      <c r="G1858" s="1">
        <v>1</v>
      </c>
      <c r="H1858" s="7">
        <v>45560</v>
      </c>
      <c r="I1858" s="1" t="s">
        <v>7455</v>
      </c>
      <c r="J1858" s="7">
        <v>45560</v>
      </c>
      <c r="K1858" s="1" t="s">
        <v>7455</v>
      </c>
    </row>
    <row r="1859" spans="1:11" x14ac:dyDescent="0.3">
      <c r="A1859" s="1">
        <v>1858</v>
      </c>
      <c r="B1859" s="1" t="s">
        <v>5836</v>
      </c>
      <c r="C1859" s="1" t="s">
        <v>5837</v>
      </c>
      <c r="D1859" s="1" t="s">
        <v>5838</v>
      </c>
      <c r="G1859" s="1">
        <v>1</v>
      </c>
      <c r="H1859" s="7">
        <v>45560</v>
      </c>
      <c r="I1859" s="1" t="s">
        <v>7455</v>
      </c>
      <c r="J1859" s="7">
        <v>45560</v>
      </c>
      <c r="K1859" s="1" t="s">
        <v>7455</v>
      </c>
    </row>
    <row r="1860" spans="1:11" x14ac:dyDescent="0.3">
      <c r="A1860" s="1">
        <v>1859</v>
      </c>
      <c r="B1860" s="1" t="s">
        <v>4980</v>
      </c>
      <c r="C1860" s="1" t="s">
        <v>5839</v>
      </c>
      <c r="F1860" s="1" t="s">
        <v>5840</v>
      </c>
      <c r="G1860" s="1">
        <v>1</v>
      </c>
      <c r="H1860" s="7">
        <v>45560</v>
      </c>
      <c r="I1860" s="1" t="s">
        <v>7455</v>
      </c>
      <c r="J1860" s="7">
        <v>45560</v>
      </c>
      <c r="K1860" s="1" t="s">
        <v>7455</v>
      </c>
    </row>
    <row r="1861" spans="1:11" x14ac:dyDescent="0.3">
      <c r="A1861" s="1">
        <v>1860</v>
      </c>
      <c r="B1861" s="1" t="s">
        <v>5841</v>
      </c>
      <c r="C1861" s="1" t="s">
        <v>5842</v>
      </c>
      <c r="D1861" s="1" t="s">
        <v>5843</v>
      </c>
      <c r="E1861" s="1" t="s">
        <v>73</v>
      </c>
      <c r="F1861" s="1" t="s">
        <v>5844</v>
      </c>
      <c r="G1861" s="1">
        <v>1</v>
      </c>
      <c r="H1861" s="7">
        <v>45560</v>
      </c>
      <c r="I1861" s="1" t="s">
        <v>7455</v>
      </c>
      <c r="J1861" s="7">
        <v>45560</v>
      </c>
      <c r="K1861" s="1" t="s">
        <v>7455</v>
      </c>
    </row>
    <row r="1862" spans="1:11" x14ac:dyDescent="0.3">
      <c r="A1862" s="1">
        <v>1861</v>
      </c>
      <c r="B1862" s="1" t="s">
        <v>5845</v>
      </c>
      <c r="C1862" s="1" t="s">
        <v>5846</v>
      </c>
      <c r="F1862" s="1" t="s">
        <v>5847</v>
      </c>
      <c r="G1862" s="1">
        <v>1</v>
      </c>
      <c r="H1862" s="7">
        <v>45560</v>
      </c>
      <c r="I1862" s="1" t="s">
        <v>7455</v>
      </c>
      <c r="J1862" s="7">
        <v>45560</v>
      </c>
      <c r="K1862" s="1" t="s">
        <v>7455</v>
      </c>
    </row>
    <row r="1863" spans="1:11" x14ac:dyDescent="0.3">
      <c r="A1863" s="1">
        <v>1862</v>
      </c>
      <c r="B1863" s="1" t="s">
        <v>5848</v>
      </c>
      <c r="C1863" s="1" t="s">
        <v>5849</v>
      </c>
      <c r="D1863" s="1" t="s">
        <v>5850</v>
      </c>
      <c r="F1863" s="1" t="s">
        <v>5851</v>
      </c>
      <c r="G1863" s="1">
        <v>1</v>
      </c>
      <c r="H1863" s="7">
        <v>45560</v>
      </c>
      <c r="I1863" s="1" t="s">
        <v>7455</v>
      </c>
      <c r="J1863" s="7">
        <v>45560</v>
      </c>
      <c r="K1863" s="1" t="s">
        <v>7455</v>
      </c>
    </row>
    <row r="1864" spans="1:11" x14ac:dyDescent="0.3">
      <c r="A1864" s="1">
        <v>1863</v>
      </c>
      <c r="B1864" s="1" t="s">
        <v>5852</v>
      </c>
      <c r="C1864" s="1" t="s">
        <v>5853</v>
      </c>
      <c r="F1864" s="1" t="s">
        <v>5854</v>
      </c>
      <c r="G1864" s="1">
        <v>1</v>
      </c>
      <c r="H1864" s="7">
        <v>45560</v>
      </c>
      <c r="I1864" s="1" t="s">
        <v>7455</v>
      </c>
      <c r="J1864" s="7">
        <v>45560</v>
      </c>
      <c r="K1864" s="1" t="s">
        <v>7455</v>
      </c>
    </row>
    <row r="1865" spans="1:11" x14ac:dyDescent="0.3">
      <c r="A1865" s="1">
        <v>1864</v>
      </c>
      <c r="B1865" s="1" t="s">
        <v>5855</v>
      </c>
      <c r="C1865" s="1" t="s">
        <v>5856</v>
      </c>
      <c r="D1865" s="1" t="s">
        <v>5857</v>
      </c>
      <c r="F1865" s="1" t="s">
        <v>5855</v>
      </c>
      <c r="G1865" s="1">
        <v>1</v>
      </c>
      <c r="H1865" s="7">
        <v>45560</v>
      </c>
      <c r="I1865" s="1" t="s">
        <v>7455</v>
      </c>
      <c r="J1865" s="7">
        <v>45560</v>
      </c>
      <c r="K1865" s="1" t="s">
        <v>7455</v>
      </c>
    </row>
    <row r="1866" spans="1:11" x14ac:dyDescent="0.3">
      <c r="A1866" s="1">
        <v>1865</v>
      </c>
      <c r="B1866" s="1" t="s">
        <v>5858</v>
      </c>
      <c r="C1866" s="1" t="s">
        <v>5859</v>
      </c>
      <c r="E1866" s="1" t="s">
        <v>52</v>
      </c>
      <c r="G1866" s="1">
        <v>1</v>
      </c>
      <c r="H1866" s="7">
        <v>45560</v>
      </c>
      <c r="I1866" s="1" t="s">
        <v>7455</v>
      </c>
      <c r="J1866" s="7">
        <v>45560</v>
      </c>
      <c r="K1866" s="1" t="s">
        <v>7455</v>
      </c>
    </row>
    <row r="1867" spans="1:11" x14ac:dyDescent="0.3">
      <c r="A1867" s="1">
        <v>1866</v>
      </c>
      <c r="B1867" s="1" t="s">
        <v>5860</v>
      </c>
      <c r="C1867" s="1" t="s">
        <v>5861</v>
      </c>
      <c r="E1867" s="1" t="s">
        <v>52</v>
      </c>
      <c r="G1867" s="1">
        <v>1</v>
      </c>
      <c r="H1867" s="7">
        <v>45560</v>
      </c>
      <c r="I1867" s="1" t="s">
        <v>7455</v>
      </c>
      <c r="J1867" s="7">
        <v>45560</v>
      </c>
      <c r="K1867" s="1" t="s">
        <v>7455</v>
      </c>
    </row>
    <row r="1868" spans="1:11" x14ac:dyDescent="0.3">
      <c r="A1868" s="1">
        <v>1867</v>
      </c>
      <c r="B1868" s="1" t="s">
        <v>5862</v>
      </c>
      <c r="C1868" s="1" t="s">
        <v>5863</v>
      </c>
      <c r="E1868" s="1" t="s">
        <v>52</v>
      </c>
      <c r="G1868" s="1">
        <v>1</v>
      </c>
      <c r="H1868" s="7">
        <v>45560</v>
      </c>
      <c r="I1868" s="1" t="s">
        <v>7455</v>
      </c>
      <c r="J1868" s="7">
        <v>45560</v>
      </c>
      <c r="K1868" s="1" t="s">
        <v>7455</v>
      </c>
    </row>
    <row r="1869" spans="1:11" x14ac:dyDescent="0.3">
      <c r="A1869" s="1">
        <v>1868</v>
      </c>
      <c r="B1869" s="1" t="s">
        <v>5864</v>
      </c>
      <c r="C1869" s="1" t="s">
        <v>5865</v>
      </c>
      <c r="E1869" s="1" t="s">
        <v>52</v>
      </c>
      <c r="G1869" s="1">
        <v>1</v>
      </c>
      <c r="H1869" s="7">
        <v>45560</v>
      </c>
      <c r="I1869" s="1" t="s">
        <v>7455</v>
      </c>
      <c r="J1869" s="7">
        <v>45560</v>
      </c>
      <c r="K1869" s="1" t="s">
        <v>7455</v>
      </c>
    </row>
    <row r="1870" spans="1:11" x14ac:dyDescent="0.3">
      <c r="A1870" s="1">
        <v>1869</v>
      </c>
      <c r="B1870" s="1" t="s">
        <v>5866</v>
      </c>
      <c r="C1870" s="1" t="s">
        <v>5867</v>
      </c>
      <c r="D1870" s="1" t="s">
        <v>5868</v>
      </c>
      <c r="F1870" s="1" t="s">
        <v>5869</v>
      </c>
      <c r="G1870" s="1">
        <v>1</v>
      </c>
      <c r="H1870" s="7">
        <v>45560</v>
      </c>
      <c r="I1870" s="1" t="s">
        <v>7455</v>
      </c>
      <c r="J1870" s="7">
        <v>45560</v>
      </c>
      <c r="K1870" s="1" t="s">
        <v>7455</v>
      </c>
    </row>
    <row r="1871" spans="1:11" x14ac:dyDescent="0.3">
      <c r="A1871" s="1">
        <v>1870</v>
      </c>
      <c r="B1871" s="1" t="s">
        <v>5870</v>
      </c>
      <c r="C1871" s="1" t="s">
        <v>5871</v>
      </c>
      <c r="D1871" s="1" t="s">
        <v>5872</v>
      </c>
      <c r="F1871" s="1" t="s">
        <v>5873</v>
      </c>
      <c r="G1871" s="1">
        <v>1</v>
      </c>
      <c r="H1871" s="7">
        <v>45560</v>
      </c>
      <c r="I1871" s="1" t="s">
        <v>7455</v>
      </c>
      <c r="J1871" s="7">
        <v>45560</v>
      </c>
      <c r="K1871" s="1" t="s">
        <v>7455</v>
      </c>
    </row>
    <row r="1872" spans="1:11" x14ac:dyDescent="0.3">
      <c r="A1872" s="1">
        <v>1871</v>
      </c>
      <c r="B1872" s="1" t="s">
        <v>5874</v>
      </c>
      <c r="C1872" s="1" t="s">
        <v>5875</v>
      </c>
      <c r="D1872" s="1" t="s">
        <v>5876</v>
      </c>
      <c r="F1872" s="1" t="s">
        <v>5877</v>
      </c>
      <c r="G1872" s="1">
        <v>1</v>
      </c>
      <c r="H1872" s="7">
        <v>45560</v>
      </c>
      <c r="I1872" s="1" t="s">
        <v>7455</v>
      </c>
      <c r="J1872" s="7">
        <v>45560</v>
      </c>
      <c r="K1872" s="1" t="s">
        <v>7455</v>
      </c>
    </row>
    <row r="1873" spans="1:11" x14ac:dyDescent="0.3">
      <c r="A1873" s="1">
        <v>1872</v>
      </c>
      <c r="B1873" s="1" t="s">
        <v>5878</v>
      </c>
      <c r="C1873" s="1" t="s">
        <v>5879</v>
      </c>
      <c r="D1873" s="1" t="s">
        <v>5880</v>
      </c>
      <c r="F1873" s="1" t="s">
        <v>5881</v>
      </c>
      <c r="G1873" s="1">
        <v>1</v>
      </c>
      <c r="H1873" s="7">
        <v>45560</v>
      </c>
      <c r="I1873" s="1" t="s">
        <v>7455</v>
      </c>
      <c r="J1873" s="7">
        <v>45560</v>
      </c>
      <c r="K1873" s="1" t="s">
        <v>7455</v>
      </c>
    </row>
    <row r="1874" spans="1:11" x14ac:dyDescent="0.3">
      <c r="A1874" s="1">
        <v>1873</v>
      </c>
      <c r="B1874" s="1" t="s">
        <v>5882</v>
      </c>
      <c r="C1874" s="1" t="s">
        <v>5883</v>
      </c>
      <c r="D1874" s="1" t="s">
        <v>5884</v>
      </c>
      <c r="F1874" s="1" t="s">
        <v>5885</v>
      </c>
      <c r="G1874" s="1">
        <v>1</v>
      </c>
      <c r="H1874" s="7">
        <v>45560</v>
      </c>
      <c r="I1874" s="1" t="s">
        <v>7455</v>
      </c>
      <c r="J1874" s="7">
        <v>45560</v>
      </c>
      <c r="K1874" s="1" t="s">
        <v>7455</v>
      </c>
    </row>
    <row r="1875" spans="1:11" x14ac:dyDescent="0.3">
      <c r="A1875" s="1">
        <v>1874</v>
      </c>
      <c r="B1875" s="1" t="s">
        <v>5886</v>
      </c>
      <c r="C1875" s="1" t="s">
        <v>5887</v>
      </c>
      <c r="D1875" s="1" t="s">
        <v>5888</v>
      </c>
      <c r="F1875" s="1" t="s">
        <v>5889</v>
      </c>
      <c r="G1875" s="1">
        <v>1</v>
      </c>
      <c r="H1875" s="7">
        <v>45560</v>
      </c>
      <c r="I1875" s="1" t="s">
        <v>7455</v>
      </c>
      <c r="J1875" s="7">
        <v>45560</v>
      </c>
      <c r="K1875" s="1" t="s">
        <v>7455</v>
      </c>
    </row>
    <row r="1876" spans="1:11" x14ac:dyDescent="0.3">
      <c r="A1876" s="1">
        <v>1875</v>
      </c>
      <c r="B1876" s="1" t="s">
        <v>5890</v>
      </c>
      <c r="C1876" s="1" t="s">
        <v>5891</v>
      </c>
      <c r="D1876" s="1" t="s">
        <v>5892</v>
      </c>
      <c r="F1876" s="1" t="s">
        <v>5893</v>
      </c>
      <c r="G1876" s="1">
        <v>1</v>
      </c>
      <c r="H1876" s="7">
        <v>45560</v>
      </c>
      <c r="I1876" s="1" t="s">
        <v>7455</v>
      </c>
      <c r="J1876" s="7">
        <v>45560</v>
      </c>
      <c r="K1876" s="1" t="s">
        <v>7455</v>
      </c>
    </row>
    <row r="1877" spans="1:11" x14ac:dyDescent="0.3">
      <c r="A1877" s="1">
        <v>1876</v>
      </c>
      <c r="B1877" s="1" t="s">
        <v>5894</v>
      </c>
      <c r="C1877" s="1" t="s">
        <v>5895</v>
      </c>
      <c r="D1877" s="1" t="s">
        <v>5896</v>
      </c>
      <c r="F1877" s="1" t="s">
        <v>5897</v>
      </c>
      <c r="G1877" s="1">
        <v>1</v>
      </c>
      <c r="H1877" s="7">
        <v>45560</v>
      </c>
      <c r="I1877" s="1" t="s">
        <v>7455</v>
      </c>
      <c r="J1877" s="7">
        <v>45560</v>
      </c>
      <c r="K1877" s="1" t="s">
        <v>7455</v>
      </c>
    </row>
    <row r="1878" spans="1:11" x14ac:dyDescent="0.3">
      <c r="A1878" s="1">
        <v>1877</v>
      </c>
      <c r="B1878" s="1" t="s">
        <v>5898</v>
      </c>
      <c r="C1878" s="1" t="s">
        <v>5899</v>
      </c>
      <c r="D1878" s="1" t="s">
        <v>5900</v>
      </c>
      <c r="F1878" s="1" t="s">
        <v>5901</v>
      </c>
      <c r="G1878" s="1">
        <v>1</v>
      </c>
      <c r="H1878" s="7">
        <v>45560</v>
      </c>
      <c r="I1878" s="1" t="s">
        <v>7455</v>
      </c>
      <c r="J1878" s="7">
        <v>45560</v>
      </c>
      <c r="K1878" s="1" t="s">
        <v>7455</v>
      </c>
    </row>
    <row r="1879" spans="1:11" x14ac:dyDescent="0.3">
      <c r="A1879" s="1">
        <v>1878</v>
      </c>
      <c r="B1879" s="1" t="s">
        <v>5902</v>
      </c>
      <c r="C1879" s="1" t="s">
        <v>5903</v>
      </c>
      <c r="D1879" s="1" t="s">
        <v>5904</v>
      </c>
      <c r="F1879" s="1" t="s">
        <v>5905</v>
      </c>
      <c r="G1879" s="1">
        <v>1</v>
      </c>
      <c r="H1879" s="7">
        <v>45560</v>
      </c>
      <c r="I1879" s="1" t="s">
        <v>7455</v>
      </c>
      <c r="J1879" s="7">
        <v>45560</v>
      </c>
      <c r="K1879" s="1" t="s">
        <v>7455</v>
      </c>
    </row>
    <row r="1880" spans="1:11" x14ac:dyDescent="0.3">
      <c r="A1880" s="1">
        <v>1879</v>
      </c>
      <c r="B1880" s="1" t="s">
        <v>5906</v>
      </c>
      <c r="C1880" s="1" t="s">
        <v>5907</v>
      </c>
      <c r="D1880" s="1" t="s">
        <v>5908</v>
      </c>
      <c r="F1880" s="1" t="s">
        <v>5909</v>
      </c>
      <c r="G1880" s="1">
        <v>1</v>
      </c>
      <c r="H1880" s="7">
        <v>45560</v>
      </c>
      <c r="I1880" s="1" t="s">
        <v>7455</v>
      </c>
      <c r="J1880" s="7">
        <v>45560</v>
      </c>
      <c r="K1880" s="1" t="s">
        <v>7455</v>
      </c>
    </row>
    <row r="1881" spans="1:11" x14ac:dyDescent="0.3">
      <c r="A1881" s="1">
        <v>1880</v>
      </c>
      <c r="B1881" s="1" t="s">
        <v>5910</v>
      </c>
      <c r="C1881" s="1" t="s">
        <v>5911</v>
      </c>
      <c r="D1881" s="1" t="s">
        <v>5912</v>
      </c>
      <c r="F1881" s="1" t="s">
        <v>5913</v>
      </c>
      <c r="G1881" s="1">
        <v>1</v>
      </c>
      <c r="H1881" s="7">
        <v>45560</v>
      </c>
      <c r="I1881" s="1" t="s">
        <v>7455</v>
      </c>
      <c r="J1881" s="7">
        <v>45560</v>
      </c>
      <c r="K1881" s="1" t="s">
        <v>7455</v>
      </c>
    </row>
    <row r="1882" spans="1:11" x14ac:dyDescent="0.3">
      <c r="A1882" s="1">
        <v>1881</v>
      </c>
      <c r="B1882" s="1" t="s">
        <v>5914</v>
      </c>
      <c r="C1882" s="1" t="s">
        <v>5915</v>
      </c>
      <c r="D1882" s="1" t="s">
        <v>5916</v>
      </c>
      <c r="F1882" s="1" t="s">
        <v>5917</v>
      </c>
      <c r="G1882" s="1">
        <v>1</v>
      </c>
      <c r="H1882" s="7">
        <v>45560</v>
      </c>
      <c r="I1882" s="1" t="s">
        <v>7455</v>
      </c>
      <c r="J1882" s="7">
        <v>45560</v>
      </c>
      <c r="K1882" s="1" t="s">
        <v>7455</v>
      </c>
    </row>
    <row r="1883" spans="1:11" x14ac:dyDescent="0.3">
      <c r="A1883" s="1">
        <v>1882</v>
      </c>
      <c r="B1883" s="1" t="s">
        <v>5918</v>
      </c>
      <c r="C1883" s="1" t="s">
        <v>5919</v>
      </c>
      <c r="D1883" s="1" t="s">
        <v>5920</v>
      </c>
      <c r="F1883" s="1" t="s">
        <v>5921</v>
      </c>
      <c r="G1883" s="1">
        <v>1</v>
      </c>
      <c r="H1883" s="7">
        <v>45560</v>
      </c>
      <c r="I1883" s="1" t="s">
        <v>7455</v>
      </c>
      <c r="J1883" s="7">
        <v>45560</v>
      </c>
      <c r="K1883" s="1" t="s">
        <v>7455</v>
      </c>
    </row>
    <row r="1884" spans="1:11" x14ac:dyDescent="0.3">
      <c r="A1884" s="1">
        <v>1883</v>
      </c>
      <c r="B1884" s="1" t="s">
        <v>5922</v>
      </c>
      <c r="C1884" s="1" t="s">
        <v>5923</v>
      </c>
      <c r="D1884" s="1" t="s">
        <v>5924</v>
      </c>
      <c r="F1884" s="1" t="s">
        <v>5925</v>
      </c>
      <c r="G1884" s="1">
        <v>1</v>
      </c>
      <c r="H1884" s="7">
        <v>45560</v>
      </c>
      <c r="I1884" s="1" t="s">
        <v>7455</v>
      </c>
      <c r="J1884" s="7">
        <v>45560</v>
      </c>
      <c r="K1884" s="1" t="s">
        <v>7455</v>
      </c>
    </row>
    <row r="1885" spans="1:11" x14ac:dyDescent="0.3">
      <c r="A1885" s="1">
        <v>1884</v>
      </c>
      <c r="B1885" s="1" t="s">
        <v>5926</v>
      </c>
      <c r="C1885" s="1" t="s">
        <v>5927</v>
      </c>
      <c r="D1885" s="1" t="s">
        <v>5928</v>
      </c>
      <c r="F1885" s="1" t="s">
        <v>5929</v>
      </c>
      <c r="G1885" s="1">
        <v>1</v>
      </c>
      <c r="H1885" s="7">
        <v>45560</v>
      </c>
      <c r="I1885" s="1" t="s">
        <v>7455</v>
      </c>
      <c r="J1885" s="7">
        <v>45560</v>
      </c>
      <c r="K1885" s="1" t="s">
        <v>7455</v>
      </c>
    </row>
    <row r="1886" spans="1:11" x14ac:dyDescent="0.3">
      <c r="A1886" s="1">
        <v>1885</v>
      </c>
      <c r="B1886" s="1" t="s">
        <v>5930</v>
      </c>
      <c r="C1886" s="1" t="s">
        <v>5931</v>
      </c>
      <c r="D1886" s="1" t="s">
        <v>5932</v>
      </c>
      <c r="F1886" s="9">
        <v>45292</v>
      </c>
      <c r="G1886" s="1">
        <v>1</v>
      </c>
      <c r="H1886" s="7">
        <v>45560</v>
      </c>
      <c r="I1886" s="1" t="s">
        <v>7455</v>
      </c>
      <c r="J1886" s="7">
        <v>45560</v>
      </c>
      <c r="K1886" s="1" t="s">
        <v>7455</v>
      </c>
    </row>
    <row r="1887" spans="1:11" x14ac:dyDescent="0.3">
      <c r="A1887" s="1">
        <v>1886</v>
      </c>
      <c r="B1887" s="1" t="s">
        <v>5933</v>
      </c>
      <c r="C1887" s="1" t="s">
        <v>5934</v>
      </c>
      <c r="D1887" s="1" t="s">
        <v>5935</v>
      </c>
      <c r="F1887" s="1" t="s">
        <v>4578</v>
      </c>
      <c r="G1887" s="1">
        <v>1</v>
      </c>
      <c r="H1887" s="7">
        <v>45560</v>
      </c>
      <c r="I1887" s="1" t="s">
        <v>7455</v>
      </c>
      <c r="J1887" s="7">
        <v>45560</v>
      </c>
      <c r="K1887" s="1" t="s">
        <v>7455</v>
      </c>
    </row>
    <row r="1888" spans="1:11" x14ac:dyDescent="0.3">
      <c r="A1888" s="1">
        <v>1887</v>
      </c>
      <c r="B1888" s="1" t="s">
        <v>5936</v>
      </c>
      <c r="C1888" s="1" t="s">
        <v>5937</v>
      </c>
      <c r="D1888" s="1" t="s">
        <v>5938</v>
      </c>
      <c r="F1888" s="1" t="s">
        <v>5939</v>
      </c>
      <c r="G1888" s="1">
        <v>1</v>
      </c>
      <c r="H1888" s="7">
        <v>45560</v>
      </c>
      <c r="I1888" s="1" t="s">
        <v>7455</v>
      </c>
      <c r="J1888" s="7">
        <v>45560</v>
      </c>
      <c r="K1888" s="1" t="s">
        <v>7455</v>
      </c>
    </row>
    <row r="1889" spans="1:11" x14ac:dyDescent="0.3">
      <c r="A1889" s="1">
        <v>1888</v>
      </c>
      <c r="B1889" s="1" t="s">
        <v>5940</v>
      </c>
      <c r="C1889" s="1" t="s">
        <v>5941</v>
      </c>
      <c r="D1889" s="1" t="s">
        <v>5941</v>
      </c>
      <c r="F1889" s="1" t="s">
        <v>5942</v>
      </c>
      <c r="G1889" s="1">
        <v>1</v>
      </c>
      <c r="H1889" s="7">
        <v>45560</v>
      </c>
      <c r="I1889" s="1" t="s">
        <v>7455</v>
      </c>
      <c r="J1889" s="7">
        <v>45560</v>
      </c>
      <c r="K1889" s="1" t="s">
        <v>7455</v>
      </c>
    </row>
    <row r="1890" spans="1:11" x14ac:dyDescent="0.3">
      <c r="A1890" s="1">
        <v>1889</v>
      </c>
      <c r="B1890" s="1" t="s">
        <v>5943</v>
      </c>
      <c r="C1890" s="1" t="s">
        <v>5944</v>
      </c>
      <c r="D1890" s="1" t="s">
        <v>5945</v>
      </c>
      <c r="G1890" s="1">
        <v>1</v>
      </c>
      <c r="H1890" s="7">
        <v>45560</v>
      </c>
      <c r="I1890" s="1" t="s">
        <v>7455</v>
      </c>
      <c r="J1890" s="7">
        <v>45560</v>
      </c>
      <c r="K1890" s="1" t="s">
        <v>7455</v>
      </c>
    </row>
    <row r="1891" spans="1:11" x14ac:dyDescent="0.3">
      <c r="A1891" s="1">
        <v>1890</v>
      </c>
      <c r="B1891" s="1" t="s">
        <v>5946</v>
      </c>
      <c r="C1891" s="1" t="s">
        <v>5947</v>
      </c>
      <c r="D1891" s="1" t="s">
        <v>5948</v>
      </c>
      <c r="F1891" s="1" t="s">
        <v>1322</v>
      </c>
      <c r="G1891" s="1">
        <v>1</v>
      </c>
      <c r="H1891" s="7">
        <v>45560</v>
      </c>
      <c r="I1891" s="1" t="s">
        <v>7455</v>
      </c>
      <c r="J1891" s="7">
        <v>45560</v>
      </c>
      <c r="K1891" s="1" t="s">
        <v>7455</v>
      </c>
    </row>
    <row r="1892" spans="1:11" x14ac:dyDescent="0.3">
      <c r="A1892" s="1">
        <v>1891</v>
      </c>
      <c r="B1892" s="1" t="s">
        <v>5949</v>
      </c>
      <c r="C1892" s="1" t="s">
        <v>5950</v>
      </c>
      <c r="F1892" s="1" t="s">
        <v>5951</v>
      </c>
      <c r="G1892" s="1">
        <v>1</v>
      </c>
      <c r="H1892" s="7">
        <v>45560</v>
      </c>
      <c r="I1892" s="1" t="s">
        <v>7455</v>
      </c>
      <c r="J1892" s="7">
        <v>45560</v>
      </c>
      <c r="K1892" s="1" t="s">
        <v>7455</v>
      </c>
    </row>
    <row r="1893" spans="1:11" x14ac:dyDescent="0.3">
      <c r="A1893" s="1">
        <v>1892</v>
      </c>
      <c r="B1893" s="1" t="s">
        <v>5952</v>
      </c>
      <c r="C1893" s="1" t="s">
        <v>5953</v>
      </c>
      <c r="F1893" s="1" t="s">
        <v>5954</v>
      </c>
      <c r="G1893" s="1">
        <v>1</v>
      </c>
      <c r="H1893" s="7">
        <v>45560</v>
      </c>
      <c r="I1893" s="1" t="s">
        <v>7455</v>
      </c>
      <c r="J1893" s="7">
        <v>45560</v>
      </c>
      <c r="K1893" s="1" t="s">
        <v>7455</v>
      </c>
    </row>
    <row r="1894" spans="1:11" x14ac:dyDescent="0.3">
      <c r="A1894" s="1">
        <v>1893</v>
      </c>
      <c r="B1894" s="1" t="s">
        <v>5955</v>
      </c>
      <c r="C1894" s="1" t="s">
        <v>5956</v>
      </c>
      <c r="F1894" s="1" t="s">
        <v>5957</v>
      </c>
      <c r="G1894" s="1">
        <v>1</v>
      </c>
      <c r="H1894" s="7">
        <v>45560</v>
      </c>
      <c r="I1894" s="1" t="s">
        <v>7455</v>
      </c>
      <c r="J1894" s="7">
        <v>45560</v>
      </c>
      <c r="K1894" s="1" t="s">
        <v>7455</v>
      </c>
    </row>
    <row r="1895" spans="1:11" x14ac:dyDescent="0.3">
      <c r="A1895" s="1">
        <v>1894</v>
      </c>
      <c r="B1895" s="1" t="s">
        <v>5958</v>
      </c>
      <c r="C1895" s="1" t="s">
        <v>5959</v>
      </c>
      <c r="F1895" s="1" t="s">
        <v>5960</v>
      </c>
      <c r="G1895" s="1">
        <v>1</v>
      </c>
      <c r="H1895" s="7">
        <v>45560</v>
      </c>
      <c r="I1895" s="1" t="s">
        <v>7455</v>
      </c>
      <c r="J1895" s="7">
        <v>45560</v>
      </c>
      <c r="K1895" s="1" t="s">
        <v>7455</v>
      </c>
    </row>
    <row r="1896" spans="1:11" x14ac:dyDescent="0.3">
      <c r="A1896" s="1">
        <v>1895</v>
      </c>
      <c r="B1896" s="1" t="s">
        <v>5961</v>
      </c>
      <c r="C1896" s="1" t="s">
        <v>5962</v>
      </c>
      <c r="D1896" s="1" t="s">
        <v>5963</v>
      </c>
      <c r="F1896" s="1" t="s">
        <v>5964</v>
      </c>
      <c r="G1896" s="1">
        <v>1</v>
      </c>
      <c r="H1896" s="7">
        <v>45560</v>
      </c>
      <c r="I1896" s="1" t="s">
        <v>7455</v>
      </c>
      <c r="J1896" s="7">
        <v>45560</v>
      </c>
      <c r="K1896" s="1" t="s">
        <v>7455</v>
      </c>
    </row>
    <row r="1897" spans="1:11" x14ac:dyDescent="0.3">
      <c r="A1897" s="1">
        <v>1896</v>
      </c>
      <c r="B1897" s="1" t="s">
        <v>5965</v>
      </c>
      <c r="C1897" s="1" t="s">
        <v>5966</v>
      </c>
      <c r="D1897" s="1" t="s">
        <v>5967</v>
      </c>
      <c r="F1897" s="1" t="s">
        <v>5968</v>
      </c>
      <c r="G1897" s="1">
        <v>1</v>
      </c>
      <c r="H1897" s="7">
        <v>45560</v>
      </c>
      <c r="I1897" s="1" t="s">
        <v>7455</v>
      </c>
      <c r="J1897" s="7">
        <v>45560</v>
      </c>
      <c r="K1897" s="1" t="s">
        <v>7455</v>
      </c>
    </row>
    <row r="1898" spans="1:11" x14ac:dyDescent="0.3">
      <c r="A1898" s="1">
        <v>1897</v>
      </c>
      <c r="B1898" s="1" t="s">
        <v>5969</v>
      </c>
      <c r="C1898" s="1" t="s">
        <v>5970</v>
      </c>
      <c r="D1898" s="1" t="s">
        <v>5971</v>
      </c>
      <c r="G1898" s="1">
        <v>1</v>
      </c>
      <c r="H1898" s="7">
        <v>45560</v>
      </c>
      <c r="I1898" s="1" t="s">
        <v>7455</v>
      </c>
      <c r="J1898" s="7">
        <v>45560</v>
      </c>
      <c r="K1898" s="1" t="s">
        <v>7455</v>
      </c>
    </row>
    <row r="1899" spans="1:11" x14ac:dyDescent="0.3">
      <c r="A1899" s="1">
        <v>1898</v>
      </c>
      <c r="B1899" s="1" t="s">
        <v>5972</v>
      </c>
      <c r="C1899" s="1" t="s">
        <v>5973</v>
      </c>
      <c r="D1899" s="1" t="s">
        <v>5971</v>
      </c>
      <c r="G1899" s="1">
        <v>1</v>
      </c>
      <c r="H1899" s="7">
        <v>45560</v>
      </c>
      <c r="I1899" s="1" t="s">
        <v>7455</v>
      </c>
      <c r="J1899" s="7">
        <v>45560</v>
      </c>
      <c r="K1899" s="1" t="s">
        <v>7455</v>
      </c>
    </row>
    <row r="1900" spans="1:11" x14ac:dyDescent="0.3">
      <c r="A1900" s="1">
        <v>1899</v>
      </c>
      <c r="B1900" s="1" t="s">
        <v>5974</v>
      </c>
      <c r="C1900" s="1" t="s">
        <v>5975</v>
      </c>
      <c r="D1900" s="1" t="s">
        <v>5976</v>
      </c>
      <c r="G1900" s="1">
        <v>1</v>
      </c>
      <c r="H1900" s="7">
        <v>45560</v>
      </c>
      <c r="I1900" s="1" t="s">
        <v>7455</v>
      </c>
      <c r="J1900" s="7">
        <v>45560</v>
      </c>
      <c r="K1900" s="1" t="s">
        <v>7455</v>
      </c>
    </row>
    <row r="1901" spans="1:11" x14ac:dyDescent="0.3">
      <c r="A1901" s="1">
        <v>1900</v>
      </c>
      <c r="B1901" s="1" t="s">
        <v>5977</v>
      </c>
      <c r="C1901" s="1" t="s">
        <v>5978</v>
      </c>
      <c r="D1901" s="1" t="s">
        <v>5976</v>
      </c>
      <c r="G1901" s="1">
        <v>1</v>
      </c>
      <c r="H1901" s="7">
        <v>45560</v>
      </c>
      <c r="I1901" s="1" t="s">
        <v>7455</v>
      </c>
      <c r="J1901" s="7">
        <v>45560</v>
      </c>
      <c r="K1901" s="1" t="s">
        <v>7455</v>
      </c>
    </row>
    <row r="1902" spans="1:11" x14ac:dyDescent="0.3">
      <c r="A1902" s="1">
        <v>1901</v>
      </c>
      <c r="B1902" s="1" t="s">
        <v>5979</v>
      </c>
      <c r="C1902" s="1" t="s">
        <v>5980</v>
      </c>
      <c r="D1902" s="1" t="s">
        <v>5981</v>
      </c>
      <c r="E1902" s="1" t="s">
        <v>4134</v>
      </c>
      <c r="G1902" s="1">
        <v>1</v>
      </c>
      <c r="H1902" s="7">
        <v>45560</v>
      </c>
      <c r="I1902" s="1" t="s">
        <v>7455</v>
      </c>
      <c r="J1902" s="7">
        <v>45560</v>
      </c>
      <c r="K1902" s="1" t="s">
        <v>7455</v>
      </c>
    </row>
    <row r="1903" spans="1:11" x14ac:dyDescent="0.3">
      <c r="A1903" s="1">
        <v>1902</v>
      </c>
      <c r="B1903" s="1" t="s">
        <v>5982</v>
      </c>
      <c r="C1903" s="1" t="s">
        <v>5983</v>
      </c>
      <c r="D1903" s="1" t="s">
        <v>5984</v>
      </c>
      <c r="E1903" s="1" t="s">
        <v>4134</v>
      </c>
      <c r="G1903" s="1">
        <v>1</v>
      </c>
      <c r="H1903" s="7">
        <v>45560</v>
      </c>
      <c r="I1903" s="1" t="s">
        <v>7455</v>
      </c>
      <c r="J1903" s="7">
        <v>45560</v>
      </c>
      <c r="K1903" s="1" t="s">
        <v>7455</v>
      </c>
    </row>
    <row r="1904" spans="1:11" x14ac:dyDescent="0.3">
      <c r="A1904" s="1">
        <v>1903</v>
      </c>
      <c r="B1904" s="1" t="s">
        <v>5985</v>
      </c>
      <c r="C1904" s="1" t="s">
        <v>5986</v>
      </c>
      <c r="D1904" s="1" t="s">
        <v>5987</v>
      </c>
      <c r="G1904" s="1">
        <v>1</v>
      </c>
      <c r="H1904" s="7">
        <v>45560</v>
      </c>
      <c r="I1904" s="1" t="s">
        <v>7455</v>
      </c>
      <c r="J1904" s="7">
        <v>45560</v>
      </c>
      <c r="K1904" s="1" t="s">
        <v>7455</v>
      </c>
    </row>
    <row r="1905" spans="1:11" x14ac:dyDescent="0.3">
      <c r="A1905" s="1">
        <v>1904</v>
      </c>
      <c r="B1905" s="1" t="s">
        <v>5988</v>
      </c>
      <c r="C1905" s="1" t="s">
        <v>5989</v>
      </c>
      <c r="D1905" s="1" t="s">
        <v>5990</v>
      </c>
      <c r="G1905" s="1">
        <v>1</v>
      </c>
      <c r="H1905" s="7">
        <v>45560</v>
      </c>
      <c r="I1905" s="1" t="s">
        <v>7455</v>
      </c>
      <c r="J1905" s="7">
        <v>45560</v>
      </c>
      <c r="K1905" s="1" t="s">
        <v>7455</v>
      </c>
    </row>
    <row r="1906" spans="1:11" x14ac:dyDescent="0.3">
      <c r="A1906" s="1">
        <v>1905</v>
      </c>
      <c r="B1906" s="1" t="s">
        <v>5991</v>
      </c>
      <c r="C1906" s="1" t="s">
        <v>5992</v>
      </c>
      <c r="D1906" s="1" t="s">
        <v>5993</v>
      </c>
      <c r="G1906" s="1">
        <v>1</v>
      </c>
      <c r="H1906" s="7">
        <v>45560</v>
      </c>
      <c r="I1906" s="1" t="s">
        <v>7455</v>
      </c>
      <c r="J1906" s="7">
        <v>45560</v>
      </c>
      <c r="K1906" s="1" t="s">
        <v>7455</v>
      </c>
    </row>
    <row r="1907" spans="1:11" x14ac:dyDescent="0.3">
      <c r="A1907" s="1">
        <v>1906</v>
      </c>
      <c r="B1907" s="1" t="s">
        <v>5994</v>
      </c>
      <c r="C1907" s="1" t="s">
        <v>5995</v>
      </c>
      <c r="E1907" s="1" t="s">
        <v>52</v>
      </c>
      <c r="G1907" s="1">
        <v>1</v>
      </c>
      <c r="H1907" s="7">
        <v>45560</v>
      </c>
      <c r="I1907" s="1" t="s">
        <v>7455</v>
      </c>
      <c r="J1907" s="7">
        <v>45560</v>
      </c>
      <c r="K1907" s="1" t="s">
        <v>7455</v>
      </c>
    </row>
    <row r="1908" spans="1:11" x14ac:dyDescent="0.3">
      <c r="A1908" s="1">
        <v>1907</v>
      </c>
      <c r="B1908" s="1" t="s">
        <v>5996</v>
      </c>
      <c r="C1908" s="1" t="s">
        <v>5997</v>
      </c>
      <c r="E1908" s="1" t="s">
        <v>52</v>
      </c>
      <c r="G1908" s="1">
        <v>1</v>
      </c>
      <c r="H1908" s="7">
        <v>45560</v>
      </c>
      <c r="I1908" s="1" t="s">
        <v>7455</v>
      </c>
      <c r="J1908" s="7">
        <v>45560</v>
      </c>
      <c r="K1908" s="1" t="s">
        <v>7455</v>
      </c>
    </row>
    <row r="1909" spans="1:11" x14ac:dyDescent="0.3">
      <c r="A1909" s="1">
        <v>1908</v>
      </c>
      <c r="B1909" s="1" t="s">
        <v>5998</v>
      </c>
      <c r="C1909" s="1" t="s">
        <v>5999</v>
      </c>
      <c r="E1909" s="1" t="s">
        <v>52</v>
      </c>
      <c r="G1909" s="1">
        <v>1</v>
      </c>
      <c r="H1909" s="7">
        <v>45560</v>
      </c>
      <c r="I1909" s="1" t="s">
        <v>7455</v>
      </c>
      <c r="J1909" s="7">
        <v>45560</v>
      </c>
      <c r="K1909" s="1" t="s">
        <v>7455</v>
      </c>
    </row>
    <row r="1910" spans="1:11" x14ac:dyDescent="0.3">
      <c r="A1910" s="1">
        <v>1909</v>
      </c>
      <c r="B1910" s="1" t="s">
        <v>6000</v>
      </c>
      <c r="C1910" s="1" t="s">
        <v>6001</v>
      </c>
      <c r="D1910" s="1" t="s">
        <v>6002</v>
      </c>
      <c r="F1910" s="1" t="s">
        <v>6003</v>
      </c>
      <c r="G1910" s="1">
        <v>1</v>
      </c>
      <c r="H1910" s="7">
        <v>45560</v>
      </c>
      <c r="I1910" s="1" t="s">
        <v>7455</v>
      </c>
      <c r="J1910" s="7">
        <v>45560</v>
      </c>
      <c r="K1910" s="1" t="s">
        <v>7455</v>
      </c>
    </row>
    <row r="1911" spans="1:11" x14ac:dyDescent="0.3">
      <c r="A1911" s="1">
        <v>1910</v>
      </c>
      <c r="B1911" s="1" t="s">
        <v>6004</v>
      </c>
      <c r="C1911" s="1" t="s">
        <v>6005</v>
      </c>
      <c r="D1911" s="1" t="s">
        <v>6006</v>
      </c>
      <c r="E1911" s="1" t="s">
        <v>73</v>
      </c>
      <c r="F1911" s="1" t="s">
        <v>6007</v>
      </c>
      <c r="G1911" s="1">
        <v>1</v>
      </c>
      <c r="H1911" s="7">
        <v>45560</v>
      </c>
      <c r="I1911" s="1" t="s">
        <v>7455</v>
      </c>
      <c r="J1911" s="7">
        <v>45560</v>
      </c>
      <c r="K1911" s="1" t="s">
        <v>7455</v>
      </c>
    </row>
    <row r="1912" spans="1:11" x14ac:dyDescent="0.3">
      <c r="A1912" s="1">
        <v>1911</v>
      </c>
      <c r="B1912" s="1" t="s">
        <v>6008</v>
      </c>
      <c r="C1912" s="1" t="s">
        <v>6009</v>
      </c>
      <c r="F1912" s="1" t="s">
        <v>6010</v>
      </c>
      <c r="G1912" s="1">
        <v>1</v>
      </c>
      <c r="H1912" s="7">
        <v>45560</v>
      </c>
      <c r="I1912" s="1" t="s">
        <v>7455</v>
      </c>
      <c r="J1912" s="7">
        <v>45560</v>
      </c>
      <c r="K1912" s="1" t="s">
        <v>7455</v>
      </c>
    </row>
    <row r="1913" spans="1:11" x14ac:dyDescent="0.3">
      <c r="A1913" s="1">
        <v>1912</v>
      </c>
      <c r="B1913" s="1" t="s">
        <v>6011</v>
      </c>
      <c r="C1913" s="1" t="s">
        <v>6012</v>
      </c>
      <c r="D1913" s="1" t="s">
        <v>6013</v>
      </c>
      <c r="F1913" s="1" t="s">
        <v>6014</v>
      </c>
      <c r="G1913" s="1">
        <v>1</v>
      </c>
      <c r="H1913" s="7">
        <v>45560</v>
      </c>
      <c r="I1913" s="1" t="s">
        <v>7455</v>
      </c>
      <c r="J1913" s="7">
        <v>45560</v>
      </c>
      <c r="K1913" s="1" t="s">
        <v>7455</v>
      </c>
    </row>
    <row r="1914" spans="1:11" x14ac:dyDescent="0.3">
      <c r="A1914" s="1">
        <v>1913</v>
      </c>
      <c r="B1914" s="1" t="s">
        <v>6015</v>
      </c>
      <c r="C1914" s="1" t="s">
        <v>6016</v>
      </c>
      <c r="F1914" s="1" t="s">
        <v>6017</v>
      </c>
      <c r="G1914" s="1">
        <v>1</v>
      </c>
      <c r="H1914" s="7">
        <v>45560</v>
      </c>
      <c r="I1914" s="1" t="s">
        <v>7455</v>
      </c>
      <c r="J1914" s="7">
        <v>45560</v>
      </c>
      <c r="K1914" s="1" t="s">
        <v>7455</v>
      </c>
    </row>
    <row r="1915" spans="1:11" x14ac:dyDescent="0.3">
      <c r="A1915" s="1">
        <v>1914</v>
      </c>
      <c r="B1915" s="1" t="s">
        <v>6018</v>
      </c>
      <c r="C1915" s="1" t="s">
        <v>6019</v>
      </c>
      <c r="D1915" s="1" t="s">
        <v>6020</v>
      </c>
      <c r="F1915" s="1" t="s">
        <v>6021</v>
      </c>
      <c r="G1915" s="1">
        <v>1</v>
      </c>
      <c r="H1915" s="7">
        <v>45560</v>
      </c>
      <c r="I1915" s="1" t="s">
        <v>7455</v>
      </c>
      <c r="J1915" s="7">
        <v>45560</v>
      </c>
      <c r="K1915" s="1" t="s">
        <v>7455</v>
      </c>
    </row>
    <row r="1916" spans="1:11" x14ac:dyDescent="0.3">
      <c r="A1916" s="1">
        <v>1915</v>
      </c>
      <c r="B1916" s="1" t="s">
        <v>6022</v>
      </c>
      <c r="C1916" s="1" t="s">
        <v>6023</v>
      </c>
      <c r="D1916" s="1" t="s">
        <v>6024</v>
      </c>
      <c r="G1916" s="1">
        <v>1</v>
      </c>
      <c r="H1916" s="7">
        <v>45560</v>
      </c>
      <c r="I1916" s="1" t="s">
        <v>7455</v>
      </c>
      <c r="J1916" s="7">
        <v>45560</v>
      </c>
      <c r="K1916" s="1" t="s">
        <v>7455</v>
      </c>
    </row>
    <row r="1917" spans="1:11" x14ac:dyDescent="0.3">
      <c r="A1917" s="1">
        <v>1916</v>
      </c>
      <c r="B1917" s="1" t="s">
        <v>6025</v>
      </c>
      <c r="C1917" s="1" t="s">
        <v>6026</v>
      </c>
      <c r="D1917" s="1" t="s">
        <v>6027</v>
      </c>
      <c r="G1917" s="1">
        <v>1</v>
      </c>
      <c r="H1917" s="7">
        <v>45560</v>
      </c>
      <c r="I1917" s="1" t="s">
        <v>7455</v>
      </c>
      <c r="J1917" s="7">
        <v>45560</v>
      </c>
      <c r="K1917" s="1" t="s">
        <v>7455</v>
      </c>
    </row>
    <row r="1918" spans="1:11" x14ac:dyDescent="0.3">
      <c r="A1918" s="1">
        <v>1917</v>
      </c>
      <c r="B1918" s="1" t="s">
        <v>6028</v>
      </c>
      <c r="C1918" s="1" t="s">
        <v>6029</v>
      </c>
      <c r="D1918" s="1" t="s">
        <v>6030</v>
      </c>
      <c r="G1918" s="1">
        <v>1</v>
      </c>
      <c r="H1918" s="7">
        <v>45560</v>
      </c>
      <c r="I1918" s="1" t="s">
        <v>7455</v>
      </c>
      <c r="J1918" s="7">
        <v>45560</v>
      </c>
      <c r="K1918" s="1" t="s">
        <v>7455</v>
      </c>
    </row>
    <row r="1919" spans="1:11" x14ac:dyDescent="0.3">
      <c r="A1919" s="1">
        <v>1918</v>
      </c>
      <c r="B1919" s="1" t="s">
        <v>6031</v>
      </c>
      <c r="C1919" s="1" t="s">
        <v>6032</v>
      </c>
      <c r="E1919" s="1" t="s">
        <v>52</v>
      </c>
      <c r="G1919" s="1">
        <v>1</v>
      </c>
      <c r="H1919" s="7">
        <v>45560</v>
      </c>
      <c r="I1919" s="1" t="s">
        <v>7455</v>
      </c>
      <c r="J1919" s="7">
        <v>45560</v>
      </c>
      <c r="K1919" s="1" t="s">
        <v>7455</v>
      </c>
    </row>
    <row r="1920" spans="1:11" x14ac:dyDescent="0.3">
      <c r="A1920" s="1">
        <v>1919</v>
      </c>
      <c r="B1920" s="1" t="s">
        <v>6033</v>
      </c>
      <c r="C1920" s="1" t="s">
        <v>6034</v>
      </c>
      <c r="D1920" s="1" t="s">
        <v>6035</v>
      </c>
      <c r="G1920" s="1">
        <v>1</v>
      </c>
      <c r="H1920" s="7">
        <v>45560</v>
      </c>
      <c r="I1920" s="1" t="s">
        <v>7455</v>
      </c>
      <c r="J1920" s="7">
        <v>45560</v>
      </c>
      <c r="K1920" s="1" t="s">
        <v>7455</v>
      </c>
    </row>
    <row r="1921" spans="1:11" x14ac:dyDescent="0.3">
      <c r="A1921" s="1">
        <v>1920</v>
      </c>
      <c r="B1921" s="1" t="s">
        <v>6036</v>
      </c>
      <c r="C1921" s="1" t="s">
        <v>6037</v>
      </c>
      <c r="E1921" s="1" t="s">
        <v>52</v>
      </c>
      <c r="G1921" s="1">
        <v>1</v>
      </c>
      <c r="H1921" s="7">
        <v>45560</v>
      </c>
      <c r="I1921" s="1" t="s">
        <v>7455</v>
      </c>
      <c r="J1921" s="7">
        <v>45560</v>
      </c>
      <c r="K1921" s="1" t="s">
        <v>7455</v>
      </c>
    </row>
    <row r="1922" spans="1:11" x14ac:dyDescent="0.3">
      <c r="A1922" s="1">
        <v>1921</v>
      </c>
      <c r="B1922" s="1" t="s">
        <v>6038</v>
      </c>
      <c r="C1922" s="1" t="s">
        <v>6039</v>
      </c>
      <c r="D1922" s="1" t="s">
        <v>6040</v>
      </c>
      <c r="G1922" s="1">
        <v>1</v>
      </c>
      <c r="H1922" s="7">
        <v>45560</v>
      </c>
      <c r="I1922" s="1" t="s">
        <v>7455</v>
      </c>
      <c r="J1922" s="7">
        <v>45560</v>
      </c>
      <c r="K1922" s="1" t="s">
        <v>7455</v>
      </c>
    </row>
    <row r="1923" spans="1:11" x14ac:dyDescent="0.3">
      <c r="A1923" s="1">
        <v>1922</v>
      </c>
      <c r="B1923" s="1" t="s">
        <v>6041</v>
      </c>
      <c r="C1923" s="1" t="s">
        <v>6042</v>
      </c>
      <c r="D1923" s="1" t="s">
        <v>6043</v>
      </c>
      <c r="G1923" s="1">
        <v>1</v>
      </c>
      <c r="H1923" s="7">
        <v>45560</v>
      </c>
      <c r="I1923" s="1" t="s">
        <v>7455</v>
      </c>
      <c r="J1923" s="7">
        <v>45560</v>
      </c>
      <c r="K1923" s="1" t="s">
        <v>7455</v>
      </c>
    </row>
    <row r="1924" spans="1:11" x14ac:dyDescent="0.3">
      <c r="A1924" s="1">
        <v>1923</v>
      </c>
      <c r="B1924" s="1" t="s">
        <v>6044</v>
      </c>
      <c r="C1924" s="1" t="s">
        <v>6045</v>
      </c>
      <c r="D1924" s="1" t="s">
        <v>6046</v>
      </c>
      <c r="F1924" s="1" t="s">
        <v>4626</v>
      </c>
      <c r="G1924" s="1">
        <v>1</v>
      </c>
      <c r="H1924" s="7">
        <v>45560</v>
      </c>
      <c r="I1924" s="1" t="s">
        <v>7455</v>
      </c>
      <c r="J1924" s="7">
        <v>45560</v>
      </c>
      <c r="K1924" s="1" t="s">
        <v>7455</v>
      </c>
    </row>
    <row r="1925" spans="1:11" x14ac:dyDescent="0.3">
      <c r="A1925" s="1">
        <v>1924</v>
      </c>
      <c r="B1925" s="1" t="s">
        <v>6047</v>
      </c>
      <c r="C1925" s="1" t="s">
        <v>6048</v>
      </c>
      <c r="D1925" s="1" t="s">
        <v>6046</v>
      </c>
      <c r="F1925" s="1" t="s">
        <v>6049</v>
      </c>
      <c r="G1925" s="1">
        <v>1</v>
      </c>
      <c r="H1925" s="7">
        <v>45560</v>
      </c>
      <c r="I1925" s="1" t="s">
        <v>7455</v>
      </c>
      <c r="J1925" s="7">
        <v>45560</v>
      </c>
      <c r="K1925" s="1" t="s">
        <v>7455</v>
      </c>
    </row>
    <row r="1926" spans="1:11" x14ac:dyDescent="0.3">
      <c r="A1926" s="1">
        <v>1925</v>
      </c>
      <c r="B1926" s="1" t="s">
        <v>6050</v>
      </c>
      <c r="C1926" s="1" t="s">
        <v>6051</v>
      </c>
      <c r="E1926" s="1" t="s">
        <v>52</v>
      </c>
      <c r="G1926" s="1">
        <v>1</v>
      </c>
      <c r="H1926" s="7">
        <v>45560</v>
      </c>
      <c r="I1926" s="1" t="s">
        <v>7455</v>
      </c>
      <c r="J1926" s="7">
        <v>45560</v>
      </c>
      <c r="K1926" s="1" t="s">
        <v>7455</v>
      </c>
    </row>
    <row r="1927" spans="1:11" x14ac:dyDescent="0.3">
      <c r="A1927" s="1">
        <v>1926</v>
      </c>
      <c r="B1927" s="1" t="s">
        <v>4721</v>
      </c>
      <c r="C1927" s="1" t="s">
        <v>6052</v>
      </c>
      <c r="D1927" s="1" t="s">
        <v>6053</v>
      </c>
      <c r="G1927" s="1">
        <v>1</v>
      </c>
      <c r="H1927" s="7">
        <v>45560</v>
      </c>
      <c r="I1927" s="1" t="s">
        <v>7455</v>
      </c>
      <c r="J1927" s="7">
        <v>45560</v>
      </c>
      <c r="K1927" s="1" t="s">
        <v>7455</v>
      </c>
    </row>
    <row r="1928" spans="1:11" x14ac:dyDescent="0.3">
      <c r="A1928" s="1">
        <v>1927</v>
      </c>
      <c r="B1928" s="1" t="s">
        <v>6054</v>
      </c>
      <c r="C1928" s="1" t="s">
        <v>6055</v>
      </c>
      <c r="E1928" s="1" t="s">
        <v>52</v>
      </c>
      <c r="G1928" s="1">
        <v>1</v>
      </c>
      <c r="H1928" s="7">
        <v>45560</v>
      </c>
      <c r="I1928" s="1" t="s">
        <v>7455</v>
      </c>
      <c r="J1928" s="7">
        <v>45560</v>
      </c>
      <c r="K1928" s="1" t="s">
        <v>7455</v>
      </c>
    </row>
    <row r="1929" spans="1:11" x14ac:dyDescent="0.3">
      <c r="A1929" s="1">
        <v>1928</v>
      </c>
      <c r="B1929" s="1" t="s">
        <v>6056</v>
      </c>
      <c r="C1929" s="1" t="s">
        <v>6057</v>
      </c>
      <c r="D1929" s="1" t="s">
        <v>6058</v>
      </c>
      <c r="F1929" s="1" t="s">
        <v>6059</v>
      </c>
      <c r="G1929" s="1">
        <v>1</v>
      </c>
      <c r="H1929" s="7">
        <v>45560</v>
      </c>
      <c r="I1929" s="1" t="s">
        <v>7455</v>
      </c>
      <c r="J1929" s="7">
        <v>45560</v>
      </c>
      <c r="K1929" s="1" t="s">
        <v>7455</v>
      </c>
    </row>
    <row r="1930" spans="1:11" x14ac:dyDescent="0.3">
      <c r="A1930" s="1">
        <v>1929</v>
      </c>
      <c r="B1930" s="1" t="s">
        <v>6060</v>
      </c>
      <c r="C1930" s="1" t="s">
        <v>6061</v>
      </c>
      <c r="D1930" s="1" t="s">
        <v>6062</v>
      </c>
      <c r="F1930" s="1" t="s">
        <v>6063</v>
      </c>
      <c r="G1930" s="1">
        <v>1</v>
      </c>
      <c r="H1930" s="7">
        <v>45560</v>
      </c>
      <c r="I1930" s="1" t="s">
        <v>7455</v>
      </c>
      <c r="J1930" s="7">
        <v>45560</v>
      </c>
      <c r="K1930" s="1" t="s">
        <v>7455</v>
      </c>
    </row>
    <row r="1931" spans="1:11" x14ac:dyDescent="0.3">
      <c r="A1931" s="1">
        <v>1930</v>
      </c>
      <c r="B1931" s="1" t="s">
        <v>6064</v>
      </c>
      <c r="C1931" s="1" t="s">
        <v>6065</v>
      </c>
      <c r="E1931" s="1" t="s">
        <v>52</v>
      </c>
      <c r="G1931" s="1">
        <v>1</v>
      </c>
      <c r="H1931" s="7">
        <v>45560</v>
      </c>
      <c r="I1931" s="1" t="s">
        <v>7455</v>
      </c>
      <c r="J1931" s="7">
        <v>45560</v>
      </c>
      <c r="K1931" s="1" t="s">
        <v>7455</v>
      </c>
    </row>
    <row r="1932" spans="1:11" x14ac:dyDescent="0.3">
      <c r="A1932" s="1">
        <v>1931</v>
      </c>
      <c r="B1932" s="1" t="s">
        <v>6066</v>
      </c>
      <c r="C1932" s="1" t="s">
        <v>6067</v>
      </c>
      <c r="E1932" s="1" t="s">
        <v>52</v>
      </c>
      <c r="G1932" s="1">
        <v>1</v>
      </c>
      <c r="H1932" s="7">
        <v>45560</v>
      </c>
      <c r="I1932" s="1" t="s">
        <v>7455</v>
      </c>
      <c r="J1932" s="7">
        <v>45560</v>
      </c>
      <c r="K1932" s="1" t="s">
        <v>7455</v>
      </c>
    </row>
    <row r="1933" spans="1:11" x14ac:dyDescent="0.3">
      <c r="A1933" s="1">
        <v>1932</v>
      </c>
      <c r="B1933" s="1" t="s">
        <v>6068</v>
      </c>
      <c r="C1933" s="1" t="s">
        <v>6069</v>
      </c>
      <c r="E1933" s="1" t="s">
        <v>52</v>
      </c>
      <c r="G1933" s="1">
        <v>1</v>
      </c>
      <c r="H1933" s="7">
        <v>45560</v>
      </c>
      <c r="I1933" s="1" t="s">
        <v>7455</v>
      </c>
      <c r="J1933" s="7">
        <v>45560</v>
      </c>
      <c r="K1933" s="1" t="s">
        <v>7455</v>
      </c>
    </row>
    <row r="1934" spans="1:11" x14ac:dyDescent="0.3">
      <c r="A1934" s="1">
        <v>1933</v>
      </c>
      <c r="B1934" s="1" t="s">
        <v>6070</v>
      </c>
      <c r="C1934" s="1" t="s">
        <v>6071</v>
      </c>
      <c r="E1934" s="1" t="s">
        <v>52</v>
      </c>
      <c r="G1934" s="1">
        <v>1</v>
      </c>
      <c r="H1934" s="7">
        <v>45560</v>
      </c>
      <c r="I1934" s="1" t="s">
        <v>7455</v>
      </c>
      <c r="J1934" s="7">
        <v>45560</v>
      </c>
      <c r="K1934" s="1" t="s">
        <v>7455</v>
      </c>
    </row>
    <row r="1935" spans="1:11" x14ac:dyDescent="0.3">
      <c r="A1935" s="1">
        <v>1934</v>
      </c>
      <c r="B1935" s="1" t="s">
        <v>6072</v>
      </c>
      <c r="C1935" s="1" t="s">
        <v>6073</v>
      </c>
      <c r="D1935" s="1" t="s">
        <v>6074</v>
      </c>
      <c r="G1935" s="1">
        <v>1</v>
      </c>
      <c r="H1935" s="7">
        <v>45560</v>
      </c>
      <c r="I1935" s="1" t="s">
        <v>7455</v>
      </c>
      <c r="J1935" s="7">
        <v>45560</v>
      </c>
      <c r="K1935" s="1" t="s">
        <v>7455</v>
      </c>
    </row>
    <row r="1936" spans="1:11" x14ac:dyDescent="0.3">
      <c r="A1936" s="1">
        <v>1935</v>
      </c>
      <c r="B1936" s="1" t="s">
        <v>6075</v>
      </c>
      <c r="C1936" s="1" t="s">
        <v>6076</v>
      </c>
      <c r="D1936" s="1" t="s">
        <v>6077</v>
      </c>
      <c r="G1936" s="1">
        <v>1</v>
      </c>
      <c r="H1936" s="7">
        <v>45560</v>
      </c>
      <c r="I1936" s="1" t="s">
        <v>7455</v>
      </c>
      <c r="J1936" s="7">
        <v>45560</v>
      </c>
      <c r="K1936" s="1" t="s">
        <v>7455</v>
      </c>
    </row>
    <row r="1937" spans="1:11" ht="72" x14ac:dyDescent="0.3">
      <c r="A1937" s="1">
        <v>1936</v>
      </c>
      <c r="B1937" s="1" t="s">
        <v>6078</v>
      </c>
      <c r="C1937" s="1" t="s">
        <v>6079</v>
      </c>
      <c r="D1937" s="8" t="s">
        <v>6080</v>
      </c>
      <c r="G1937" s="1">
        <v>1</v>
      </c>
      <c r="H1937" s="7">
        <v>45560</v>
      </c>
      <c r="I1937" s="1" t="s">
        <v>7455</v>
      </c>
      <c r="J1937" s="7">
        <v>45560</v>
      </c>
      <c r="K1937" s="1" t="s">
        <v>7455</v>
      </c>
    </row>
    <row r="1938" spans="1:11" x14ac:dyDescent="0.3">
      <c r="A1938" s="1">
        <v>1937</v>
      </c>
      <c r="B1938" s="1" t="s">
        <v>6081</v>
      </c>
      <c r="C1938" s="1" t="s">
        <v>6082</v>
      </c>
      <c r="E1938" s="1" t="s">
        <v>52</v>
      </c>
      <c r="G1938" s="1">
        <v>1</v>
      </c>
      <c r="H1938" s="7">
        <v>45560</v>
      </c>
      <c r="I1938" s="1" t="s">
        <v>7455</v>
      </c>
      <c r="J1938" s="7">
        <v>45560</v>
      </c>
      <c r="K1938" s="1" t="s">
        <v>7455</v>
      </c>
    </row>
    <row r="1939" spans="1:11" x14ac:dyDescent="0.3">
      <c r="A1939" s="1">
        <v>1938</v>
      </c>
      <c r="B1939" s="1" t="s">
        <v>6083</v>
      </c>
      <c r="C1939" s="1" t="s">
        <v>6084</v>
      </c>
      <c r="E1939" s="1" t="s">
        <v>52</v>
      </c>
      <c r="G1939" s="1">
        <v>1</v>
      </c>
      <c r="H1939" s="7">
        <v>45560</v>
      </c>
      <c r="I1939" s="1" t="s">
        <v>7455</v>
      </c>
      <c r="J1939" s="7">
        <v>45560</v>
      </c>
      <c r="K1939" s="1" t="s">
        <v>7455</v>
      </c>
    </row>
    <row r="1940" spans="1:11" x14ac:dyDescent="0.3">
      <c r="A1940" s="1">
        <v>1939</v>
      </c>
      <c r="B1940" s="1" t="s">
        <v>6085</v>
      </c>
      <c r="C1940" s="1" t="s">
        <v>6086</v>
      </c>
      <c r="D1940" s="1" t="s">
        <v>6087</v>
      </c>
      <c r="F1940" s="1" t="s">
        <v>6088</v>
      </c>
      <c r="G1940" s="1">
        <v>1</v>
      </c>
      <c r="H1940" s="7">
        <v>45560</v>
      </c>
      <c r="I1940" s="1" t="s">
        <v>7455</v>
      </c>
      <c r="J1940" s="7">
        <v>45560</v>
      </c>
      <c r="K1940" s="1" t="s">
        <v>7455</v>
      </c>
    </row>
    <row r="1941" spans="1:11" x14ac:dyDescent="0.3">
      <c r="A1941" s="1">
        <v>1940</v>
      </c>
      <c r="B1941" s="1" t="s">
        <v>6089</v>
      </c>
      <c r="C1941" s="1" t="s">
        <v>6090</v>
      </c>
      <c r="D1941" s="1" t="s">
        <v>6091</v>
      </c>
      <c r="G1941" s="1">
        <v>1</v>
      </c>
      <c r="H1941" s="7">
        <v>45560</v>
      </c>
      <c r="I1941" s="1" t="s">
        <v>7455</v>
      </c>
      <c r="J1941" s="7">
        <v>45560</v>
      </c>
      <c r="K1941" s="1" t="s">
        <v>7455</v>
      </c>
    </row>
    <row r="1942" spans="1:11" x14ac:dyDescent="0.3">
      <c r="A1942" s="1">
        <v>1941</v>
      </c>
      <c r="B1942" s="1" t="s">
        <v>6092</v>
      </c>
      <c r="C1942" s="1" t="s">
        <v>6093</v>
      </c>
      <c r="D1942" s="1" t="s">
        <v>6094</v>
      </c>
      <c r="G1942" s="1">
        <v>1</v>
      </c>
      <c r="H1942" s="7">
        <v>45560</v>
      </c>
      <c r="I1942" s="1" t="s">
        <v>7455</v>
      </c>
      <c r="J1942" s="7">
        <v>45560</v>
      </c>
      <c r="K1942" s="1" t="s">
        <v>7455</v>
      </c>
    </row>
    <row r="1943" spans="1:11" x14ac:dyDescent="0.3">
      <c r="A1943" s="1">
        <v>1942</v>
      </c>
      <c r="B1943" s="1" t="s">
        <v>6095</v>
      </c>
      <c r="C1943" s="1" t="s">
        <v>6096</v>
      </c>
      <c r="D1943" s="1" t="s">
        <v>6097</v>
      </c>
      <c r="E1943" s="1" t="s">
        <v>73</v>
      </c>
      <c r="G1943" s="1">
        <v>1</v>
      </c>
      <c r="H1943" s="7">
        <v>45560</v>
      </c>
      <c r="I1943" s="1" t="s">
        <v>7455</v>
      </c>
      <c r="J1943" s="7">
        <v>45560</v>
      </c>
      <c r="K1943" s="1" t="s">
        <v>7455</v>
      </c>
    </row>
    <row r="1944" spans="1:11" x14ac:dyDescent="0.3">
      <c r="A1944" s="1">
        <v>1943</v>
      </c>
      <c r="B1944" s="1" t="s">
        <v>6098</v>
      </c>
      <c r="C1944" s="1" t="s">
        <v>6099</v>
      </c>
      <c r="D1944" s="1" t="s">
        <v>6100</v>
      </c>
      <c r="F1944" s="1" t="s">
        <v>6101</v>
      </c>
      <c r="G1944" s="1">
        <v>1</v>
      </c>
      <c r="H1944" s="7">
        <v>45560</v>
      </c>
      <c r="I1944" s="1" t="s">
        <v>7455</v>
      </c>
      <c r="J1944" s="7">
        <v>45560</v>
      </c>
      <c r="K1944" s="1" t="s">
        <v>7455</v>
      </c>
    </row>
    <row r="1945" spans="1:11" x14ac:dyDescent="0.3">
      <c r="A1945" s="1">
        <v>1944</v>
      </c>
      <c r="B1945" s="1" t="s">
        <v>6102</v>
      </c>
      <c r="C1945" s="1" t="s">
        <v>6103</v>
      </c>
      <c r="E1945" s="1" t="s">
        <v>52</v>
      </c>
      <c r="G1945" s="1">
        <v>1</v>
      </c>
      <c r="H1945" s="7">
        <v>45560</v>
      </c>
      <c r="I1945" s="1" t="s">
        <v>7455</v>
      </c>
      <c r="J1945" s="7">
        <v>45560</v>
      </c>
      <c r="K1945" s="1" t="s">
        <v>7455</v>
      </c>
    </row>
    <row r="1946" spans="1:11" x14ac:dyDescent="0.3">
      <c r="A1946" s="1">
        <v>1945</v>
      </c>
      <c r="B1946" s="1" t="s">
        <v>6104</v>
      </c>
      <c r="C1946" s="1" t="s">
        <v>6105</v>
      </c>
      <c r="D1946" s="1" t="s">
        <v>6106</v>
      </c>
      <c r="G1946" s="1">
        <v>1</v>
      </c>
      <c r="H1946" s="7">
        <v>45560</v>
      </c>
      <c r="I1946" s="1" t="s">
        <v>7455</v>
      </c>
      <c r="J1946" s="7">
        <v>45560</v>
      </c>
      <c r="K1946" s="1" t="s">
        <v>7455</v>
      </c>
    </row>
    <row r="1947" spans="1:11" x14ac:dyDescent="0.3">
      <c r="A1947" s="1">
        <v>1946</v>
      </c>
      <c r="B1947" s="1" t="s">
        <v>6107</v>
      </c>
      <c r="C1947" s="1" t="s">
        <v>6108</v>
      </c>
      <c r="D1947" s="1" t="s">
        <v>6109</v>
      </c>
      <c r="F1947" s="1" t="s">
        <v>6110</v>
      </c>
      <c r="G1947" s="1">
        <v>1</v>
      </c>
      <c r="H1947" s="7">
        <v>45560</v>
      </c>
      <c r="I1947" s="1" t="s">
        <v>7455</v>
      </c>
      <c r="J1947" s="7">
        <v>45560</v>
      </c>
      <c r="K1947" s="1" t="s">
        <v>7455</v>
      </c>
    </row>
    <row r="1948" spans="1:11" x14ac:dyDescent="0.3">
      <c r="A1948" s="1">
        <v>1947</v>
      </c>
      <c r="B1948" s="1" t="s">
        <v>6111</v>
      </c>
      <c r="C1948" s="1" t="s">
        <v>6112</v>
      </c>
      <c r="E1948" s="1" t="s">
        <v>52</v>
      </c>
      <c r="F1948" s="1" t="s">
        <v>6113</v>
      </c>
      <c r="G1948" s="1">
        <v>1</v>
      </c>
      <c r="H1948" s="7">
        <v>45560</v>
      </c>
      <c r="I1948" s="1" t="s">
        <v>7455</v>
      </c>
      <c r="J1948" s="7">
        <v>45560</v>
      </c>
      <c r="K1948" s="1" t="s">
        <v>7455</v>
      </c>
    </row>
    <row r="1949" spans="1:11" x14ac:dyDescent="0.3">
      <c r="A1949" s="1">
        <v>1948</v>
      </c>
      <c r="B1949" s="1" t="s">
        <v>6114</v>
      </c>
      <c r="C1949" s="1" t="s">
        <v>6115</v>
      </c>
      <c r="D1949" s="1" t="s">
        <v>6116</v>
      </c>
      <c r="G1949" s="1">
        <v>1</v>
      </c>
      <c r="H1949" s="7">
        <v>45560</v>
      </c>
      <c r="I1949" s="1" t="s">
        <v>7455</v>
      </c>
      <c r="J1949" s="7">
        <v>45560</v>
      </c>
      <c r="K1949" s="1" t="s">
        <v>7455</v>
      </c>
    </row>
    <row r="1950" spans="1:11" x14ac:dyDescent="0.3">
      <c r="A1950" s="1">
        <v>1949</v>
      </c>
      <c r="B1950" s="1" t="s">
        <v>6117</v>
      </c>
      <c r="C1950" s="1" t="s">
        <v>6118</v>
      </c>
      <c r="D1950" s="1" t="s">
        <v>6119</v>
      </c>
      <c r="G1950" s="1">
        <v>1</v>
      </c>
      <c r="H1950" s="7">
        <v>45560</v>
      </c>
      <c r="I1950" s="1" t="s">
        <v>7455</v>
      </c>
      <c r="J1950" s="7">
        <v>45560</v>
      </c>
      <c r="K1950" s="1" t="s">
        <v>7455</v>
      </c>
    </row>
    <row r="1951" spans="1:11" x14ac:dyDescent="0.3">
      <c r="A1951" s="1">
        <v>1950</v>
      </c>
      <c r="B1951" s="1" t="s">
        <v>6120</v>
      </c>
      <c r="C1951" s="1" t="s">
        <v>6121</v>
      </c>
      <c r="D1951" s="1" t="s">
        <v>6122</v>
      </c>
      <c r="G1951" s="1">
        <v>1</v>
      </c>
      <c r="H1951" s="7">
        <v>45560</v>
      </c>
      <c r="I1951" s="1" t="s">
        <v>7455</v>
      </c>
      <c r="J1951" s="7">
        <v>45560</v>
      </c>
      <c r="K1951" s="1" t="s">
        <v>7455</v>
      </c>
    </row>
    <row r="1952" spans="1:11" x14ac:dyDescent="0.3">
      <c r="A1952" s="1">
        <v>1951</v>
      </c>
      <c r="B1952" s="1" t="s">
        <v>6123</v>
      </c>
      <c r="C1952" s="1" t="s">
        <v>6124</v>
      </c>
      <c r="E1952" s="1" t="s">
        <v>52</v>
      </c>
      <c r="G1952" s="1">
        <v>1</v>
      </c>
      <c r="H1952" s="7">
        <v>45560</v>
      </c>
      <c r="I1952" s="1" t="s">
        <v>7455</v>
      </c>
      <c r="J1952" s="7">
        <v>45560</v>
      </c>
      <c r="K1952" s="1" t="s">
        <v>7455</v>
      </c>
    </row>
    <row r="1953" spans="1:11" x14ac:dyDescent="0.3">
      <c r="A1953" s="1">
        <v>1952</v>
      </c>
      <c r="B1953" s="1" t="s">
        <v>6125</v>
      </c>
      <c r="C1953" s="1" t="s">
        <v>6126</v>
      </c>
      <c r="E1953" s="1" t="s">
        <v>52</v>
      </c>
      <c r="G1953" s="1">
        <v>1</v>
      </c>
      <c r="H1953" s="7">
        <v>45560</v>
      </c>
      <c r="I1953" s="1" t="s">
        <v>7455</v>
      </c>
      <c r="J1953" s="7">
        <v>45560</v>
      </c>
      <c r="K1953" s="1" t="s">
        <v>7455</v>
      </c>
    </row>
    <row r="1954" spans="1:11" x14ac:dyDescent="0.3">
      <c r="A1954" s="1">
        <v>1953</v>
      </c>
      <c r="B1954" s="1" t="s">
        <v>6127</v>
      </c>
      <c r="C1954" s="1" t="s">
        <v>6128</v>
      </c>
      <c r="D1954" s="1" t="s">
        <v>6129</v>
      </c>
      <c r="G1954" s="1">
        <v>1</v>
      </c>
      <c r="H1954" s="7">
        <v>45560</v>
      </c>
      <c r="I1954" s="1" t="s">
        <v>7455</v>
      </c>
      <c r="J1954" s="7">
        <v>45560</v>
      </c>
      <c r="K1954" s="1" t="s">
        <v>7455</v>
      </c>
    </row>
    <row r="1955" spans="1:11" x14ac:dyDescent="0.3">
      <c r="A1955" s="1">
        <v>1954</v>
      </c>
      <c r="B1955" s="1" t="s">
        <v>6130</v>
      </c>
      <c r="C1955" s="1" t="s">
        <v>6131</v>
      </c>
      <c r="F1955" s="1" t="s">
        <v>2644</v>
      </c>
      <c r="G1955" s="1">
        <v>1</v>
      </c>
      <c r="H1955" s="7">
        <v>45560</v>
      </c>
      <c r="I1955" s="1" t="s">
        <v>7455</v>
      </c>
      <c r="J1955" s="7">
        <v>45560</v>
      </c>
      <c r="K1955" s="1" t="s">
        <v>7455</v>
      </c>
    </row>
    <row r="1956" spans="1:11" x14ac:dyDescent="0.3">
      <c r="A1956" s="1">
        <v>1955</v>
      </c>
      <c r="B1956" s="1" t="s">
        <v>6132</v>
      </c>
      <c r="C1956" s="1" t="s">
        <v>6133</v>
      </c>
      <c r="D1956" s="1" t="s">
        <v>6134</v>
      </c>
      <c r="G1956" s="1">
        <v>1</v>
      </c>
      <c r="H1956" s="7">
        <v>45560</v>
      </c>
      <c r="I1956" s="1" t="s">
        <v>7455</v>
      </c>
      <c r="J1956" s="7">
        <v>45560</v>
      </c>
      <c r="K1956" s="1" t="s">
        <v>7455</v>
      </c>
    </row>
    <row r="1957" spans="1:11" x14ac:dyDescent="0.3">
      <c r="A1957" s="1">
        <v>1956</v>
      </c>
      <c r="B1957" s="1" t="s">
        <v>6135</v>
      </c>
      <c r="C1957" s="1" t="s">
        <v>6136</v>
      </c>
      <c r="D1957" s="1" t="s">
        <v>6137</v>
      </c>
      <c r="G1957" s="1">
        <v>1</v>
      </c>
      <c r="H1957" s="7">
        <v>45560</v>
      </c>
      <c r="I1957" s="1" t="s">
        <v>7455</v>
      </c>
      <c r="J1957" s="7">
        <v>45560</v>
      </c>
      <c r="K1957" s="1" t="s">
        <v>7455</v>
      </c>
    </row>
    <row r="1958" spans="1:11" x14ac:dyDescent="0.3">
      <c r="A1958" s="1">
        <v>1957</v>
      </c>
      <c r="B1958" s="1" t="s">
        <v>6138</v>
      </c>
      <c r="C1958" s="1" t="s">
        <v>6139</v>
      </c>
      <c r="D1958" s="1" t="s">
        <v>6140</v>
      </c>
      <c r="F1958" s="1" t="s">
        <v>6141</v>
      </c>
      <c r="G1958" s="1">
        <v>1</v>
      </c>
      <c r="H1958" s="7">
        <v>45560</v>
      </c>
      <c r="I1958" s="1" t="s">
        <v>7455</v>
      </c>
      <c r="J1958" s="7">
        <v>45560</v>
      </c>
      <c r="K1958" s="1" t="s">
        <v>7455</v>
      </c>
    </row>
    <row r="1959" spans="1:11" x14ac:dyDescent="0.3">
      <c r="A1959" s="1">
        <v>1958</v>
      </c>
      <c r="B1959" s="1" t="s">
        <v>6142</v>
      </c>
      <c r="C1959" s="1" t="s">
        <v>6143</v>
      </c>
      <c r="D1959" s="1" t="s">
        <v>6144</v>
      </c>
      <c r="G1959" s="1">
        <v>1</v>
      </c>
      <c r="H1959" s="7">
        <v>45560</v>
      </c>
      <c r="I1959" s="1" t="s">
        <v>7455</v>
      </c>
      <c r="J1959" s="7">
        <v>45560</v>
      </c>
      <c r="K1959" s="1" t="s">
        <v>7455</v>
      </c>
    </row>
    <row r="1960" spans="1:11" x14ac:dyDescent="0.3">
      <c r="A1960" s="1">
        <v>1959</v>
      </c>
      <c r="B1960" s="1" t="s">
        <v>6145</v>
      </c>
      <c r="C1960" s="1" t="s">
        <v>6146</v>
      </c>
      <c r="D1960" s="1" t="s">
        <v>6147</v>
      </c>
      <c r="G1960" s="1">
        <v>1</v>
      </c>
      <c r="H1960" s="7">
        <v>45560</v>
      </c>
      <c r="I1960" s="1" t="s">
        <v>7455</v>
      </c>
      <c r="J1960" s="7">
        <v>45560</v>
      </c>
      <c r="K1960" s="1" t="s">
        <v>7455</v>
      </c>
    </row>
    <row r="1961" spans="1:11" x14ac:dyDescent="0.3">
      <c r="A1961" s="1">
        <v>1960</v>
      </c>
      <c r="B1961" s="1" t="s">
        <v>6148</v>
      </c>
      <c r="C1961" s="1" t="s">
        <v>6149</v>
      </c>
      <c r="D1961" s="1" t="s">
        <v>6150</v>
      </c>
      <c r="G1961" s="1">
        <v>1</v>
      </c>
      <c r="H1961" s="7">
        <v>45560</v>
      </c>
      <c r="I1961" s="1" t="s">
        <v>7455</v>
      </c>
      <c r="J1961" s="7">
        <v>45560</v>
      </c>
      <c r="K1961" s="1" t="s">
        <v>7455</v>
      </c>
    </row>
    <row r="1962" spans="1:11" x14ac:dyDescent="0.3">
      <c r="A1962" s="1">
        <v>1961</v>
      </c>
      <c r="B1962" s="1" t="s">
        <v>6151</v>
      </c>
      <c r="C1962" s="1" t="s">
        <v>6152</v>
      </c>
      <c r="D1962" s="1" t="s">
        <v>6153</v>
      </c>
      <c r="G1962" s="1">
        <v>1</v>
      </c>
      <c r="H1962" s="7">
        <v>45560</v>
      </c>
      <c r="I1962" s="1" t="s">
        <v>7455</v>
      </c>
      <c r="J1962" s="7">
        <v>45560</v>
      </c>
      <c r="K1962" s="1" t="s">
        <v>7455</v>
      </c>
    </row>
    <row r="1963" spans="1:11" x14ac:dyDescent="0.3">
      <c r="A1963" s="1">
        <v>1962</v>
      </c>
      <c r="B1963" s="1" t="s">
        <v>6154</v>
      </c>
      <c r="C1963" s="1" t="s">
        <v>6155</v>
      </c>
      <c r="D1963" s="1" t="s">
        <v>6156</v>
      </c>
      <c r="G1963" s="1">
        <v>1</v>
      </c>
      <c r="H1963" s="7">
        <v>45560</v>
      </c>
      <c r="I1963" s="1" t="s">
        <v>7455</v>
      </c>
      <c r="J1963" s="7">
        <v>45560</v>
      </c>
      <c r="K1963" s="1" t="s">
        <v>7455</v>
      </c>
    </row>
    <row r="1964" spans="1:11" x14ac:dyDescent="0.3">
      <c r="A1964" s="1">
        <v>1963</v>
      </c>
      <c r="B1964" s="1" t="s">
        <v>6157</v>
      </c>
      <c r="C1964" s="1" t="s">
        <v>6158</v>
      </c>
      <c r="E1964" s="1" t="s">
        <v>52</v>
      </c>
      <c r="G1964" s="1">
        <v>1</v>
      </c>
      <c r="H1964" s="7">
        <v>45560</v>
      </c>
      <c r="I1964" s="1" t="s">
        <v>7455</v>
      </c>
      <c r="J1964" s="7">
        <v>45560</v>
      </c>
      <c r="K1964" s="1" t="s">
        <v>7455</v>
      </c>
    </row>
    <row r="1965" spans="1:11" x14ac:dyDescent="0.3">
      <c r="A1965" s="1">
        <v>1964</v>
      </c>
      <c r="B1965" s="1" t="s">
        <v>6159</v>
      </c>
      <c r="C1965" s="1" t="s">
        <v>6160</v>
      </c>
      <c r="D1965" s="1" t="s">
        <v>6161</v>
      </c>
      <c r="G1965" s="1">
        <v>1</v>
      </c>
      <c r="H1965" s="7">
        <v>45560</v>
      </c>
      <c r="I1965" s="1" t="s">
        <v>7455</v>
      </c>
      <c r="J1965" s="7">
        <v>45560</v>
      </c>
      <c r="K1965" s="1" t="s">
        <v>7455</v>
      </c>
    </row>
    <row r="1966" spans="1:11" x14ac:dyDescent="0.3">
      <c r="A1966" s="1">
        <v>1965</v>
      </c>
      <c r="B1966" s="1" t="s">
        <v>6162</v>
      </c>
      <c r="C1966" s="1" t="s">
        <v>6163</v>
      </c>
      <c r="E1966" s="1" t="s">
        <v>52</v>
      </c>
      <c r="G1966" s="1">
        <v>1</v>
      </c>
      <c r="H1966" s="7">
        <v>45560</v>
      </c>
      <c r="I1966" s="1" t="s">
        <v>7455</v>
      </c>
      <c r="J1966" s="7">
        <v>45560</v>
      </c>
      <c r="K1966" s="1" t="s">
        <v>7455</v>
      </c>
    </row>
    <row r="1967" spans="1:11" x14ac:dyDescent="0.3">
      <c r="A1967" s="1">
        <v>1966</v>
      </c>
      <c r="B1967" s="1" t="s">
        <v>6164</v>
      </c>
      <c r="C1967" s="1" t="s">
        <v>6165</v>
      </c>
      <c r="E1967" s="1" t="s">
        <v>52</v>
      </c>
      <c r="G1967" s="1">
        <v>1</v>
      </c>
      <c r="H1967" s="7">
        <v>45560</v>
      </c>
      <c r="I1967" s="1" t="s">
        <v>7455</v>
      </c>
      <c r="J1967" s="7">
        <v>45560</v>
      </c>
      <c r="K1967" s="1" t="s">
        <v>7455</v>
      </c>
    </row>
    <row r="1968" spans="1:11" x14ac:dyDescent="0.3">
      <c r="A1968" s="1">
        <v>1967</v>
      </c>
      <c r="B1968" s="1" t="s">
        <v>6166</v>
      </c>
      <c r="C1968" s="1" t="s">
        <v>6167</v>
      </c>
      <c r="E1968" s="1" t="s">
        <v>52</v>
      </c>
      <c r="G1968" s="1">
        <v>1</v>
      </c>
      <c r="H1968" s="7">
        <v>45560</v>
      </c>
      <c r="I1968" s="1" t="s">
        <v>7455</v>
      </c>
      <c r="J1968" s="7">
        <v>45560</v>
      </c>
      <c r="K1968" s="1" t="s">
        <v>7455</v>
      </c>
    </row>
    <row r="1969" spans="1:11" x14ac:dyDescent="0.3">
      <c r="A1969" s="1">
        <v>1968</v>
      </c>
      <c r="B1969" s="1" t="s">
        <v>6168</v>
      </c>
      <c r="C1969" s="1" t="s">
        <v>6169</v>
      </c>
      <c r="E1969" s="1" t="s">
        <v>52</v>
      </c>
      <c r="G1969" s="1">
        <v>1</v>
      </c>
      <c r="H1969" s="7">
        <v>45560</v>
      </c>
      <c r="I1969" s="1" t="s">
        <v>7455</v>
      </c>
      <c r="J1969" s="7">
        <v>45560</v>
      </c>
      <c r="K1969" s="1" t="s">
        <v>7455</v>
      </c>
    </row>
    <row r="1970" spans="1:11" x14ac:dyDescent="0.3">
      <c r="A1970" s="1">
        <v>1969</v>
      </c>
      <c r="B1970" s="1" t="s">
        <v>6170</v>
      </c>
      <c r="C1970" s="1" t="s">
        <v>6171</v>
      </c>
      <c r="E1970" s="1" t="s">
        <v>52</v>
      </c>
      <c r="G1970" s="1">
        <v>1</v>
      </c>
      <c r="H1970" s="7">
        <v>45560</v>
      </c>
      <c r="I1970" s="1" t="s">
        <v>7455</v>
      </c>
      <c r="J1970" s="7">
        <v>45560</v>
      </c>
      <c r="K1970" s="1" t="s">
        <v>7455</v>
      </c>
    </row>
    <row r="1971" spans="1:11" x14ac:dyDescent="0.3">
      <c r="A1971" s="1">
        <v>1970</v>
      </c>
      <c r="B1971" s="1" t="s">
        <v>6172</v>
      </c>
      <c r="C1971" s="1" t="s">
        <v>6173</v>
      </c>
      <c r="E1971" s="1" t="s">
        <v>52</v>
      </c>
      <c r="G1971" s="1">
        <v>1</v>
      </c>
      <c r="H1971" s="7">
        <v>45560</v>
      </c>
      <c r="I1971" s="1" t="s">
        <v>7455</v>
      </c>
      <c r="J1971" s="7">
        <v>45560</v>
      </c>
      <c r="K1971" s="1" t="s">
        <v>7455</v>
      </c>
    </row>
    <row r="1972" spans="1:11" x14ac:dyDescent="0.3">
      <c r="A1972" s="1">
        <v>1971</v>
      </c>
      <c r="B1972" s="1" t="s">
        <v>6174</v>
      </c>
      <c r="C1972" s="1" t="s">
        <v>6175</v>
      </c>
      <c r="D1972" s="1" t="s">
        <v>6176</v>
      </c>
      <c r="E1972" s="1" t="s">
        <v>73</v>
      </c>
      <c r="G1972" s="1">
        <v>1</v>
      </c>
      <c r="H1972" s="7">
        <v>45560</v>
      </c>
      <c r="I1972" s="1" t="s">
        <v>7455</v>
      </c>
      <c r="J1972" s="7">
        <v>45560</v>
      </c>
      <c r="K1972" s="1" t="s">
        <v>7455</v>
      </c>
    </row>
    <row r="1973" spans="1:11" x14ac:dyDescent="0.3">
      <c r="A1973" s="1">
        <v>1972</v>
      </c>
      <c r="B1973" s="1" t="s">
        <v>6177</v>
      </c>
      <c r="C1973" s="1" t="s">
        <v>6178</v>
      </c>
      <c r="F1973" s="1" t="s">
        <v>6179</v>
      </c>
      <c r="G1973" s="1">
        <v>1</v>
      </c>
      <c r="H1973" s="7">
        <v>45560</v>
      </c>
      <c r="I1973" s="1" t="s">
        <v>7455</v>
      </c>
      <c r="J1973" s="7">
        <v>45560</v>
      </c>
      <c r="K1973" s="1" t="s">
        <v>7455</v>
      </c>
    </row>
    <row r="1974" spans="1:11" x14ac:dyDescent="0.3">
      <c r="A1974" s="1">
        <v>1973</v>
      </c>
      <c r="B1974" s="1" t="s">
        <v>6180</v>
      </c>
      <c r="C1974" s="1" t="s">
        <v>6181</v>
      </c>
      <c r="D1974" s="1" t="s">
        <v>6182</v>
      </c>
      <c r="F1974" s="1" t="s">
        <v>6180</v>
      </c>
      <c r="G1974" s="1">
        <v>1</v>
      </c>
      <c r="H1974" s="7">
        <v>45560</v>
      </c>
      <c r="I1974" s="1" t="s">
        <v>7455</v>
      </c>
      <c r="J1974" s="7">
        <v>45560</v>
      </c>
      <c r="K1974" s="1" t="s">
        <v>7455</v>
      </c>
    </row>
    <row r="1975" spans="1:11" x14ac:dyDescent="0.3">
      <c r="A1975" s="1">
        <v>1974</v>
      </c>
      <c r="B1975" s="1" t="s">
        <v>6183</v>
      </c>
      <c r="C1975" s="1" t="s">
        <v>6184</v>
      </c>
      <c r="E1975" s="1" t="s">
        <v>52</v>
      </c>
      <c r="G1975" s="1">
        <v>1</v>
      </c>
      <c r="H1975" s="7">
        <v>45560</v>
      </c>
      <c r="I1975" s="1" t="s">
        <v>7455</v>
      </c>
      <c r="J1975" s="7">
        <v>45560</v>
      </c>
      <c r="K1975" s="1" t="s">
        <v>7455</v>
      </c>
    </row>
    <row r="1976" spans="1:11" x14ac:dyDescent="0.3">
      <c r="A1976" s="1">
        <v>1975</v>
      </c>
      <c r="B1976" s="1" t="s">
        <v>6185</v>
      </c>
      <c r="C1976" s="1" t="s">
        <v>6186</v>
      </c>
      <c r="E1976" s="1" t="s">
        <v>52</v>
      </c>
      <c r="G1976" s="1">
        <v>1</v>
      </c>
      <c r="H1976" s="7">
        <v>45560</v>
      </c>
      <c r="I1976" s="1" t="s">
        <v>7455</v>
      </c>
      <c r="J1976" s="7">
        <v>45560</v>
      </c>
      <c r="K1976" s="1" t="s">
        <v>7455</v>
      </c>
    </row>
    <row r="1977" spans="1:11" x14ac:dyDescent="0.3">
      <c r="A1977" s="1">
        <v>1976</v>
      </c>
      <c r="B1977" s="1" t="s">
        <v>6187</v>
      </c>
      <c r="C1977" s="1" t="s">
        <v>6188</v>
      </c>
      <c r="E1977" s="1" t="s">
        <v>52</v>
      </c>
      <c r="G1977" s="1">
        <v>1</v>
      </c>
      <c r="H1977" s="7">
        <v>45560</v>
      </c>
      <c r="I1977" s="1" t="s">
        <v>7455</v>
      </c>
      <c r="J1977" s="7">
        <v>45560</v>
      </c>
      <c r="K1977" s="1" t="s">
        <v>7455</v>
      </c>
    </row>
    <row r="1978" spans="1:11" x14ac:dyDescent="0.3">
      <c r="A1978" s="1">
        <v>1977</v>
      </c>
      <c r="B1978" s="1" t="s">
        <v>6189</v>
      </c>
      <c r="C1978" s="1" t="s">
        <v>6190</v>
      </c>
      <c r="E1978" s="1" t="s">
        <v>52</v>
      </c>
      <c r="G1978" s="1">
        <v>1</v>
      </c>
      <c r="H1978" s="7">
        <v>45560</v>
      </c>
      <c r="I1978" s="1" t="s">
        <v>7455</v>
      </c>
      <c r="J1978" s="7">
        <v>45560</v>
      </c>
      <c r="K1978" s="1" t="s">
        <v>7455</v>
      </c>
    </row>
    <row r="1979" spans="1:11" x14ac:dyDescent="0.3">
      <c r="A1979" s="1">
        <v>1978</v>
      </c>
      <c r="B1979" s="1" t="s">
        <v>6191</v>
      </c>
      <c r="C1979" s="1" t="s">
        <v>6192</v>
      </c>
      <c r="D1979" s="1" t="s">
        <v>6193</v>
      </c>
      <c r="G1979" s="1">
        <v>1</v>
      </c>
      <c r="H1979" s="7">
        <v>45560</v>
      </c>
      <c r="I1979" s="1" t="s">
        <v>7455</v>
      </c>
      <c r="J1979" s="7">
        <v>45560</v>
      </c>
      <c r="K1979" s="1" t="s">
        <v>7455</v>
      </c>
    </row>
    <row r="1980" spans="1:11" x14ac:dyDescent="0.3">
      <c r="A1980" s="1">
        <v>1979</v>
      </c>
      <c r="B1980" s="1" t="s">
        <v>6194</v>
      </c>
      <c r="C1980" s="1" t="s">
        <v>6195</v>
      </c>
      <c r="D1980" s="1" t="s">
        <v>6196</v>
      </c>
      <c r="G1980" s="1">
        <v>1</v>
      </c>
      <c r="H1980" s="7">
        <v>45560</v>
      </c>
      <c r="I1980" s="1" t="s">
        <v>7455</v>
      </c>
      <c r="J1980" s="7">
        <v>45560</v>
      </c>
      <c r="K1980" s="1" t="s">
        <v>7455</v>
      </c>
    </row>
    <row r="1981" spans="1:11" x14ac:dyDescent="0.3">
      <c r="A1981" s="1">
        <v>1980</v>
      </c>
      <c r="B1981" s="1" t="s">
        <v>6197</v>
      </c>
      <c r="C1981" s="1" t="s">
        <v>6198</v>
      </c>
      <c r="D1981" s="1" t="s">
        <v>6199</v>
      </c>
      <c r="G1981" s="1">
        <v>1</v>
      </c>
      <c r="H1981" s="7">
        <v>45560</v>
      </c>
      <c r="I1981" s="1" t="s">
        <v>7455</v>
      </c>
      <c r="J1981" s="7">
        <v>45560</v>
      </c>
      <c r="K1981" s="1" t="s">
        <v>7455</v>
      </c>
    </row>
    <row r="1982" spans="1:11" x14ac:dyDescent="0.3">
      <c r="A1982" s="1">
        <v>1981</v>
      </c>
      <c r="B1982" s="1" t="s">
        <v>1563</v>
      </c>
      <c r="C1982" s="1" t="s">
        <v>6200</v>
      </c>
      <c r="E1982" s="1" t="s">
        <v>52</v>
      </c>
      <c r="G1982" s="1">
        <v>1</v>
      </c>
      <c r="H1982" s="7">
        <v>45560</v>
      </c>
      <c r="I1982" s="1" t="s">
        <v>7455</v>
      </c>
      <c r="J1982" s="7">
        <v>45560</v>
      </c>
      <c r="K1982" s="1" t="s">
        <v>7455</v>
      </c>
    </row>
    <row r="1983" spans="1:11" x14ac:dyDescent="0.3">
      <c r="A1983" s="1">
        <v>1982</v>
      </c>
      <c r="B1983" s="1" t="s">
        <v>6201</v>
      </c>
      <c r="C1983" s="1" t="s">
        <v>6202</v>
      </c>
      <c r="D1983" s="1" t="s">
        <v>6203</v>
      </c>
      <c r="F1983" s="1" t="s">
        <v>6204</v>
      </c>
      <c r="G1983" s="1">
        <v>1</v>
      </c>
      <c r="H1983" s="7">
        <v>45560</v>
      </c>
      <c r="I1983" s="1" t="s">
        <v>7455</v>
      </c>
      <c r="J1983" s="7">
        <v>45560</v>
      </c>
      <c r="K1983" s="1" t="s">
        <v>7455</v>
      </c>
    </row>
    <row r="1984" spans="1:11" x14ac:dyDescent="0.3">
      <c r="A1984" s="1">
        <v>1983</v>
      </c>
      <c r="B1984" s="1" t="s">
        <v>6205</v>
      </c>
      <c r="C1984" s="1" t="s">
        <v>6206</v>
      </c>
      <c r="E1984" s="1" t="s">
        <v>52</v>
      </c>
      <c r="G1984" s="1">
        <v>1</v>
      </c>
      <c r="H1984" s="7">
        <v>45560</v>
      </c>
      <c r="I1984" s="1" t="s">
        <v>7455</v>
      </c>
      <c r="J1984" s="7">
        <v>45560</v>
      </c>
      <c r="K1984" s="1" t="s">
        <v>7455</v>
      </c>
    </row>
    <row r="1985" spans="1:11" x14ac:dyDescent="0.3">
      <c r="A1985" s="1">
        <v>1984</v>
      </c>
      <c r="B1985" s="1" t="s">
        <v>6207</v>
      </c>
      <c r="C1985" s="1" t="s">
        <v>6208</v>
      </c>
      <c r="D1985" s="1" t="s">
        <v>6209</v>
      </c>
      <c r="G1985" s="1">
        <v>1</v>
      </c>
      <c r="H1985" s="7">
        <v>45560</v>
      </c>
      <c r="I1985" s="1" t="s">
        <v>7455</v>
      </c>
      <c r="J1985" s="7">
        <v>45560</v>
      </c>
      <c r="K1985" s="1" t="s">
        <v>7455</v>
      </c>
    </row>
    <row r="1986" spans="1:11" x14ac:dyDescent="0.3">
      <c r="A1986" s="1">
        <v>1985</v>
      </c>
      <c r="B1986" s="1" t="s">
        <v>6210</v>
      </c>
      <c r="C1986" s="1" t="s">
        <v>6211</v>
      </c>
      <c r="D1986" s="1" t="s">
        <v>6212</v>
      </c>
      <c r="F1986" s="1" t="s">
        <v>6213</v>
      </c>
      <c r="G1986" s="1">
        <v>1</v>
      </c>
      <c r="H1986" s="7">
        <v>45560</v>
      </c>
      <c r="I1986" s="1" t="s">
        <v>7455</v>
      </c>
      <c r="J1986" s="7">
        <v>45560</v>
      </c>
      <c r="K1986" s="1" t="s">
        <v>7455</v>
      </c>
    </row>
    <row r="1987" spans="1:11" x14ac:dyDescent="0.3">
      <c r="A1987" s="1">
        <v>1986</v>
      </c>
      <c r="B1987" s="1" t="s">
        <v>6214</v>
      </c>
      <c r="C1987" s="1" t="s">
        <v>6215</v>
      </c>
      <c r="D1987" s="1" t="s">
        <v>6216</v>
      </c>
      <c r="G1987" s="1">
        <v>1</v>
      </c>
      <c r="H1987" s="7">
        <v>45560</v>
      </c>
      <c r="I1987" s="1" t="s">
        <v>7455</v>
      </c>
      <c r="J1987" s="7">
        <v>45560</v>
      </c>
      <c r="K1987" s="1" t="s">
        <v>7455</v>
      </c>
    </row>
    <row r="1988" spans="1:11" x14ac:dyDescent="0.3">
      <c r="A1988" s="1">
        <v>1987</v>
      </c>
      <c r="B1988" s="1" t="s">
        <v>6217</v>
      </c>
      <c r="C1988" s="1" t="s">
        <v>6218</v>
      </c>
      <c r="D1988" s="1" t="s">
        <v>6219</v>
      </c>
      <c r="F1988" s="1" t="s">
        <v>6217</v>
      </c>
      <c r="G1988" s="1">
        <v>1</v>
      </c>
      <c r="H1988" s="7">
        <v>45560</v>
      </c>
      <c r="I1988" s="1" t="s">
        <v>7455</v>
      </c>
      <c r="J1988" s="7">
        <v>45560</v>
      </c>
      <c r="K1988" s="1" t="s">
        <v>7455</v>
      </c>
    </row>
    <row r="1989" spans="1:11" x14ac:dyDescent="0.3">
      <c r="A1989" s="1">
        <v>1988</v>
      </c>
      <c r="B1989" s="1" t="s">
        <v>6220</v>
      </c>
      <c r="C1989" s="1" t="s">
        <v>6221</v>
      </c>
      <c r="D1989" s="1" t="s">
        <v>6222</v>
      </c>
      <c r="G1989" s="1">
        <v>1</v>
      </c>
      <c r="H1989" s="7">
        <v>45560</v>
      </c>
      <c r="I1989" s="1" t="s">
        <v>7455</v>
      </c>
      <c r="J1989" s="7">
        <v>45560</v>
      </c>
      <c r="K1989" s="1" t="s">
        <v>7455</v>
      </c>
    </row>
    <row r="1990" spans="1:11" x14ac:dyDescent="0.3">
      <c r="A1990" s="1">
        <v>1989</v>
      </c>
      <c r="B1990" s="1" t="s">
        <v>6223</v>
      </c>
      <c r="C1990" s="1" t="s">
        <v>6224</v>
      </c>
      <c r="E1990" s="1" t="s">
        <v>52</v>
      </c>
      <c r="G1990" s="1">
        <v>1</v>
      </c>
      <c r="H1990" s="7">
        <v>45560</v>
      </c>
      <c r="I1990" s="1" t="s">
        <v>7455</v>
      </c>
      <c r="J1990" s="7">
        <v>45560</v>
      </c>
      <c r="K1990" s="1" t="s">
        <v>7455</v>
      </c>
    </row>
    <row r="1991" spans="1:11" x14ac:dyDescent="0.3">
      <c r="A1991" s="1">
        <v>1990</v>
      </c>
      <c r="B1991" s="1" t="s">
        <v>6225</v>
      </c>
      <c r="C1991" s="1" t="s">
        <v>6226</v>
      </c>
      <c r="D1991" s="1" t="s">
        <v>6227</v>
      </c>
      <c r="F1991" s="1" t="s">
        <v>6228</v>
      </c>
      <c r="G1991" s="1">
        <v>1</v>
      </c>
      <c r="H1991" s="7">
        <v>45560</v>
      </c>
      <c r="I1991" s="1" t="s">
        <v>7455</v>
      </c>
      <c r="J1991" s="7">
        <v>45560</v>
      </c>
      <c r="K1991" s="1" t="s">
        <v>7455</v>
      </c>
    </row>
    <row r="1992" spans="1:11" x14ac:dyDescent="0.3">
      <c r="A1992" s="1">
        <v>1991</v>
      </c>
      <c r="B1992" s="1" t="s">
        <v>6229</v>
      </c>
      <c r="C1992" s="1" t="s">
        <v>6230</v>
      </c>
      <c r="E1992" s="1" t="s">
        <v>52</v>
      </c>
      <c r="G1992" s="1">
        <v>1</v>
      </c>
      <c r="H1992" s="7">
        <v>45560</v>
      </c>
      <c r="I1992" s="1" t="s">
        <v>7455</v>
      </c>
      <c r="J1992" s="7">
        <v>45560</v>
      </c>
      <c r="K1992" s="1" t="s">
        <v>7455</v>
      </c>
    </row>
    <row r="1993" spans="1:11" x14ac:dyDescent="0.3">
      <c r="A1993" s="1">
        <v>1992</v>
      </c>
      <c r="B1993" s="1" t="s">
        <v>6231</v>
      </c>
      <c r="C1993" s="1" t="s">
        <v>6232</v>
      </c>
      <c r="D1993" s="1" t="s">
        <v>6233</v>
      </c>
      <c r="G1993" s="1">
        <v>1</v>
      </c>
      <c r="H1993" s="7">
        <v>45560</v>
      </c>
      <c r="I1993" s="1" t="s">
        <v>7455</v>
      </c>
      <c r="J1993" s="7">
        <v>45560</v>
      </c>
      <c r="K1993" s="1" t="s">
        <v>7455</v>
      </c>
    </row>
    <row r="1994" spans="1:11" x14ac:dyDescent="0.3">
      <c r="A1994" s="1">
        <v>1993</v>
      </c>
      <c r="B1994" s="1" t="s">
        <v>6234</v>
      </c>
      <c r="C1994" s="1" t="s">
        <v>6235</v>
      </c>
      <c r="E1994" s="1" t="s">
        <v>52</v>
      </c>
      <c r="G1994" s="1">
        <v>1</v>
      </c>
      <c r="H1994" s="7">
        <v>45560</v>
      </c>
      <c r="I1994" s="1" t="s">
        <v>7455</v>
      </c>
      <c r="J1994" s="7">
        <v>45560</v>
      </c>
      <c r="K1994" s="1" t="s">
        <v>7455</v>
      </c>
    </row>
    <row r="1995" spans="1:11" x14ac:dyDescent="0.3">
      <c r="A1995" s="1">
        <v>1994</v>
      </c>
      <c r="B1995" s="1" t="s">
        <v>6236</v>
      </c>
      <c r="C1995" s="1" t="s">
        <v>6237</v>
      </c>
      <c r="E1995" s="1" t="s">
        <v>52</v>
      </c>
      <c r="G1995" s="1">
        <v>1</v>
      </c>
      <c r="H1995" s="7">
        <v>45560</v>
      </c>
      <c r="I1995" s="1" t="s">
        <v>7455</v>
      </c>
      <c r="J1995" s="7">
        <v>45560</v>
      </c>
      <c r="K1995" s="1" t="s">
        <v>7455</v>
      </c>
    </row>
    <row r="1996" spans="1:11" x14ac:dyDescent="0.3">
      <c r="A1996" s="1">
        <v>1995</v>
      </c>
      <c r="B1996" s="1" t="s">
        <v>6238</v>
      </c>
      <c r="C1996" s="1" t="s">
        <v>6239</v>
      </c>
      <c r="E1996" s="1" t="s">
        <v>52</v>
      </c>
      <c r="G1996" s="1">
        <v>1</v>
      </c>
      <c r="H1996" s="7">
        <v>45560</v>
      </c>
      <c r="I1996" s="1" t="s">
        <v>7455</v>
      </c>
      <c r="J1996" s="7">
        <v>45560</v>
      </c>
      <c r="K1996" s="1" t="s">
        <v>7455</v>
      </c>
    </row>
    <row r="1997" spans="1:11" x14ac:dyDescent="0.3">
      <c r="A1997" s="1">
        <v>1996</v>
      </c>
      <c r="B1997" s="1" t="s">
        <v>6240</v>
      </c>
      <c r="C1997" s="1" t="s">
        <v>6241</v>
      </c>
      <c r="D1997" s="1" t="s">
        <v>6242</v>
      </c>
      <c r="G1997" s="1">
        <v>1</v>
      </c>
      <c r="H1997" s="7">
        <v>45560</v>
      </c>
      <c r="I1997" s="1" t="s">
        <v>7455</v>
      </c>
      <c r="J1997" s="7">
        <v>45560</v>
      </c>
      <c r="K1997" s="1" t="s">
        <v>7455</v>
      </c>
    </row>
    <row r="1998" spans="1:11" x14ac:dyDescent="0.3">
      <c r="A1998" s="1">
        <v>1997</v>
      </c>
      <c r="B1998" s="1" t="s">
        <v>6243</v>
      </c>
      <c r="C1998" s="1" t="s">
        <v>6244</v>
      </c>
      <c r="E1998" s="1" t="s">
        <v>52</v>
      </c>
      <c r="G1998" s="1">
        <v>1</v>
      </c>
      <c r="H1998" s="7">
        <v>45560</v>
      </c>
      <c r="I1998" s="1" t="s">
        <v>7455</v>
      </c>
      <c r="J1998" s="7">
        <v>45560</v>
      </c>
      <c r="K1998" s="1" t="s">
        <v>7455</v>
      </c>
    </row>
    <row r="1999" spans="1:11" x14ac:dyDescent="0.3">
      <c r="A1999" s="1">
        <v>1998</v>
      </c>
      <c r="B1999" s="1" t="s">
        <v>6245</v>
      </c>
      <c r="C1999" s="1" t="s">
        <v>6246</v>
      </c>
      <c r="D1999" s="1" t="s">
        <v>6247</v>
      </c>
      <c r="G1999" s="1">
        <v>1</v>
      </c>
      <c r="H1999" s="7">
        <v>45560</v>
      </c>
      <c r="I1999" s="1" t="s">
        <v>7455</v>
      </c>
      <c r="J1999" s="7">
        <v>45560</v>
      </c>
      <c r="K1999" s="1" t="s">
        <v>7455</v>
      </c>
    </row>
    <row r="2000" spans="1:11" x14ac:dyDescent="0.3">
      <c r="A2000" s="1">
        <v>1999</v>
      </c>
      <c r="B2000" s="1" t="s">
        <v>6248</v>
      </c>
      <c r="C2000" s="1" t="s">
        <v>6249</v>
      </c>
      <c r="D2000" s="1" t="s">
        <v>6250</v>
      </c>
      <c r="G2000" s="1">
        <v>1</v>
      </c>
      <c r="H2000" s="7">
        <v>45560</v>
      </c>
      <c r="I2000" s="1" t="s">
        <v>7455</v>
      </c>
      <c r="J2000" s="7">
        <v>45560</v>
      </c>
      <c r="K2000" s="1" t="s">
        <v>7455</v>
      </c>
    </row>
    <row r="2001" spans="1:11" x14ac:dyDescent="0.3">
      <c r="A2001" s="1">
        <v>2000</v>
      </c>
      <c r="B2001" s="1" t="s">
        <v>6251</v>
      </c>
      <c r="C2001" s="1" t="s">
        <v>6252</v>
      </c>
      <c r="E2001" s="1" t="s">
        <v>52</v>
      </c>
      <c r="G2001" s="1">
        <v>1</v>
      </c>
      <c r="H2001" s="7">
        <v>45560</v>
      </c>
      <c r="I2001" s="1" t="s">
        <v>7455</v>
      </c>
      <c r="J2001" s="7">
        <v>45560</v>
      </c>
      <c r="K2001" s="1" t="s">
        <v>7455</v>
      </c>
    </row>
    <row r="2002" spans="1:11" x14ac:dyDescent="0.3">
      <c r="A2002" s="1">
        <v>2001</v>
      </c>
      <c r="B2002" s="1" t="s">
        <v>1566</v>
      </c>
      <c r="C2002" s="1" t="s">
        <v>6253</v>
      </c>
      <c r="E2002" s="1" t="s">
        <v>52</v>
      </c>
      <c r="G2002" s="1">
        <v>1</v>
      </c>
      <c r="H2002" s="7">
        <v>45560</v>
      </c>
      <c r="I2002" s="1" t="s">
        <v>7455</v>
      </c>
      <c r="J2002" s="7">
        <v>45560</v>
      </c>
      <c r="K2002" s="1" t="s">
        <v>7455</v>
      </c>
    </row>
    <row r="2003" spans="1:11" x14ac:dyDescent="0.3">
      <c r="A2003" s="1">
        <v>2002</v>
      </c>
      <c r="B2003" s="1" t="s">
        <v>6254</v>
      </c>
      <c r="C2003" s="1" t="s">
        <v>6255</v>
      </c>
      <c r="D2003" s="1" t="s">
        <v>6256</v>
      </c>
      <c r="G2003" s="1">
        <v>1</v>
      </c>
      <c r="H2003" s="7">
        <v>45560</v>
      </c>
      <c r="I2003" s="1" t="s">
        <v>7455</v>
      </c>
      <c r="J2003" s="7">
        <v>45560</v>
      </c>
      <c r="K2003" s="1" t="s">
        <v>7455</v>
      </c>
    </row>
    <row r="2004" spans="1:11" x14ac:dyDescent="0.3">
      <c r="A2004" s="1">
        <v>2003</v>
      </c>
      <c r="B2004" s="1" t="s">
        <v>6257</v>
      </c>
      <c r="C2004" s="1" t="s">
        <v>6258</v>
      </c>
      <c r="D2004" s="1" t="s">
        <v>6259</v>
      </c>
      <c r="G2004" s="1">
        <v>1</v>
      </c>
      <c r="H2004" s="7">
        <v>45560</v>
      </c>
      <c r="I2004" s="1" t="s">
        <v>7455</v>
      </c>
      <c r="J2004" s="7">
        <v>45560</v>
      </c>
      <c r="K2004" s="1" t="s">
        <v>7455</v>
      </c>
    </row>
    <row r="2005" spans="1:11" x14ac:dyDescent="0.3">
      <c r="A2005" s="1">
        <v>2004</v>
      </c>
      <c r="B2005" s="1" t="s">
        <v>6260</v>
      </c>
      <c r="C2005" s="1" t="s">
        <v>6261</v>
      </c>
      <c r="E2005" s="1" t="s">
        <v>73</v>
      </c>
      <c r="F2005" s="1" t="s">
        <v>6261</v>
      </c>
      <c r="G2005" s="1">
        <v>1</v>
      </c>
      <c r="H2005" s="7">
        <v>45560</v>
      </c>
      <c r="I2005" s="1" t="s">
        <v>7455</v>
      </c>
      <c r="J2005" s="7">
        <v>45560</v>
      </c>
      <c r="K2005" s="1" t="s">
        <v>7455</v>
      </c>
    </row>
    <row r="2006" spans="1:11" x14ac:dyDescent="0.3">
      <c r="A2006" s="1">
        <v>2005</v>
      </c>
      <c r="B2006" s="1" t="s">
        <v>6262</v>
      </c>
      <c r="C2006" s="1" t="s">
        <v>6263</v>
      </c>
      <c r="D2006" s="1" t="s">
        <v>6264</v>
      </c>
      <c r="G2006" s="1">
        <v>1</v>
      </c>
      <c r="H2006" s="7">
        <v>45560</v>
      </c>
      <c r="I2006" s="1" t="s">
        <v>7455</v>
      </c>
      <c r="J2006" s="7">
        <v>45560</v>
      </c>
      <c r="K2006" s="1" t="s">
        <v>7455</v>
      </c>
    </row>
    <row r="2007" spans="1:11" x14ac:dyDescent="0.3">
      <c r="A2007" s="1">
        <v>2006</v>
      </c>
      <c r="B2007" s="1" t="s">
        <v>6265</v>
      </c>
      <c r="C2007" s="1" t="s">
        <v>6266</v>
      </c>
      <c r="D2007" s="1" t="s">
        <v>6267</v>
      </c>
      <c r="G2007" s="1">
        <v>1</v>
      </c>
      <c r="H2007" s="7">
        <v>45560</v>
      </c>
      <c r="I2007" s="1" t="s">
        <v>7455</v>
      </c>
      <c r="J2007" s="7">
        <v>45560</v>
      </c>
      <c r="K2007" s="1" t="s">
        <v>7455</v>
      </c>
    </row>
    <row r="2008" spans="1:11" x14ac:dyDescent="0.3">
      <c r="A2008" s="1">
        <v>2007</v>
      </c>
      <c r="B2008" s="1" t="s">
        <v>6268</v>
      </c>
      <c r="C2008" s="1" t="s">
        <v>6269</v>
      </c>
      <c r="E2008" s="1" t="s">
        <v>52</v>
      </c>
      <c r="G2008" s="1">
        <v>1</v>
      </c>
      <c r="H2008" s="7">
        <v>45560</v>
      </c>
      <c r="I2008" s="1" t="s">
        <v>7455</v>
      </c>
      <c r="J2008" s="7">
        <v>45560</v>
      </c>
      <c r="K2008" s="1" t="s">
        <v>7455</v>
      </c>
    </row>
    <row r="2009" spans="1:11" x14ac:dyDescent="0.3">
      <c r="A2009" s="1">
        <v>2008</v>
      </c>
      <c r="B2009" s="1" t="s">
        <v>6270</v>
      </c>
      <c r="C2009" s="1" t="s">
        <v>6271</v>
      </c>
      <c r="E2009" s="1" t="s">
        <v>52</v>
      </c>
      <c r="G2009" s="1">
        <v>1</v>
      </c>
      <c r="H2009" s="7">
        <v>45560</v>
      </c>
      <c r="I2009" s="1" t="s">
        <v>7455</v>
      </c>
      <c r="J2009" s="7">
        <v>45560</v>
      </c>
      <c r="K2009" s="1" t="s">
        <v>7455</v>
      </c>
    </row>
    <row r="2010" spans="1:11" x14ac:dyDescent="0.3">
      <c r="A2010" s="1">
        <v>2009</v>
      </c>
      <c r="B2010" s="1" t="s">
        <v>6272</v>
      </c>
      <c r="C2010" s="1" t="s">
        <v>6273</v>
      </c>
      <c r="E2010" s="1" t="s">
        <v>52</v>
      </c>
      <c r="G2010" s="1">
        <v>1</v>
      </c>
      <c r="H2010" s="7">
        <v>45560</v>
      </c>
      <c r="I2010" s="1" t="s">
        <v>7455</v>
      </c>
      <c r="J2010" s="7">
        <v>45560</v>
      </c>
      <c r="K2010" s="1" t="s">
        <v>7455</v>
      </c>
    </row>
    <row r="2011" spans="1:11" x14ac:dyDescent="0.3">
      <c r="A2011" s="1">
        <v>2010</v>
      </c>
      <c r="B2011" s="1" t="s">
        <v>6274</v>
      </c>
      <c r="C2011" s="1" t="s">
        <v>6275</v>
      </c>
      <c r="E2011" s="1" t="s">
        <v>52</v>
      </c>
      <c r="G2011" s="1">
        <v>1</v>
      </c>
      <c r="H2011" s="7">
        <v>45560</v>
      </c>
      <c r="I2011" s="1" t="s">
        <v>7455</v>
      </c>
      <c r="J2011" s="7">
        <v>45560</v>
      </c>
      <c r="K2011" s="1" t="s">
        <v>7455</v>
      </c>
    </row>
    <row r="2012" spans="1:11" x14ac:dyDescent="0.3">
      <c r="A2012" s="1">
        <v>2011</v>
      </c>
      <c r="B2012" s="1" t="s">
        <v>6276</v>
      </c>
      <c r="C2012" s="1" t="s">
        <v>6277</v>
      </c>
      <c r="E2012" s="1" t="s">
        <v>52</v>
      </c>
      <c r="G2012" s="1">
        <v>1</v>
      </c>
      <c r="H2012" s="7">
        <v>45560</v>
      </c>
      <c r="I2012" s="1" t="s">
        <v>7455</v>
      </c>
      <c r="J2012" s="7">
        <v>45560</v>
      </c>
      <c r="K2012" s="1" t="s">
        <v>7455</v>
      </c>
    </row>
    <row r="2013" spans="1:11" x14ac:dyDescent="0.3">
      <c r="A2013" s="1">
        <v>2012</v>
      </c>
      <c r="B2013" s="1" t="s">
        <v>6278</v>
      </c>
      <c r="C2013" s="1" t="s">
        <v>6279</v>
      </c>
      <c r="F2013" s="1" t="s">
        <v>6280</v>
      </c>
      <c r="G2013" s="1">
        <v>1</v>
      </c>
      <c r="H2013" s="7">
        <v>45560</v>
      </c>
      <c r="I2013" s="1" t="s">
        <v>7455</v>
      </c>
      <c r="J2013" s="7">
        <v>45560</v>
      </c>
      <c r="K2013" s="1" t="s">
        <v>7455</v>
      </c>
    </row>
    <row r="2014" spans="1:11" x14ac:dyDescent="0.3">
      <c r="A2014" s="1">
        <v>2013</v>
      </c>
      <c r="B2014" s="1" t="s">
        <v>6281</v>
      </c>
      <c r="C2014" s="1" t="s">
        <v>6282</v>
      </c>
      <c r="F2014" s="1" t="s">
        <v>6283</v>
      </c>
      <c r="G2014" s="1">
        <v>1</v>
      </c>
      <c r="H2014" s="7">
        <v>45560</v>
      </c>
      <c r="I2014" s="1" t="s">
        <v>7455</v>
      </c>
      <c r="J2014" s="7">
        <v>45560</v>
      </c>
      <c r="K2014" s="1" t="s">
        <v>7455</v>
      </c>
    </row>
    <row r="2015" spans="1:11" x14ac:dyDescent="0.3">
      <c r="A2015" s="1">
        <v>2014</v>
      </c>
      <c r="B2015" s="1" t="s">
        <v>6284</v>
      </c>
      <c r="C2015" s="1" t="s">
        <v>6285</v>
      </c>
      <c r="D2015" s="1" t="s">
        <v>6286</v>
      </c>
      <c r="F2015" s="1" t="s">
        <v>171</v>
      </c>
      <c r="G2015" s="1">
        <v>1</v>
      </c>
      <c r="H2015" s="7">
        <v>45560</v>
      </c>
      <c r="I2015" s="1" t="s">
        <v>7455</v>
      </c>
      <c r="J2015" s="7">
        <v>45560</v>
      </c>
      <c r="K2015" s="1" t="s">
        <v>7455</v>
      </c>
    </row>
    <row r="2016" spans="1:11" x14ac:dyDescent="0.3">
      <c r="A2016" s="1">
        <v>2015</v>
      </c>
      <c r="B2016" s="1" t="s">
        <v>6287</v>
      </c>
      <c r="C2016" s="1" t="s">
        <v>6288</v>
      </c>
      <c r="D2016" s="1" t="s">
        <v>6289</v>
      </c>
      <c r="G2016" s="1">
        <v>1</v>
      </c>
      <c r="H2016" s="7">
        <v>45560</v>
      </c>
      <c r="I2016" s="1" t="s">
        <v>7455</v>
      </c>
      <c r="J2016" s="7">
        <v>45560</v>
      </c>
      <c r="K2016" s="1" t="s">
        <v>7455</v>
      </c>
    </row>
    <row r="2017" spans="1:11" x14ac:dyDescent="0.3">
      <c r="A2017" s="1">
        <v>2016</v>
      </c>
      <c r="B2017" s="1" t="s">
        <v>6290</v>
      </c>
      <c r="C2017" s="1" t="s">
        <v>6291</v>
      </c>
      <c r="E2017" s="1" t="s">
        <v>52</v>
      </c>
      <c r="G2017" s="1">
        <v>1</v>
      </c>
      <c r="H2017" s="7">
        <v>45560</v>
      </c>
      <c r="I2017" s="1" t="s">
        <v>7455</v>
      </c>
      <c r="J2017" s="7">
        <v>45560</v>
      </c>
      <c r="K2017" s="1" t="s">
        <v>7455</v>
      </c>
    </row>
    <row r="2018" spans="1:11" x14ac:dyDescent="0.3">
      <c r="A2018" s="1">
        <v>2017</v>
      </c>
      <c r="B2018" s="1" t="s">
        <v>6292</v>
      </c>
      <c r="C2018" s="1" t="s">
        <v>6293</v>
      </c>
      <c r="D2018" s="1" t="s">
        <v>6294</v>
      </c>
      <c r="G2018" s="1">
        <v>1</v>
      </c>
      <c r="H2018" s="7">
        <v>45560</v>
      </c>
      <c r="I2018" s="1" t="s">
        <v>7455</v>
      </c>
      <c r="J2018" s="7">
        <v>45560</v>
      </c>
      <c r="K2018" s="1" t="s">
        <v>7455</v>
      </c>
    </row>
    <row r="2019" spans="1:11" x14ac:dyDescent="0.3">
      <c r="A2019" s="1">
        <v>2018</v>
      </c>
      <c r="B2019" s="1" t="s">
        <v>6295</v>
      </c>
      <c r="C2019" s="1" t="s">
        <v>6296</v>
      </c>
      <c r="E2019" s="1" t="s">
        <v>52</v>
      </c>
      <c r="G2019" s="1">
        <v>1</v>
      </c>
      <c r="H2019" s="7">
        <v>45560</v>
      </c>
      <c r="I2019" s="1" t="s">
        <v>7455</v>
      </c>
      <c r="J2019" s="7">
        <v>45560</v>
      </c>
      <c r="K2019" s="1" t="s">
        <v>7455</v>
      </c>
    </row>
    <row r="2020" spans="1:11" x14ac:dyDescent="0.3">
      <c r="A2020" s="1">
        <v>2019</v>
      </c>
      <c r="B2020" s="1" t="s">
        <v>6297</v>
      </c>
      <c r="C2020" s="1" t="s">
        <v>6298</v>
      </c>
      <c r="D2020" s="1" t="s">
        <v>6299</v>
      </c>
      <c r="F2020" s="1" t="s">
        <v>6300</v>
      </c>
      <c r="G2020" s="1">
        <v>1</v>
      </c>
      <c r="H2020" s="7">
        <v>45560</v>
      </c>
      <c r="I2020" s="1" t="s">
        <v>7455</v>
      </c>
      <c r="J2020" s="7">
        <v>45560</v>
      </c>
      <c r="K2020" s="1" t="s">
        <v>7455</v>
      </c>
    </row>
    <row r="2021" spans="1:11" x14ac:dyDescent="0.3">
      <c r="A2021" s="1">
        <v>2020</v>
      </c>
      <c r="B2021" s="1" t="s">
        <v>6301</v>
      </c>
      <c r="C2021" s="1" t="s">
        <v>6302</v>
      </c>
      <c r="D2021" s="1" t="s">
        <v>6303</v>
      </c>
      <c r="G2021" s="1">
        <v>1</v>
      </c>
      <c r="H2021" s="7">
        <v>45560</v>
      </c>
      <c r="I2021" s="1" t="s">
        <v>7455</v>
      </c>
      <c r="J2021" s="7">
        <v>45560</v>
      </c>
      <c r="K2021" s="1" t="s">
        <v>7455</v>
      </c>
    </row>
    <row r="2022" spans="1:11" x14ac:dyDescent="0.3">
      <c r="A2022" s="1">
        <v>2021</v>
      </c>
      <c r="B2022" s="1" t="s">
        <v>6304</v>
      </c>
      <c r="C2022" s="1" t="s">
        <v>6305</v>
      </c>
      <c r="D2022" s="1" t="s">
        <v>6306</v>
      </c>
      <c r="G2022" s="1">
        <v>1</v>
      </c>
      <c r="H2022" s="7">
        <v>45560</v>
      </c>
      <c r="I2022" s="1" t="s">
        <v>7455</v>
      </c>
      <c r="J2022" s="7">
        <v>45560</v>
      </c>
      <c r="K2022" s="1" t="s">
        <v>7455</v>
      </c>
    </row>
    <row r="2023" spans="1:11" x14ac:dyDescent="0.3">
      <c r="A2023" s="1">
        <v>2022</v>
      </c>
      <c r="B2023" s="1" t="s">
        <v>6307</v>
      </c>
      <c r="C2023" s="1" t="s">
        <v>6308</v>
      </c>
      <c r="D2023" s="1" t="s">
        <v>6309</v>
      </c>
      <c r="G2023" s="1">
        <v>1</v>
      </c>
      <c r="H2023" s="7">
        <v>45560</v>
      </c>
      <c r="I2023" s="1" t="s">
        <v>7455</v>
      </c>
      <c r="J2023" s="7">
        <v>45560</v>
      </c>
      <c r="K2023" s="1" t="s">
        <v>7455</v>
      </c>
    </row>
    <row r="2024" spans="1:11" x14ac:dyDescent="0.3">
      <c r="A2024" s="1">
        <v>2023</v>
      </c>
      <c r="B2024" s="1" t="s">
        <v>6310</v>
      </c>
      <c r="C2024" s="1" t="s">
        <v>6311</v>
      </c>
      <c r="D2024" s="1" t="s">
        <v>6312</v>
      </c>
      <c r="F2024" s="1" t="s">
        <v>6313</v>
      </c>
      <c r="G2024" s="1">
        <v>1</v>
      </c>
      <c r="H2024" s="7">
        <v>45560</v>
      </c>
      <c r="I2024" s="1" t="s">
        <v>7455</v>
      </c>
      <c r="J2024" s="7">
        <v>45560</v>
      </c>
      <c r="K2024" s="1" t="s">
        <v>7455</v>
      </c>
    </row>
    <row r="2025" spans="1:11" x14ac:dyDescent="0.3">
      <c r="A2025" s="1">
        <v>2024</v>
      </c>
      <c r="B2025" s="1" t="s">
        <v>6314</v>
      </c>
      <c r="C2025" s="1" t="s">
        <v>6315</v>
      </c>
      <c r="D2025" s="1" t="s">
        <v>6316</v>
      </c>
      <c r="F2025" s="1" t="s">
        <v>6317</v>
      </c>
      <c r="G2025" s="1">
        <v>1</v>
      </c>
      <c r="H2025" s="7">
        <v>45560</v>
      </c>
      <c r="I2025" s="1" t="s">
        <v>7455</v>
      </c>
      <c r="J2025" s="7">
        <v>45560</v>
      </c>
      <c r="K2025" s="1" t="s">
        <v>7455</v>
      </c>
    </row>
    <row r="2026" spans="1:11" x14ac:dyDescent="0.3">
      <c r="A2026" s="1">
        <v>2025</v>
      </c>
      <c r="B2026" s="1" t="s">
        <v>6318</v>
      </c>
      <c r="C2026" s="1" t="s">
        <v>6319</v>
      </c>
      <c r="D2026" s="1" t="s">
        <v>6320</v>
      </c>
      <c r="G2026" s="1">
        <v>1</v>
      </c>
      <c r="H2026" s="7">
        <v>45560</v>
      </c>
      <c r="I2026" s="1" t="s">
        <v>7455</v>
      </c>
      <c r="J2026" s="7">
        <v>45560</v>
      </c>
      <c r="K2026" s="1" t="s">
        <v>7455</v>
      </c>
    </row>
    <row r="2027" spans="1:11" x14ac:dyDescent="0.3">
      <c r="A2027" s="1">
        <v>2026</v>
      </c>
      <c r="B2027" s="1" t="s">
        <v>6321</v>
      </c>
      <c r="C2027" s="1" t="s">
        <v>6322</v>
      </c>
      <c r="E2027" s="1" t="s">
        <v>52</v>
      </c>
      <c r="G2027" s="1">
        <v>1</v>
      </c>
      <c r="H2027" s="7">
        <v>45560</v>
      </c>
      <c r="I2027" s="1" t="s">
        <v>7455</v>
      </c>
      <c r="J2027" s="7">
        <v>45560</v>
      </c>
      <c r="K2027" s="1" t="s">
        <v>7455</v>
      </c>
    </row>
    <row r="2028" spans="1:11" x14ac:dyDescent="0.3">
      <c r="A2028" s="1">
        <v>2027</v>
      </c>
      <c r="B2028" s="1" t="s">
        <v>6323</v>
      </c>
      <c r="C2028" s="1" t="s">
        <v>6324</v>
      </c>
      <c r="F2028" s="1" t="s">
        <v>6325</v>
      </c>
      <c r="G2028" s="1">
        <v>1</v>
      </c>
      <c r="H2028" s="7">
        <v>45560</v>
      </c>
      <c r="I2028" s="1" t="s">
        <v>7455</v>
      </c>
      <c r="J2028" s="7">
        <v>45560</v>
      </c>
      <c r="K2028" s="1" t="s">
        <v>7455</v>
      </c>
    </row>
    <row r="2029" spans="1:11" x14ac:dyDescent="0.3">
      <c r="A2029" s="1">
        <v>2028</v>
      </c>
      <c r="B2029" s="1" t="s">
        <v>6326</v>
      </c>
      <c r="C2029" s="1" t="s">
        <v>6327</v>
      </c>
      <c r="E2029" s="1" t="s">
        <v>52</v>
      </c>
      <c r="G2029" s="1">
        <v>1</v>
      </c>
      <c r="H2029" s="7">
        <v>45560</v>
      </c>
      <c r="I2029" s="1" t="s">
        <v>7455</v>
      </c>
      <c r="J2029" s="7">
        <v>45560</v>
      </c>
      <c r="K2029" s="1" t="s">
        <v>7455</v>
      </c>
    </row>
    <row r="2030" spans="1:11" x14ac:dyDescent="0.3">
      <c r="A2030" s="1">
        <v>2029</v>
      </c>
      <c r="B2030" s="1" t="s">
        <v>6328</v>
      </c>
      <c r="C2030" s="1" t="s">
        <v>6329</v>
      </c>
      <c r="D2030" s="1" t="s">
        <v>6330</v>
      </c>
      <c r="G2030" s="1">
        <v>1</v>
      </c>
      <c r="H2030" s="7">
        <v>45560</v>
      </c>
      <c r="I2030" s="1" t="s">
        <v>7455</v>
      </c>
      <c r="J2030" s="7">
        <v>45560</v>
      </c>
      <c r="K2030" s="1" t="s">
        <v>7455</v>
      </c>
    </row>
    <row r="2031" spans="1:11" x14ac:dyDescent="0.3">
      <c r="A2031" s="1">
        <v>2030</v>
      </c>
      <c r="B2031" s="1" t="s">
        <v>6331</v>
      </c>
      <c r="C2031" s="1" t="s">
        <v>6332</v>
      </c>
      <c r="E2031" s="1" t="s">
        <v>52</v>
      </c>
      <c r="G2031" s="1">
        <v>1</v>
      </c>
      <c r="H2031" s="7">
        <v>45560</v>
      </c>
      <c r="I2031" s="1" t="s">
        <v>7455</v>
      </c>
      <c r="J2031" s="7">
        <v>45560</v>
      </c>
      <c r="K2031" s="1" t="s">
        <v>7455</v>
      </c>
    </row>
    <row r="2032" spans="1:11" x14ac:dyDescent="0.3">
      <c r="A2032" s="1">
        <v>2031</v>
      </c>
      <c r="B2032" s="1" t="s">
        <v>6333</v>
      </c>
      <c r="C2032" s="1" t="s">
        <v>6334</v>
      </c>
      <c r="D2032" s="1" t="s">
        <v>6335</v>
      </c>
      <c r="F2032" s="1" t="s">
        <v>6336</v>
      </c>
      <c r="G2032" s="1">
        <v>1</v>
      </c>
      <c r="H2032" s="7">
        <v>45560</v>
      </c>
      <c r="I2032" s="1" t="s">
        <v>7455</v>
      </c>
      <c r="J2032" s="7">
        <v>45560</v>
      </c>
      <c r="K2032" s="1" t="s">
        <v>7455</v>
      </c>
    </row>
    <row r="2033" spans="1:11" x14ac:dyDescent="0.3">
      <c r="A2033" s="1">
        <v>2032</v>
      </c>
      <c r="B2033" s="1" t="s">
        <v>6337</v>
      </c>
      <c r="C2033" s="1" t="s">
        <v>6338</v>
      </c>
      <c r="D2033" s="1" t="s">
        <v>6339</v>
      </c>
      <c r="F2033" s="1" t="s">
        <v>6340</v>
      </c>
      <c r="G2033" s="1">
        <v>1</v>
      </c>
      <c r="H2033" s="7">
        <v>45560</v>
      </c>
      <c r="I2033" s="1" t="s">
        <v>7455</v>
      </c>
      <c r="J2033" s="7">
        <v>45560</v>
      </c>
      <c r="K2033" s="1" t="s">
        <v>7455</v>
      </c>
    </row>
    <row r="2034" spans="1:11" x14ac:dyDescent="0.3">
      <c r="A2034" s="1">
        <v>2033</v>
      </c>
      <c r="B2034" s="1" t="s">
        <v>6341</v>
      </c>
      <c r="C2034" s="1" t="s">
        <v>6342</v>
      </c>
      <c r="D2034" s="1" t="s">
        <v>6343</v>
      </c>
      <c r="E2034" s="1" t="s">
        <v>73</v>
      </c>
      <c r="G2034" s="1">
        <v>1</v>
      </c>
      <c r="H2034" s="7">
        <v>45560</v>
      </c>
      <c r="I2034" s="1" t="s">
        <v>7455</v>
      </c>
      <c r="J2034" s="7">
        <v>45560</v>
      </c>
      <c r="K2034" s="1" t="s">
        <v>7455</v>
      </c>
    </row>
    <row r="2035" spans="1:11" x14ac:dyDescent="0.3">
      <c r="A2035" s="1">
        <v>2034</v>
      </c>
      <c r="B2035" s="1" t="s">
        <v>6344</v>
      </c>
      <c r="C2035" s="1" t="s">
        <v>6345</v>
      </c>
      <c r="D2035" s="1" t="s">
        <v>6346</v>
      </c>
      <c r="F2035" s="1" t="s">
        <v>6347</v>
      </c>
      <c r="G2035" s="1">
        <v>1</v>
      </c>
      <c r="H2035" s="7">
        <v>45560</v>
      </c>
      <c r="I2035" s="1" t="s">
        <v>7455</v>
      </c>
      <c r="J2035" s="7">
        <v>45560</v>
      </c>
      <c r="K2035" s="1" t="s">
        <v>7455</v>
      </c>
    </row>
    <row r="2036" spans="1:11" x14ac:dyDescent="0.3">
      <c r="A2036" s="1">
        <v>2035</v>
      </c>
      <c r="B2036" s="1" t="s">
        <v>6348</v>
      </c>
      <c r="C2036" s="1" t="s">
        <v>6349</v>
      </c>
      <c r="G2036" s="1">
        <v>1</v>
      </c>
      <c r="H2036" s="7">
        <v>45560</v>
      </c>
      <c r="I2036" s="1" t="s">
        <v>7455</v>
      </c>
      <c r="J2036" s="7">
        <v>45560</v>
      </c>
      <c r="K2036" s="1" t="s">
        <v>7455</v>
      </c>
    </row>
    <row r="2037" spans="1:11" x14ac:dyDescent="0.3">
      <c r="A2037" s="1">
        <v>2036</v>
      </c>
      <c r="B2037" s="1" t="s">
        <v>6350</v>
      </c>
      <c r="C2037" s="1" t="s">
        <v>6351</v>
      </c>
      <c r="G2037" s="1">
        <v>1</v>
      </c>
      <c r="H2037" s="7">
        <v>45560</v>
      </c>
      <c r="I2037" s="1" t="s">
        <v>7455</v>
      </c>
      <c r="J2037" s="7">
        <v>45560</v>
      </c>
      <c r="K2037" s="1" t="s">
        <v>7455</v>
      </c>
    </row>
    <row r="2038" spans="1:11" x14ac:dyDescent="0.3">
      <c r="A2038" s="1">
        <v>2037</v>
      </c>
      <c r="B2038" s="1" t="s">
        <v>6352</v>
      </c>
      <c r="C2038" s="1" t="s">
        <v>6353</v>
      </c>
      <c r="G2038" s="1">
        <v>1</v>
      </c>
      <c r="H2038" s="7">
        <v>45560</v>
      </c>
      <c r="I2038" s="1" t="s">
        <v>7455</v>
      </c>
      <c r="J2038" s="7">
        <v>45560</v>
      </c>
      <c r="K2038" s="1" t="s">
        <v>7455</v>
      </c>
    </row>
    <row r="2039" spans="1:11" x14ac:dyDescent="0.3">
      <c r="A2039" s="1">
        <v>2038</v>
      </c>
      <c r="B2039" s="1" t="s">
        <v>6354</v>
      </c>
      <c r="C2039" s="1" t="s">
        <v>6355</v>
      </c>
      <c r="D2039" s="1" t="s">
        <v>6356</v>
      </c>
      <c r="G2039" s="1">
        <v>1</v>
      </c>
      <c r="H2039" s="7">
        <v>45560</v>
      </c>
      <c r="I2039" s="1" t="s">
        <v>7455</v>
      </c>
      <c r="J2039" s="7">
        <v>45560</v>
      </c>
      <c r="K2039" s="1" t="s">
        <v>7455</v>
      </c>
    </row>
    <row r="2040" spans="1:11" x14ac:dyDescent="0.3">
      <c r="A2040" s="1">
        <v>2039</v>
      </c>
      <c r="B2040" s="1" t="s">
        <v>6357</v>
      </c>
      <c r="C2040" s="1" t="s">
        <v>6358</v>
      </c>
      <c r="G2040" s="1">
        <v>1</v>
      </c>
      <c r="H2040" s="7">
        <v>45560</v>
      </c>
      <c r="I2040" s="1" t="s">
        <v>7455</v>
      </c>
      <c r="J2040" s="7">
        <v>45560</v>
      </c>
      <c r="K2040" s="1" t="s">
        <v>7455</v>
      </c>
    </row>
    <row r="2041" spans="1:11" x14ac:dyDescent="0.3">
      <c r="A2041" s="1">
        <v>2040</v>
      </c>
      <c r="B2041" s="1" t="s">
        <v>6359</v>
      </c>
      <c r="C2041" s="1" t="s">
        <v>6360</v>
      </c>
      <c r="G2041" s="1">
        <v>1</v>
      </c>
      <c r="H2041" s="7">
        <v>45560</v>
      </c>
      <c r="I2041" s="1" t="s">
        <v>7455</v>
      </c>
      <c r="J2041" s="7">
        <v>45560</v>
      </c>
      <c r="K2041" s="1" t="s">
        <v>7455</v>
      </c>
    </row>
    <row r="2042" spans="1:11" x14ac:dyDescent="0.3">
      <c r="A2042" s="1">
        <v>2041</v>
      </c>
      <c r="B2042" s="1" t="s">
        <v>6361</v>
      </c>
      <c r="C2042" s="1" t="s">
        <v>6362</v>
      </c>
      <c r="G2042" s="1">
        <v>1</v>
      </c>
      <c r="H2042" s="7">
        <v>45560</v>
      </c>
      <c r="I2042" s="1" t="s">
        <v>7455</v>
      </c>
      <c r="J2042" s="7">
        <v>45560</v>
      </c>
      <c r="K2042" s="1" t="s">
        <v>7455</v>
      </c>
    </row>
    <row r="2043" spans="1:11" x14ac:dyDescent="0.3">
      <c r="A2043" s="1">
        <v>2042</v>
      </c>
      <c r="B2043" s="1" t="s">
        <v>6363</v>
      </c>
      <c r="C2043" s="1" t="s">
        <v>6364</v>
      </c>
      <c r="G2043" s="1">
        <v>1</v>
      </c>
      <c r="H2043" s="7">
        <v>45560</v>
      </c>
      <c r="I2043" s="1" t="s">
        <v>7455</v>
      </c>
      <c r="J2043" s="7">
        <v>45560</v>
      </c>
      <c r="K2043" s="1" t="s">
        <v>7455</v>
      </c>
    </row>
    <row r="2044" spans="1:11" x14ac:dyDescent="0.3">
      <c r="A2044" s="1">
        <v>2043</v>
      </c>
      <c r="B2044" s="1" t="s">
        <v>6365</v>
      </c>
      <c r="C2044" s="1" t="s">
        <v>6366</v>
      </c>
      <c r="G2044" s="1">
        <v>1</v>
      </c>
      <c r="H2044" s="7">
        <v>45560</v>
      </c>
      <c r="I2044" s="1" t="s">
        <v>7455</v>
      </c>
      <c r="J2044" s="7">
        <v>45560</v>
      </c>
      <c r="K2044" s="1" t="s">
        <v>7455</v>
      </c>
    </row>
    <row r="2045" spans="1:11" x14ac:dyDescent="0.3">
      <c r="A2045" s="1">
        <v>2044</v>
      </c>
      <c r="B2045" s="1" t="s">
        <v>6367</v>
      </c>
      <c r="C2045" s="1" t="s">
        <v>6368</v>
      </c>
      <c r="D2045" s="1" t="s">
        <v>6369</v>
      </c>
      <c r="G2045" s="1">
        <v>1</v>
      </c>
      <c r="H2045" s="7">
        <v>45560</v>
      </c>
      <c r="I2045" s="1" t="s">
        <v>7455</v>
      </c>
      <c r="J2045" s="7">
        <v>45560</v>
      </c>
      <c r="K2045" s="1" t="s">
        <v>7455</v>
      </c>
    </row>
    <row r="2046" spans="1:11" x14ac:dyDescent="0.3">
      <c r="A2046" s="1">
        <v>2045</v>
      </c>
      <c r="B2046" s="1" t="s">
        <v>6370</v>
      </c>
      <c r="C2046" s="1" t="s">
        <v>6371</v>
      </c>
      <c r="D2046" s="1" t="s">
        <v>6372</v>
      </c>
      <c r="G2046" s="1">
        <v>1</v>
      </c>
      <c r="H2046" s="7">
        <v>45560</v>
      </c>
      <c r="I2046" s="1" t="s">
        <v>7455</v>
      </c>
      <c r="J2046" s="7">
        <v>45560</v>
      </c>
      <c r="K2046" s="1" t="s">
        <v>7455</v>
      </c>
    </row>
    <row r="2047" spans="1:11" x14ac:dyDescent="0.3">
      <c r="A2047" s="1">
        <v>2046</v>
      </c>
      <c r="B2047" s="1" t="s">
        <v>6373</v>
      </c>
      <c r="C2047" s="1" t="s">
        <v>6374</v>
      </c>
      <c r="G2047" s="1">
        <v>1</v>
      </c>
      <c r="H2047" s="7">
        <v>45560</v>
      </c>
      <c r="I2047" s="1" t="s">
        <v>7455</v>
      </c>
      <c r="J2047" s="7">
        <v>45560</v>
      </c>
      <c r="K2047" s="1" t="s">
        <v>7455</v>
      </c>
    </row>
    <row r="2048" spans="1:11" x14ac:dyDescent="0.3">
      <c r="A2048" s="1">
        <v>2047</v>
      </c>
      <c r="B2048" s="1" t="s">
        <v>6375</v>
      </c>
      <c r="C2048" s="1" t="s">
        <v>6376</v>
      </c>
      <c r="G2048" s="1">
        <v>1</v>
      </c>
      <c r="H2048" s="7">
        <v>45560</v>
      </c>
      <c r="I2048" s="1" t="s">
        <v>7455</v>
      </c>
      <c r="J2048" s="7">
        <v>45560</v>
      </c>
      <c r="K2048" s="1" t="s">
        <v>7455</v>
      </c>
    </row>
    <row r="2049" spans="1:11" x14ac:dyDescent="0.3">
      <c r="A2049" s="1">
        <v>2048</v>
      </c>
      <c r="B2049" s="1" t="s">
        <v>6377</v>
      </c>
      <c r="C2049" s="1" t="s">
        <v>6378</v>
      </c>
      <c r="G2049" s="1">
        <v>1</v>
      </c>
      <c r="H2049" s="7">
        <v>45560</v>
      </c>
      <c r="I2049" s="1" t="s">
        <v>7455</v>
      </c>
      <c r="J2049" s="7">
        <v>45560</v>
      </c>
      <c r="K2049" s="1" t="s">
        <v>7455</v>
      </c>
    </row>
    <row r="2050" spans="1:11" x14ac:dyDescent="0.3">
      <c r="A2050" s="1">
        <v>2049</v>
      </c>
      <c r="B2050" s="1" t="s">
        <v>6379</v>
      </c>
      <c r="C2050" s="1" t="s">
        <v>6380</v>
      </c>
      <c r="G2050" s="1">
        <v>1</v>
      </c>
      <c r="H2050" s="7">
        <v>45560</v>
      </c>
      <c r="I2050" s="1" t="s">
        <v>7455</v>
      </c>
      <c r="J2050" s="7">
        <v>45560</v>
      </c>
      <c r="K2050" s="1" t="s">
        <v>7455</v>
      </c>
    </row>
    <row r="2051" spans="1:11" x14ac:dyDescent="0.3">
      <c r="A2051" s="1">
        <v>2050</v>
      </c>
      <c r="B2051" s="1" t="s">
        <v>6381</v>
      </c>
      <c r="C2051" s="1" t="s">
        <v>6382</v>
      </c>
      <c r="G2051" s="1">
        <v>1</v>
      </c>
      <c r="H2051" s="7">
        <v>45560</v>
      </c>
      <c r="I2051" s="1" t="s">
        <v>7455</v>
      </c>
      <c r="J2051" s="7">
        <v>45560</v>
      </c>
      <c r="K2051" s="1" t="s">
        <v>7455</v>
      </c>
    </row>
    <row r="2052" spans="1:11" x14ac:dyDescent="0.3">
      <c r="A2052" s="1">
        <v>2051</v>
      </c>
      <c r="B2052" s="1" t="s">
        <v>6383</v>
      </c>
      <c r="C2052" s="1" t="s">
        <v>6384</v>
      </c>
      <c r="G2052" s="1">
        <v>1</v>
      </c>
      <c r="H2052" s="7">
        <v>45560</v>
      </c>
      <c r="I2052" s="1" t="s">
        <v>7455</v>
      </c>
      <c r="J2052" s="7">
        <v>45560</v>
      </c>
      <c r="K2052" s="1" t="s">
        <v>7455</v>
      </c>
    </row>
    <row r="2053" spans="1:11" x14ac:dyDescent="0.3">
      <c r="A2053" s="1">
        <v>2052</v>
      </c>
      <c r="B2053" s="1" t="s">
        <v>6385</v>
      </c>
      <c r="C2053" s="1" t="s">
        <v>6386</v>
      </c>
      <c r="G2053" s="1">
        <v>1</v>
      </c>
      <c r="H2053" s="7">
        <v>45560</v>
      </c>
      <c r="I2053" s="1" t="s">
        <v>7455</v>
      </c>
      <c r="J2053" s="7">
        <v>45560</v>
      </c>
      <c r="K2053" s="1" t="s">
        <v>7455</v>
      </c>
    </row>
    <row r="2054" spans="1:11" x14ac:dyDescent="0.3">
      <c r="A2054" s="1">
        <v>2053</v>
      </c>
      <c r="B2054" s="1" t="s">
        <v>6387</v>
      </c>
      <c r="C2054" s="1" t="s">
        <v>6388</v>
      </c>
      <c r="G2054" s="1">
        <v>1</v>
      </c>
      <c r="H2054" s="7">
        <v>45560</v>
      </c>
      <c r="I2054" s="1" t="s">
        <v>7455</v>
      </c>
      <c r="J2054" s="7">
        <v>45560</v>
      </c>
      <c r="K2054" s="1" t="s">
        <v>7455</v>
      </c>
    </row>
    <row r="2055" spans="1:11" x14ac:dyDescent="0.3">
      <c r="A2055" s="1">
        <v>2054</v>
      </c>
      <c r="B2055" s="1" t="s">
        <v>6389</v>
      </c>
      <c r="C2055" s="1" t="s">
        <v>6390</v>
      </c>
      <c r="G2055" s="1">
        <v>1</v>
      </c>
      <c r="H2055" s="7">
        <v>45560</v>
      </c>
      <c r="I2055" s="1" t="s">
        <v>7455</v>
      </c>
      <c r="J2055" s="7">
        <v>45560</v>
      </c>
      <c r="K2055" s="1" t="s">
        <v>7455</v>
      </c>
    </row>
    <row r="2056" spans="1:11" x14ac:dyDescent="0.3">
      <c r="A2056" s="1">
        <v>2055</v>
      </c>
      <c r="B2056" s="1" t="s">
        <v>6391</v>
      </c>
      <c r="C2056" s="1" t="s">
        <v>6392</v>
      </c>
      <c r="G2056" s="1">
        <v>1</v>
      </c>
      <c r="H2056" s="7">
        <v>45560</v>
      </c>
      <c r="I2056" s="1" t="s">
        <v>7455</v>
      </c>
      <c r="J2056" s="7">
        <v>45560</v>
      </c>
      <c r="K2056" s="1" t="s">
        <v>7455</v>
      </c>
    </row>
    <row r="2057" spans="1:11" x14ac:dyDescent="0.3">
      <c r="A2057" s="1">
        <v>2056</v>
      </c>
      <c r="B2057" s="1" t="s">
        <v>6393</v>
      </c>
      <c r="C2057" s="1" t="s">
        <v>6394</v>
      </c>
      <c r="G2057" s="1">
        <v>1</v>
      </c>
      <c r="H2057" s="7">
        <v>45560</v>
      </c>
      <c r="I2057" s="1" t="s">
        <v>7455</v>
      </c>
      <c r="J2057" s="7">
        <v>45560</v>
      </c>
      <c r="K2057" s="1" t="s">
        <v>7455</v>
      </c>
    </row>
    <row r="2058" spans="1:11" x14ac:dyDescent="0.3">
      <c r="A2058" s="1">
        <v>2057</v>
      </c>
      <c r="B2058" s="1" t="s">
        <v>6395</v>
      </c>
      <c r="C2058" s="1" t="s">
        <v>6396</v>
      </c>
      <c r="G2058" s="1">
        <v>1</v>
      </c>
      <c r="H2058" s="7">
        <v>45560</v>
      </c>
      <c r="I2058" s="1" t="s">
        <v>7455</v>
      </c>
      <c r="J2058" s="7">
        <v>45560</v>
      </c>
      <c r="K2058" s="1" t="s">
        <v>7455</v>
      </c>
    </row>
    <row r="2059" spans="1:11" x14ac:dyDescent="0.3">
      <c r="A2059" s="1">
        <v>2058</v>
      </c>
      <c r="B2059" s="1" t="s">
        <v>6397</v>
      </c>
      <c r="C2059" s="1" t="s">
        <v>6398</v>
      </c>
      <c r="D2059" s="1" t="s">
        <v>6399</v>
      </c>
      <c r="G2059" s="1">
        <v>1</v>
      </c>
      <c r="H2059" s="7">
        <v>45560</v>
      </c>
      <c r="I2059" s="1" t="s">
        <v>7455</v>
      </c>
      <c r="J2059" s="7">
        <v>45560</v>
      </c>
      <c r="K2059" s="1" t="s">
        <v>7455</v>
      </c>
    </row>
    <row r="2060" spans="1:11" x14ac:dyDescent="0.3">
      <c r="A2060" s="1">
        <v>2059</v>
      </c>
      <c r="B2060" s="1" t="s">
        <v>6400</v>
      </c>
      <c r="C2060" s="1" t="s">
        <v>6401</v>
      </c>
      <c r="D2060" s="1" t="s">
        <v>6402</v>
      </c>
      <c r="G2060" s="1">
        <v>1</v>
      </c>
      <c r="H2060" s="7">
        <v>45560</v>
      </c>
      <c r="I2060" s="1" t="s">
        <v>7455</v>
      </c>
      <c r="J2060" s="7">
        <v>45560</v>
      </c>
      <c r="K2060" s="1" t="s">
        <v>7455</v>
      </c>
    </row>
    <row r="2061" spans="1:11" x14ac:dyDescent="0.3">
      <c r="A2061" s="1">
        <v>2060</v>
      </c>
      <c r="B2061" s="1" t="s">
        <v>6403</v>
      </c>
      <c r="C2061" s="1" t="s">
        <v>6404</v>
      </c>
      <c r="D2061" s="1" t="s">
        <v>6405</v>
      </c>
      <c r="G2061" s="1">
        <v>1</v>
      </c>
      <c r="H2061" s="7">
        <v>45560</v>
      </c>
      <c r="I2061" s="1" t="s">
        <v>7455</v>
      </c>
      <c r="J2061" s="7">
        <v>45560</v>
      </c>
      <c r="K2061" s="1" t="s">
        <v>7455</v>
      </c>
    </row>
    <row r="2062" spans="1:11" x14ac:dyDescent="0.3">
      <c r="A2062" s="1">
        <v>2061</v>
      </c>
      <c r="B2062" s="1" t="s">
        <v>6406</v>
      </c>
      <c r="C2062" s="1" t="s">
        <v>6407</v>
      </c>
      <c r="D2062" s="1" t="s">
        <v>6408</v>
      </c>
      <c r="G2062" s="1">
        <v>1</v>
      </c>
      <c r="H2062" s="7">
        <v>45560</v>
      </c>
      <c r="I2062" s="1" t="s">
        <v>7455</v>
      </c>
      <c r="J2062" s="7">
        <v>45560</v>
      </c>
      <c r="K2062" s="1" t="s">
        <v>7455</v>
      </c>
    </row>
    <row r="2063" spans="1:11" x14ac:dyDescent="0.3">
      <c r="A2063" s="1">
        <v>2062</v>
      </c>
      <c r="B2063" s="1" t="s">
        <v>6409</v>
      </c>
      <c r="C2063" s="1" t="s">
        <v>6410</v>
      </c>
      <c r="D2063" s="1" t="s">
        <v>6411</v>
      </c>
      <c r="G2063" s="1">
        <v>1</v>
      </c>
      <c r="H2063" s="7">
        <v>45560</v>
      </c>
      <c r="I2063" s="1" t="s">
        <v>7455</v>
      </c>
      <c r="J2063" s="7">
        <v>45560</v>
      </c>
      <c r="K2063" s="1" t="s">
        <v>7455</v>
      </c>
    </row>
    <row r="2064" spans="1:11" x14ac:dyDescent="0.3">
      <c r="A2064" s="1">
        <v>2063</v>
      </c>
      <c r="B2064" s="1" t="s">
        <v>6412</v>
      </c>
      <c r="C2064" s="1" t="s">
        <v>6413</v>
      </c>
      <c r="G2064" s="1">
        <v>1</v>
      </c>
      <c r="H2064" s="7">
        <v>45560</v>
      </c>
      <c r="I2064" s="1" t="s">
        <v>7455</v>
      </c>
      <c r="J2064" s="7">
        <v>45560</v>
      </c>
      <c r="K2064" s="1" t="s">
        <v>7455</v>
      </c>
    </row>
    <row r="2065" spans="1:11" x14ac:dyDescent="0.3">
      <c r="A2065" s="1">
        <v>2064</v>
      </c>
      <c r="B2065" s="1" t="s">
        <v>6414</v>
      </c>
      <c r="C2065" s="1" t="s">
        <v>6415</v>
      </c>
      <c r="D2065" s="1" t="s">
        <v>6416</v>
      </c>
      <c r="G2065" s="1">
        <v>1</v>
      </c>
      <c r="H2065" s="7">
        <v>45560</v>
      </c>
      <c r="I2065" s="1" t="s">
        <v>7455</v>
      </c>
      <c r="J2065" s="7">
        <v>45560</v>
      </c>
      <c r="K2065" s="1" t="s">
        <v>7455</v>
      </c>
    </row>
    <row r="2066" spans="1:11" x14ac:dyDescent="0.3">
      <c r="A2066" s="1">
        <v>2065</v>
      </c>
      <c r="B2066" s="1" t="s">
        <v>6417</v>
      </c>
      <c r="C2066" s="1" t="s">
        <v>6418</v>
      </c>
      <c r="D2066" s="1" t="s">
        <v>6419</v>
      </c>
      <c r="G2066" s="1">
        <v>1</v>
      </c>
      <c r="H2066" s="7">
        <v>45560</v>
      </c>
      <c r="I2066" s="1" t="s">
        <v>7455</v>
      </c>
      <c r="J2066" s="7">
        <v>45560</v>
      </c>
      <c r="K2066" s="1" t="s">
        <v>7455</v>
      </c>
    </row>
    <row r="2067" spans="1:11" x14ac:dyDescent="0.3">
      <c r="A2067" s="1">
        <v>2066</v>
      </c>
      <c r="B2067" s="1" t="s">
        <v>6420</v>
      </c>
      <c r="C2067" s="1" t="s">
        <v>6421</v>
      </c>
      <c r="D2067" s="1" t="s">
        <v>6422</v>
      </c>
      <c r="G2067" s="1">
        <v>1</v>
      </c>
      <c r="H2067" s="7">
        <v>45560</v>
      </c>
      <c r="I2067" s="1" t="s">
        <v>7455</v>
      </c>
      <c r="J2067" s="7">
        <v>45560</v>
      </c>
      <c r="K2067" s="1" t="s">
        <v>7455</v>
      </c>
    </row>
    <row r="2068" spans="1:11" x14ac:dyDescent="0.3">
      <c r="A2068" s="1">
        <v>2067</v>
      </c>
      <c r="B2068" s="1" t="s">
        <v>6423</v>
      </c>
      <c r="C2068" s="1" t="s">
        <v>6424</v>
      </c>
      <c r="D2068" s="1" t="s">
        <v>6425</v>
      </c>
      <c r="G2068" s="1">
        <v>1</v>
      </c>
      <c r="H2068" s="7">
        <v>45560</v>
      </c>
      <c r="I2068" s="1" t="s">
        <v>7455</v>
      </c>
      <c r="J2068" s="7">
        <v>45560</v>
      </c>
      <c r="K2068" s="1" t="s">
        <v>7455</v>
      </c>
    </row>
    <row r="2069" spans="1:11" x14ac:dyDescent="0.3">
      <c r="A2069" s="1">
        <v>2068</v>
      </c>
      <c r="B2069" s="1" t="s">
        <v>6426</v>
      </c>
      <c r="C2069" s="1" t="s">
        <v>6427</v>
      </c>
      <c r="D2069" s="1" t="s">
        <v>6428</v>
      </c>
      <c r="G2069" s="1">
        <v>1</v>
      </c>
      <c r="H2069" s="7">
        <v>45560</v>
      </c>
      <c r="I2069" s="1" t="s">
        <v>7455</v>
      </c>
      <c r="J2069" s="7">
        <v>45560</v>
      </c>
      <c r="K2069" s="1" t="s">
        <v>7455</v>
      </c>
    </row>
    <row r="2070" spans="1:11" x14ac:dyDescent="0.3">
      <c r="A2070" s="1">
        <v>2069</v>
      </c>
      <c r="B2070" s="1" t="s">
        <v>6429</v>
      </c>
      <c r="C2070" s="1" t="s">
        <v>6430</v>
      </c>
      <c r="D2070" s="1" t="s">
        <v>6431</v>
      </c>
      <c r="G2070" s="1">
        <v>1</v>
      </c>
      <c r="H2070" s="7">
        <v>45560</v>
      </c>
      <c r="I2070" s="1" t="s">
        <v>7455</v>
      </c>
      <c r="J2070" s="7">
        <v>45560</v>
      </c>
      <c r="K2070" s="1" t="s">
        <v>7455</v>
      </c>
    </row>
    <row r="2071" spans="1:11" x14ac:dyDescent="0.3">
      <c r="A2071" s="1">
        <v>2070</v>
      </c>
      <c r="B2071" s="1" t="s">
        <v>6432</v>
      </c>
      <c r="C2071" s="1" t="s">
        <v>6433</v>
      </c>
      <c r="D2071" s="1" t="s">
        <v>6434</v>
      </c>
      <c r="G2071" s="1">
        <v>1</v>
      </c>
      <c r="H2071" s="7">
        <v>45560</v>
      </c>
      <c r="I2071" s="1" t="s">
        <v>7455</v>
      </c>
      <c r="J2071" s="7">
        <v>45560</v>
      </c>
      <c r="K2071" s="1" t="s">
        <v>7455</v>
      </c>
    </row>
    <row r="2072" spans="1:11" x14ac:dyDescent="0.3">
      <c r="A2072" s="1">
        <v>2071</v>
      </c>
      <c r="B2072" s="1" t="s">
        <v>6435</v>
      </c>
      <c r="C2072" s="1" t="s">
        <v>6436</v>
      </c>
      <c r="G2072" s="1">
        <v>1</v>
      </c>
      <c r="H2072" s="7">
        <v>45560</v>
      </c>
      <c r="I2072" s="1" t="s">
        <v>7455</v>
      </c>
      <c r="J2072" s="7">
        <v>45560</v>
      </c>
      <c r="K2072" s="1" t="s">
        <v>7455</v>
      </c>
    </row>
    <row r="2073" spans="1:11" x14ac:dyDescent="0.3">
      <c r="A2073" s="1">
        <v>2072</v>
      </c>
      <c r="B2073" s="1" t="s">
        <v>6437</v>
      </c>
      <c r="C2073" s="1" t="s">
        <v>6438</v>
      </c>
      <c r="D2073" s="1" t="s">
        <v>6439</v>
      </c>
      <c r="G2073" s="1">
        <v>1</v>
      </c>
      <c r="H2073" s="7">
        <v>45560</v>
      </c>
      <c r="I2073" s="1" t="s">
        <v>7455</v>
      </c>
      <c r="J2073" s="7">
        <v>45560</v>
      </c>
      <c r="K2073" s="1" t="s">
        <v>7455</v>
      </c>
    </row>
    <row r="2074" spans="1:11" x14ac:dyDescent="0.3">
      <c r="A2074" s="1">
        <v>2073</v>
      </c>
      <c r="B2074" s="1" t="s">
        <v>6440</v>
      </c>
      <c r="C2074" s="1" t="s">
        <v>6441</v>
      </c>
      <c r="D2074" s="1" t="s">
        <v>6442</v>
      </c>
      <c r="G2074" s="1">
        <v>1</v>
      </c>
      <c r="H2074" s="7">
        <v>45560</v>
      </c>
      <c r="I2074" s="1" t="s">
        <v>7455</v>
      </c>
      <c r="J2074" s="7">
        <v>45560</v>
      </c>
      <c r="K2074" s="1" t="s">
        <v>7455</v>
      </c>
    </row>
    <row r="2075" spans="1:11" x14ac:dyDescent="0.3">
      <c r="A2075" s="1">
        <v>2074</v>
      </c>
      <c r="B2075" s="1" t="s">
        <v>6443</v>
      </c>
      <c r="C2075" s="1" t="s">
        <v>6444</v>
      </c>
      <c r="G2075" s="1">
        <v>1</v>
      </c>
      <c r="H2075" s="7">
        <v>45560</v>
      </c>
      <c r="I2075" s="1" t="s">
        <v>7455</v>
      </c>
      <c r="J2075" s="7">
        <v>45560</v>
      </c>
      <c r="K2075" s="1" t="s">
        <v>7455</v>
      </c>
    </row>
    <row r="2076" spans="1:11" x14ac:dyDescent="0.3">
      <c r="A2076" s="1">
        <v>2075</v>
      </c>
      <c r="B2076" s="1" t="s">
        <v>6445</v>
      </c>
      <c r="C2076" s="1" t="s">
        <v>6446</v>
      </c>
      <c r="G2076" s="1">
        <v>1</v>
      </c>
      <c r="H2076" s="7">
        <v>45560</v>
      </c>
      <c r="I2076" s="1" t="s">
        <v>7455</v>
      </c>
      <c r="J2076" s="7">
        <v>45560</v>
      </c>
      <c r="K2076" s="1" t="s">
        <v>7455</v>
      </c>
    </row>
    <row r="2077" spans="1:11" x14ac:dyDescent="0.3">
      <c r="A2077" s="1">
        <v>2076</v>
      </c>
      <c r="B2077" s="1" t="s">
        <v>6447</v>
      </c>
      <c r="C2077" s="1" t="s">
        <v>6448</v>
      </c>
      <c r="G2077" s="1">
        <v>1</v>
      </c>
      <c r="H2077" s="7">
        <v>45560</v>
      </c>
      <c r="I2077" s="1" t="s">
        <v>7455</v>
      </c>
      <c r="J2077" s="7">
        <v>45560</v>
      </c>
      <c r="K2077" s="1" t="s">
        <v>7455</v>
      </c>
    </row>
    <row r="2078" spans="1:11" x14ac:dyDescent="0.3">
      <c r="A2078" s="1">
        <v>2077</v>
      </c>
      <c r="B2078" s="1" t="s">
        <v>6449</v>
      </c>
      <c r="C2078" s="1" t="s">
        <v>6450</v>
      </c>
      <c r="G2078" s="1">
        <v>1</v>
      </c>
      <c r="H2078" s="7">
        <v>45560</v>
      </c>
      <c r="I2078" s="1" t="s">
        <v>7455</v>
      </c>
      <c r="J2078" s="7">
        <v>45560</v>
      </c>
      <c r="K2078" s="1" t="s">
        <v>7455</v>
      </c>
    </row>
    <row r="2079" spans="1:11" x14ac:dyDescent="0.3">
      <c r="A2079" s="1">
        <v>2078</v>
      </c>
      <c r="B2079" s="1" t="s">
        <v>6451</v>
      </c>
      <c r="C2079" s="1" t="s">
        <v>6452</v>
      </c>
      <c r="D2079" s="1" t="s">
        <v>6453</v>
      </c>
      <c r="G2079" s="1">
        <v>1</v>
      </c>
      <c r="H2079" s="7">
        <v>45560</v>
      </c>
      <c r="I2079" s="1" t="s">
        <v>7455</v>
      </c>
      <c r="J2079" s="7">
        <v>45560</v>
      </c>
      <c r="K2079" s="1" t="s">
        <v>7455</v>
      </c>
    </row>
    <row r="2080" spans="1:11" x14ac:dyDescent="0.3">
      <c r="A2080" s="1">
        <v>2079</v>
      </c>
      <c r="B2080" s="1" t="s">
        <v>6454</v>
      </c>
      <c r="C2080" s="1" t="s">
        <v>6455</v>
      </c>
      <c r="G2080" s="1">
        <v>1</v>
      </c>
      <c r="H2080" s="7">
        <v>45560</v>
      </c>
      <c r="I2080" s="1" t="s">
        <v>7455</v>
      </c>
      <c r="J2080" s="7">
        <v>45560</v>
      </c>
      <c r="K2080" s="1" t="s">
        <v>7455</v>
      </c>
    </row>
    <row r="2081" spans="1:11" x14ac:dyDescent="0.3">
      <c r="A2081" s="1">
        <v>2080</v>
      </c>
      <c r="B2081" s="1" t="s">
        <v>6456</v>
      </c>
      <c r="C2081" s="1" t="s">
        <v>6457</v>
      </c>
      <c r="G2081" s="1">
        <v>1</v>
      </c>
      <c r="H2081" s="7">
        <v>45560</v>
      </c>
      <c r="I2081" s="1" t="s">
        <v>7455</v>
      </c>
      <c r="J2081" s="7">
        <v>45560</v>
      </c>
      <c r="K2081" s="1" t="s">
        <v>7455</v>
      </c>
    </row>
    <row r="2082" spans="1:11" x14ac:dyDescent="0.3">
      <c r="A2082" s="1">
        <v>2081</v>
      </c>
      <c r="B2082" s="1" t="s">
        <v>6458</v>
      </c>
      <c r="C2082" s="1" t="s">
        <v>6459</v>
      </c>
      <c r="G2082" s="1">
        <v>1</v>
      </c>
      <c r="H2082" s="7">
        <v>45560</v>
      </c>
      <c r="I2082" s="1" t="s">
        <v>7455</v>
      </c>
      <c r="J2082" s="7">
        <v>45560</v>
      </c>
      <c r="K2082" s="1" t="s">
        <v>7455</v>
      </c>
    </row>
    <row r="2083" spans="1:11" x14ac:dyDescent="0.3">
      <c r="A2083" s="1">
        <v>2082</v>
      </c>
      <c r="B2083" s="1" t="s">
        <v>6460</v>
      </c>
      <c r="C2083" s="1" t="s">
        <v>6461</v>
      </c>
      <c r="G2083" s="1">
        <v>1</v>
      </c>
      <c r="H2083" s="7">
        <v>45560</v>
      </c>
      <c r="I2083" s="1" t="s">
        <v>7455</v>
      </c>
      <c r="J2083" s="7">
        <v>45560</v>
      </c>
      <c r="K2083" s="1" t="s">
        <v>7455</v>
      </c>
    </row>
    <row r="2084" spans="1:11" x14ac:dyDescent="0.3">
      <c r="A2084" s="1">
        <v>2083</v>
      </c>
      <c r="B2084" s="1" t="s">
        <v>6462</v>
      </c>
      <c r="C2084" s="1" t="s">
        <v>6463</v>
      </c>
      <c r="G2084" s="1">
        <v>1</v>
      </c>
      <c r="H2084" s="7">
        <v>45560</v>
      </c>
      <c r="I2084" s="1" t="s">
        <v>7455</v>
      </c>
      <c r="J2084" s="7">
        <v>45560</v>
      </c>
      <c r="K2084" s="1" t="s">
        <v>7455</v>
      </c>
    </row>
    <row r="2085" spans="1:11" x14ac:dyDescent="0.3">
      <c r="A2085" s="1">
        <v>2084</v>
      </c>
      <c r="B2085" s="1" t="s">
        <v>6464</v>
      </c>
      <c r="C2085" s="1" t="s">
        <v>6465</v>
      </c>
      <c r="G2085" s="1">
        <v>1</v>
      </c>
      <c r="H2085" s="7">
        <v>45560</v>
      </c>
      <c r="I2085" s="1" t="s">
        <v>7455</v>
      </c>
      <c r="J2085" s="7">
        <v>45560</v>
      </c>
      <c r="K2085" s="1" t="s">
        <v>7455</v>
      </c>
    </row>
    <row r="2086" spans="1:11" x14ac:dyDescent="0.3">
      <c r="A2086" s="1">
        <v>2085</v>
      </c>
      <c r="B2086" s="1" t="s">
        <v>6466</v>
      </c>
      <c r="C2086" s="1" t="s">
        <v>6467</v>
      </c>
      <c r="D2086" s="1" t="s">
        <v>6468</v>
      </c>
      <c r="G2086" s="1">
        <v>1</v>
      </c>
      <c r="H2086" s="7">
        <v>45560</v>
      </c>
      <c r="I2086" s="1" t="s">
        <v>7455</v>
      </c>
      <c r="J2086" s="7">
        <v>45560</v>
      </c>
      <c r="K2086" s="1" t="s">
        <v>7455</v>
      </c>
    </row>
    <row r="2087" spans="1:11" x14ac:dyDescent="0.3">
      <c r="A2087" s="1">
        <v>2086</v>
      </c>
      <c r="B2087" s="1" t="s">
        <v>6469</v>
      </c>
      <c r="C2087" s="1" t="s">
        <v>6470</v>
      </c>
      <c r="G2087" s="1">
        <v>1</v>
      </c>
      <c r="H2087" s="7">
        <v>45560</v>
      </c>
      <c r="I2087" s="1" t="s">
        <v>7455</v>
      </c>
      <c r="J2087" s="7">
        <v>45560</v>
      </c>
      <c r="K2087" s="1" t="s">
        <v>7455</v>
      </c>
    </row>
    <row r="2088" spans="1:11" x14ac:dyDescent="0.3">
      <c r="A2088" s="1">
        <v>2087</v>
      </c>
      <c r="B2088" s="1" t="s">
        <v>6471</v>
      </c>
      <c r="C2088" s="1" t="s">
        <v>6472</v>
      </c>
      <c r="G2088" s="1">
        <v>1</v>
      </c>
      <c r="H2088" s="7">
        <v>45560</v>
      </c>
      <c r="I2088" s="1" t="s">
        <v>7455</v>
      </c>
      <c r="J2088" s="7">
        <v>45560</v>
      </c>
      <c r="K2088" s="1" t="s">
        <v>7455</v>
      </c>
    </row>
    <row r="2089" spans="1:11" x14ac:dyDescent="0.3">
      <c r="A2089" s="1">
        <v>2088</v>
      </c>
      <c r="B2089" s="1" t="s">
        <v>6473</v>
      </c>
      <c r="C2089" s="1" t="s">
        <v>6474</v>
      </c>
      <c r="G2089" s="1">
        <v>1</v>
      </c>
      <c r="H2089" s="7">
        <v>45560</v>
      </c>
      <c r="I2089" s="1" t="s">
        <v>7455</v>
      </c>
      <c r="J2089" s="7">
        <v>45560</v>
      </c>
      <c r="K2089" s="1" t="s">
        <v>7455</v>
      </c>
    </row>
    <row r="2090" spans="1:11" x14ac:dyDescent="0.3">
      <c r="A2090" s="1">
        <v>2089</v>
      </c>
      <c r="B2090" s="1" t="s">
        <v>6475</v>
      </c>
      <c r="C2090" s="1" t="s">
        <v>6476</v>
      </c>
      <c r="G2090" s="1">
        <v>1</v>
      </c>
      <c r="H2090" s="7">
        <v>45560</v>
      </c>
      <c r="I2090" s="1" t="s">
        <v>7455</v>
      </c>
      <c r="J2090" s="7">
        <v>45560</v>
      </c>
      <c r="K2090" s="1" t="s">
        <v>7455</v>
      </c>
    </row>
    <row r="2091" spans="1:11" x14ac:dyDescent="0.3">
      <c r="A2091" s="1">
        <v>2090</v>
      </c>
      <c r="B2091" s="1" t="s">
        <v>6477</v>
      </c>
      <c r="C2091" s="1" t="s">
        <v>6478</v>
      </c>
      <c r="G2091" s="1">
        <v>1</v>
      </c>
      <c r="H2091" s="7">
        <v>45560</v>
      </c>
      <c r="I2091" s="1" t="s">
        <v>7455</v>
      </c>
      <c r="J2091" s="7">
        <v>45560</v>
      </c>
      <c r="K2091" s="1" t="s">
        <v>7455</v>
      </c>
    </row>
    <row r="2092" spans="1:11" x14ac:dyDescent="0.3">
      <c r="A2092" s="1">
        <v>2091</v>
      </c>
      <c r="B2092" s="1" t="s">
        <v>6479</v>
      </c>
      <c r="C2092" s="1" t="s">
        <v>6480</v>
      </c>
      <c r="G2092" s="1">
        <v>1</v>
      </c>
      <c r="H2092" s="7">
        <v>45560</v>
      </c>
      <c r="I2092" s="1" t="s">
        <v>7455</v>
      </c>
      <c r="J2092" s="7">
        <v>45560</v>
      </c>
      <c r="K2092" s="1" t="s">
        <v>7455</v>
      </c>
    </row>
    <row r="2093" spans="1:11" x14ac:dyDescent="0.3">
      <c r="A2093" s="1">
        <v>2092</v>
      </c>
      <c r="B2093" s="1" t="s">
        <v>6481</v>
      </c>
      <c r="C2093" s="1" t="s">
        <v>6482</v>
      </c>
      <c r="G2093" s="1">
        <v>1</v>
      </c>
      <c r="H2093" s="7">
        <v>45560</v>
      </c>
      <c r="I2093" s="1" t="s">
        <v>7455</v>
      </c>
      <c r="J2093" s="7">
        <v>45560</v>
      </c>
      <c r="K2093" s="1" t="s">
        <v>7455</v>
      </c>
    </row>
    <row r="2094" spans="1:11" x14ac:dyDescent="0.3">
      <c r="A2094" s="1">
        <v>2093</v>
      </c>
      <c r="B2094" s="1" t="s">
        <v>6483</v>
      </c>
      <c r="C2094" s="1" t="s">
        <v>6484</v>
      </c>
      <c r="D2094" s="1" t="s">
        <v>6485</v>
      </c>
      <c r="G2094" s="1">
        <v>1</v>
      </c>
      <c r="H2094" s="7">
        <v>45560</v>
      </c>
      <c r="I2094" s="1" t="s">
        <v>7455</v>
      </c>
      <c r="J2094" s="7">
        <v>45560</v>
      </c>
      <c r="K2094" s="1" t="s">
        <v>7455</v>
      </c>
    </row>
    <row r="2095" spans="1:11" x14ac:dyDescent="0.3">
      <c r="A2095" s="1">
        <v>2094</v>
      </c>
      <c r="B2095" s="1" t="s">
        <v>6486</v>
      </c>
      <c r="C2095" s="1" t="s">
        <v>6487</v>
      </c>
      <c r="G2095" s="1">
        <v>1</v>
      </c>
      <c r="H2095" s="7">
        <v>45560</v>
      </c>
      <c r="I2095" s="1" t="s">
        <v>7455</v>
      </c>
      <c r="J2095" s="7">
        <v>45560</v>
      </c>
      <c r="K2095" s="1" t="s">
        <v>7455</v>
      </c>
    </row>
    <row r="2096" spans="1:11" x14ac:dyDescent="0.3">
      <c r="A2096" s="1">
        <v>2095</v>
      </c>
      <c r="B2096" s="1" t="s">
        <v>6488</v>
      </c>
      <c r="C2096" s="1" t="s">
        <v>6489</v>
      </c>
      <c r="D2096" s="1" t="s">
        <v>6490</v>
      </c>
      <c r="G2096" s="1">
        <v>1</v>
      </c>
      <c r="H2096" s="7">
        <v>45560</v>
      </c>
      <c r="I2096" s="1" t="s">
        <v>7455</v>
      </c>
      <c r="J2096" s="7">
        <v>45560</v>
      </c>
      <c r="K2096" s="1" t="s">
        <v>7455</v>
      </c>
    </row>
    <row r="2097" spans="1:11" x14ac:dyDescent="0.3">
      <c r="A2097" s="1">
        <v>2096</v>
      </c>
      <c r="B2097" s="1" t="s">
        <v>6491</v>
      </c>
      <c r="C2097" s="1" t="s">
        <v>6492</v>
      </c>
      <c r="G2097" s="1">
        <v>1</v>
      </c>
      <c r="H2097" s="7">
        <v>45560</v>
      </c>
      <c r="I2097" s="1" t="s">
        <v>7455</v>
      </c>
      <c r="J2097" s="7">
        <v>45560</v>
      </c>
      <c r="K2097" s="1" t="s">
        <v>7455</v>
      </c>
    </row>
    <row r="2098" spans="1:11" x14ac:dyDescent="0.3">
      <c r="A2098" s="1">
        <v>2097</v>
      </c>
      <c r="B2098" s="1" t="s">
        <v>6493</v>
      </c>
      <c r="C2098" s="1" t="s">
        <v>6494</v>
      </c>
      <c r="D2098" s="1" t="s">
        <v>6495</v>
      </c>
      <c r="G2098" s="1">
        <v>1</v>
      </c>
      <c r="H2098" s="7">
        <v>45560</v>
      </c>
      <c r="I2098" s="1" t="s">
        <v>7455</v>
      </c>
      <c r="J2098" s="7">
        <v>45560</v>
      </c>
      <c r="K2098" s="1" t="s">
        <v>7455</v>
      </c>
    </row>
    <row r="2099" spans="1:11" x14ac:dyDescent="0.3">
      <c r="A2099" s="1">
        <v>2098</v>
      </c>
      <c r="B2099" s="1" t="s">
        <v>6496</v>
      </c>
      <c r="C2099" s="1" t="s">
        <v>6497</v>
      </c>
      <c r="G2099" s="1">
        <v>1</v>
      </c>
      <c r="H2099" s="7">
        <v>45560</v>
      </c>
      <c r="I2099" s="1" t="s">
        <v>7455</v>
      </c>
      <c r="J2099" s="7">
        <v>45560</v>
      </c>
      <c r="K2099" s="1" t="s">
        <v>7455</v>
      </c>
    </row>
    <row r="2100" spans="1:11" x14ac:dyDescent="0.3">
      <c r="A2100" s="1">
        <v>2099</v>
      </c>
      <c r="B2100" s="1" t="s">
        <v>6498</v>
      </c>
      <c r="C2100" s="1" t="s">
        <v>6499</v>
      </c>
      <c r="D2100" s="1" t="s">
        <v>6500</v>
      </c>
      <c r="G2100" s="1">
        <v>1</v>
      </c>
      <c r="H2100" s="7">
        <v>45560</v>
      </c>
      <c r="I2100" s="1" t="s">
        <v>7455</v>
      </c>
      <c r="J2100" s="7">
        <v>45560</v>
      </c>
      <c r="K2100" s="1" t="s">
        <v>7455</v>
      </c>
    </row>
    <row r="2101" spans="1:11" x14ac:dyDescent="0.3">
      <c r="A2101" s="1">
        <v>2100</v>
      </c>
      <c r="B2101" s="1" t="s">
        <v>6501</v>
      </c>
      <c r="C2101" s="1" t="s">
        <v>6502</v>
      </c>
      <c r="D2101" s="1" t="s">
        <v>6503</v>
      </c>
      <c r="G2101" s="1">
        <v>1</v>
      </c>
      <c r="H2101" s="7">
        <v>45560</v>
      </c>
      <c r="I2101" s="1" t="s">
        <v>7455</v>
      </c>
      <c r="J2101" s="7">
        <v>45560</v>
      </c>
      <c r="K2101" s="1" t="s">
        <v>7455</v>
      </c>
    </row>
    <row r="2102" spans="1:11" x14ac:dyDescent="0.3">
      <c r="A2102" s="1">
        <v>2101</v>
      </c>
      <c r="B2102" s="1" t="s">
        <v>6504</v>
      </c>
      <c r="C2102" s="1" t="s">
        <v>6505</v>
      </c>
      <c r="G2102" s="1">
        <v>1</v>
      </c>
      <c r="H2102" s="7">
        <v>45560</v>
      </c>
      <c r="I2102" s="1" t="s">
        <v>7455</v>
      </c>
      <c r="J2102" s="7">
        <v>45560</v>
      </c>
      <c r="K2102" s="1" t="s">
        <v>7455</v>
      </c>
    </row>
    <row r="2103" spans="1:11" x14ac:dyDescent="0.3">
      <c r="A2103" s="1">
        <v>2102</v>
      </c>
      <c r="B2103" s="1" t="s">
        <v>6506</v>
      </c>
      <c r="C2103" s="1" t="s">
        <v>6507</v>
      </c>
      <c r="G2103" s="1">
        <v>1</v>
      </c>
      <c r="H2103" s="7">
        <v>45560</v>
      </c>
      <c r="I2103" s="1" t="s">
        <v>7455</v>
      </c>
      <c r="J2103" s="7">
        <v>45560</v>
      </c>
      <c r="K2103" s="1" t="s">
        <v>7455</v>
      </c>
    </row>
    <row r="2104" spans="1:11" x14ac:dyDescent="0.3">
      <c r="A2104" s="1">
        <v>2103</v>
      </c>
      <c r="B2104" s="1" t="s">
        <v>6508</v>
      </c>
      <c r="C2104" s="1" t="s">
        <v>6509</v>
      </c>
      <c r="G2104" s="1">
        <v>1</v>
      </c>
      <c r="H2104" s="7">
        <v>45560</v>
      </c>
      <c r="I2104" s="1" t="s">
        <v>7455</v>
      </c>
      <c r="J2104" s="7">
        <v>45560</v>
      </c>
      <c r="K2104" s="1" t="s">
        <v>7455</v>
      </c>
    </row>
    <row r="2105" spans="1:11" x14ac:dyDescent="0.3">
      <c r="A2105" s="1">
        <v>2104</v>
      </c>
      <c r="B2105" s="1" t="s">
        <v>6510</v>
      </c>
      <c r="C2105" s="1" t="s">
        <v>6511</v>
      </c>
      <c r="G2105" s="1">
        <v>1</v>
      </c>
      <c r="H2105" s="7">
        <v>45560</v>
      </c>
      <c r="I2105" s="1" t="s">
        <v>7455</v>
      </c>
      <c r="J2105" s="7">
        <v>45560</v>
      </c>
      <c r="K2105" s="1" t="s">
        <v>7455</v>
      </c>
    </row>
    <row r="2106" spans="1:11" x14ac:dyDescent="0.3">
      <c r="A2106" s="1">
        <v>2105</v>
      </c>
      <c r="B2106" s="1" t="s">
        <v>6512</v>
      </c>
      <c r="C2106" s="1" t="s">
        <v>6513</v>
      </c>
      <c r="G2106" s="1">
        <v>1</v>
      </c>
      <c r="H2106" s="7">
        <v>45560</v>
      </c>
      <c r="I2106" s="1" t="s">
        <v>7455</v>
      </c>
      <c r="J2106" s="7">
        <v>45560</v>
      </c>
      <c r="K2106" s="1" t="s">
        <v>7455</v>
      </c>
    </row>
    <row r="2107" spans="1:11" x14ac:dyDescent="0.3">
      <c r="A2107" s="1">
        <v>2106</v>
      </c>
      <c r="B2107" s="1" t="s">
        <v>6514</v>
      </c>
      <c r="C2107" s="1" t="s">
        <v>6515</v>
      </c>
      <c r="G2107" s="1">
        <v>1</v>
      </c>
      <c r="H2107" s="7">
        <v>45560</v>
      </c>
      <c r="I2107" s="1" t="s">
        <v>7455</v>
      </c>
      <c r="J2107" s="7">
        <v>45560</v>
      </c>
      <c r="K2107" s="1" t="s">
        <v>7455</v>
      </c>
    </row>
    <row r="2108" spans="1:11" x14ac:dyDescent="0.3">
      <c r="A2108" s="1">
        <v>2107</v>
      </c>
      <c r="B2108" s="1" t="s">
        <v>6516</v>
      </c>
      <c r="C2108" s="1" t="s">
        <v>6517</v>
      </c>
      <c r="G2108" s="1">
        <v>1</v>
      </c>
      <c r="H2108" s="7">
        <v>45560</v>
      </c>
      <c r="I2108" s="1" t="s">
        <v>7455</v>
      </c>
      <c r="J2108" s="7">
        <v>45560</v>
      </c>
      <c r="K2108" s="1" t="s">
        <v>7455</v>
      </c>
    </row>
    <row r="2109" spans="1:11" x14ac:dyDescent="0.3">
      <c r="A2109" s="1">
        <v>2108</v>
      </c>
      <c r="B2109" s="1" t="s">
        <v>6518</v>
      </c>
      <c r="C2109" s="1" t="s">
        <v>6519</v>
      </c>
      <c r="G2109" s="1">
        <v>1</v>
      </c>
      <c r="H2109" s="7">
        <v>45560</v>
      </c>
      <c r="I2109" s="1" t="s">
        <v>7455</v>
      </c>
      <c r="J2109" s="7">
        <v>45560</v>
      </c>
      <c r="K2109" s="1" t="s">
        <v>7455</v>
      </c>
    </row>
    <row r="2110" spans="1:11" x14ac:dyDescent="0.3">
      <c r="A2110" s="1">
        <v>2109</v>
      </c>
      <c r="B2110" s="1" t="s">
        <v>6520</v>
      </c>
      <c r="C2110" s="1" t="s">
        <v>6521</v>
      </c>
      <c r="G2110" s="1">
        <v>1</v>
      </c>
      <c r="H2110" s="7">
        <v>45560</v>
      </c>
      <c r="I2110" s="1" t="s">
        <v>7455</v>
      </c>
      <c r="J2110" s="7">
        <v>45560</v>
      </c>
      <c r="K2110" s="1" t="s">
        <v>7455</v>
      </c>
    </row>
    <row r="2111" spans="1:11" x14ac:dyDescent="0.3">
      <c r="A2111" s="1">
        <v>2110</v>
      </c>
      <c r="B2111" s="1" t="s">
        <v>6522</v>
      </c>
      <c r="C2111" s="1" t="s">
        <v>6523</v>
      </c>
      <c r="G2111" s="1">
        <v>1</v>
      </c>
      <c r="H2111" s="7">
        <v>45560</v>
      </c>
      <c r="I2111" s="1" t="s">
        <v>7455</v>
      </c>
      <c r="J2111" s="7">
        <v>45560</v>
      </c>
      <c r="K2111" s="1" t="s">
        <v>7455</v>
      </c>
    </row>
    <row r="2112" spans="1:11" x14ac:dyDescent="0.3">
      <c r="A2112" s="1">
        <v>2111</v>
      </c>
      <c r="B2112" s="1" t="s">
        <v>6524</v>
      </c>
      <c r="C2112" s="1" t="s">
        <v>6525</v>
      </c>
      <c r="G2112" s="1">
        <v>1</v>
      </c>
      <c r="H2112" s="7">
        <v>45560</v>
      </c>
      <c r="I2112" s="1" t="s">
        <v>7455</v>
      </c>
      <c r="J2112" s="7">
        <v>45560</v>
      </c>
      <c r="K2112" s="1" t="s">
        <v>7455</v>
      </c>
    </row>
    <row r="2113" spans="1:11" x14ac:dyDescent="0.3">
      <c r="A2113" s="1">
        <v>2112</v>
      </c>
      <c r="B2113" s="1" t="s">
        <v>6526</v>
      </c>
      <c r="C2113" s="1" t="s">
        <v>6527</v>
      </c>
      <c r="G2113" s="1">
        <v>1</v>
      </c>
      <c r="H2113" s="7">
        <v>45560</v>
      </c>
      <c r="I2113" s="1" t="s">
        <v>7455</v>
      </c>
      <c r="J2113" s="7">
        <v>45560</v>
      </c>
      <c r="K2113" s="1" t="s">
        <v>7455</v>
      </c>
    </row>
    <row r="2114" spans="1:11" x14ac:dyDescent="0.3">
      <c r="A2114" s="1">
        <v>2113</v>
      </c>
      <c r="B2114" s="1" t="s">
        <v>6528</v>
      </c>
      <c r="C2114" s="1" t="s">
        <v>6529</v>
      </c>
      <c r="G2114" s="1">
        <v>1</v>
      </c>
      <c r="H2114" s="7">
        <v>45560</v>
      </c>
      <c r="I2114" s="1" t="s">
        <v>7455</v>
      </c>
      <c r="J2114" s="7">
        <v>45560</v>
      </c>
      <c r="K2114" s="1" t="s">
        <v>7455</v>
      </c>
    </row>
    <row r="2115" spans="1:11" x14ac:dyDescent="0.3">
      <c r="A2115" s="1">
        <v>2114</v>
      </c>
      <c r="B2115" s="1" t="s">
        <v>6530</v>
      </c>
      <c r="C2115" s="1" t="s">
        <v>6531</v>
      </c>
      <c r="G2115" s="1">
        <v>1</v>
      </c>
      <c r="H2115" s="7">
        <v>45560</v>
      </c>
      <c r="I2115" s="1" t="s">
        <v>7455</v>
      </c>
      <c r="J2115" s="7">
        <v>45560</v>
      </c>
      <c r="K2115" s="1" t="s">
        <v>7455</v>
      </c>
    </row>
    <row r="2116" spans="1:11" x14ac:dyDescent="0.3">
      <c r="A2116" s="1">
        <v>2115</v>
      </c>
      <c r="B2116" s="1" t="s">
        <v>6532</v>
      </c>
      <c r="C2116" s="1" t="s">
        <v>6533</v>
      </c>
      <c r="G2116" s="1">
        <v>1</v>
      </c>
      <c r="H2116" s="7">
        <v>45560</v>
      </c>
      <c r="I2116" s="1" t="s">
        <v>7455</v>
      </c>
      <c r="J2116" s="7">
        <v>45560</v>
      </c>
      <c r="K2116" s="1" t="s">
        <v>7455</v>
      </c>
    </row>
    <row r="2117" spans="1:11" x14ac:dyDescent="0.3">
      <c r="A2117" s="1">
        <v>2116</v>
      </c>
      <c r="B2117" s="1" t="s">
        <v>6534</v>
      </c>
      <c r="C2117" s="1" t="s">
        <v>6535</v>
      </c>
      <c r="G2117" s="1">
        <v>1</v>
      </c>
      <c r="H2117" s="7">
        <v>45560</v>
      </c>
      <c r="I2117" s="1" t="s">
        <v>7455</v>
      </c>
      <c r="J2117" s="7">
        <v>45560</v>
      </c>
      <c r="K2117" s="1" t="s">
        <v>7455</v>
      </c>
    </row>
    <row r="2118" spans="1:11" x14ac:dyDescent="0.3">
      <c r="A2118" s="1">
        <v>2117</v>
      </c>
      <c r="B2118" s="1" t="s">
        <v>6536</v>
      </c>
      <c r="C2118" s="1" t="s">
        <v>6537</v>
      </c>
      <c r="D2118" s="1" t="s">
        <v>6538</v>
      </c>
      <c r="G2118" s="1">
        <v>1</v>
      </c>
      <c r="H2118" s="7">
        <v>45560</v>
      </c>
      <c r="I2118" s="1" t="s">
        <v>7455</v>
      </c>
      <c r="J2118" s="7">
        <v>45560</v>
      </c>
      <c r="K2118" s="1" t="s">
        <v>7455</v>
      </c>
    </row>
    <row r="2119" spans="1:11" x14ac:dyDescent="0.3">
      <c r="A2119" s="1">
        <v>2118</v>
      </c>
      <c r="B2119" s="1" t="s">
        <v>6539</v>
      </c>
      <c r="C2119" s="1" t="s">
        <v>6540</v>
      </c>
      <c r="G2119" s="1">
        <v>1</v>
      </c>
      <c r="H2119" s="7">
        <v>45560</v>
      </c>
      <c r="I2119" s="1" t="s">
        <v>7455</v>
      </c>
      <c r="J2119" s="7">
        <v>45560</v>
      </c>
      <c r="K2119" s="1" t="s">
        <v>7455</v>
      </c>
    </row>
    <row r="2120" spans="1:11" x14ac:dyDescent="0.3">
      <c r="A2120" s="1">
        <v>2119</v>
      </c>
      <c r="B2120" s="1" t="s">
        <v>6541</v>
      </c>
      <c r="C2120" s="1" t="s">
        <v>6542</v>
      </c>
      <c r="G2120" s="1">
        <v>1</v>
      </c>
      <c r="H2120" s="7">
        <v>45560</v>
      </c>
      <c r="I2120" s="1" t="s">
        <v>7455</v>
      </c>
      <c r="J2120" s="7">
        <v>45560</v>
      </c>
      <c r="K2120" s="1" t="s">
        <v>7455</v>
      </c>
    </row>
    <row r="2121" spans="1:11" x14ac:dyDescent="0.3">
      <c r="A2121" s="1">
        <v>2120</v>
      </c>
      <c r="B2121" s="1" t="s">
        <v>6543</v>
      </c>
      <c r="C2121" s="1" t="s">
        <v>6544</v>
      </c>
      <c r="G2121" s="1">
        <v>1</v>
      </c>
      <c r="H2121" s="7">
        <v>45560</v>
      </c>
      <c r="I2121" s="1" t="s">
        <v>7455</v>
      </c>
      <c r="J2121" s="7">
        <v>45560</v>
      </c>
      <c r="K2121" s="1" t="s">
        <v>7455</v>
      </c>
    </row>
    <row r="2122" spans="1:11" x14ac:dyDescent="0.3">
      <c r="A2122" s="1">
        <v>2121</v>
      </c>
      <c r="B2122" s="1" t="s">
        <v>6545</v>
      </c>
      <c r="C2122" s="1" t="s">
        <v>6546</v>
      </c>
      <c r="D2122" s="1" t="s">
        <v>6547</v>
      </c>
      <c r="G2122" s="1">
        <v>1</v>
      </c>
      <c r="H2122" s="7">
        <v>45560</v>
      </c>
      <c r="I2122" s="1" t="s">
        <v>7455</v>
      </c>
      <c r="J2122" s="7">
        <v>45560</v>
      </c>
      <c r="K2122" s="1" t="s">
        <v>7455</v>
      </c>
    </row>
    <row r="2123" spans="1:11" x14ac:dyDescent="0.3">
      <c r="A2123" s="1">
        <v>2122</v>
      </c>
      <c r="B2123" s="1" t="s">
        <v>6548</v>
      </c>
      <c r="C2123" s="1" t="s">
        <v>6549</v>
      </c>
      <c r="G2123" s="1">
        <v>1</v>
      </c>
      <c r="H2123" s="7">
        <v>45560</v>
      </c>
      <c r="I2123" s="1" t="s">
        <v>7455</v>
      </c>
      <c r="J2123" s="7">
        <v>45560</v>
      </c>
      <c r="K2123" s="1" t="s">
        <v>7455</v>
      </c>
    </row>
    <row r="2124" spans="1:11" x14ac:dyDescent="0.3">
      <c r="A2124" s="1">
        <v>2123</v>
      </c>
      <c r="B2124" s="1" t="s">
        <v>6550</v>
      </c>
      <c r="C2124" s="1" t="s">
        <v>6551</v>
      </c>
      <c r="G2124" s="1">
        <v>1</v>
      </c>
      <c r="H2124" s="7">
        <v>45560</v>
      </c>
      <c r="I2124" s="1" t="s">
        <v>7455</v>
      </c>
      <c r="J2124" s="7">
        <v>45560</v>
      </c>
      <c r="K2124" s="1" t="s">
        <v>7455</v>
      </c>
    </row>
    <row r="2125" spans="1:11" x14ac:dyDescent="0.3">
      <c r="A2125" s="1">
        <v>2124</v>
      </c>
      <c r="B2125" s="1" t="s">
        <v>6552</v>
      </c>
      <c r="C2125" s="1" t="s">
        <v>6553</v>
      </c>
      <c r="G2125" s="1">
        <v>1</v>
      </c>
      <c r="H2125" s="7">
        <v>45560</v>
      </c>
      <c r="I2125" s="1" t="s">
        <v>7455</v>
      </c>
      <c r="J2125" s="7">
        <v>45560</v>
      </c>
      <c r="K2125" s="1" t="s">
        <v>7455</v>
      </c>
    </row>
    <row r="2126" spans="1:11" x14ac:dyDescent="0.3">
      <c r="A2126" s="1">
        <v>2125</v>
      </c>
      <c r="B2126" s="1" t="s">
        <v>6554</v>
      </c>
      <c r="C2126" s="1" t="s">
        <v>6555</v>
      </c>
      <c r="G2126" s="1">
        <v>1</v>
      </c>
      <c r="H2126" s="7">
        <v>45560</v>
      </c>
      <c r="I2126" s="1" t="s">
        <v>7455</v>
      </c>
      <c r="J2126" s="7">
        <v>45560</v>
      </c>
      <c r="K2126" s="1" t="s">
        <v>7455</v>
      </c>
    </row>
    <row r="2127" spans="1:11" x14ac:dyDescent="0.3">
      <c r="A2127" s="1">
        <v>2126</v>
      </c>
      <c r="B2127" s="1" t="s">
        <v>6556</v>
      </c>
      <c r="C2127" s="1" t="s">
        <v>6557</v>
      </c>
      <c r="G2127" s="1">
        <v>1</v>
      </c>
      <c r="H2127" s="7">
        <v>45560</v>
      </c>
      <c r="I2127" s="1" t="s">
        <v>7455</v>
      </c>
      <c r="J2127" s="7">
        <v>45560</v>
      </c>
      <c r="K2127" s="1" t="s">
        <v>7455</v>
      </c>
    </row>
    <row r="2128" spans="1:11" x14ac:dyDescent="0.3">
      <c r="A2128" s="1">
        <v>2127</v>
      </c>
      <c r="B2128" s="1" t="s">
        <v>6558</v>
      </c>
      <c r="C2128" s="1" t="s">
        <v>6559</v>
      </c>
      <c r="G2128" s="1">
        <v>1</v>
      </c>
      <c r="H2128" s="7">
        <v>45560</v>
      </c>
      <c r="I2128" s="1" t="s">
        <v>7455</v>
      </c>
      <c r="J2128" s="7">
        <v>45560</v>
      </c>
      <c r="K2128" s="1" t="s">
        <v>7455</v>
      </c>
    </row>
    <row r="2129" spans="1:11" x14ac:dyDescent="0.3">
      <c r="A2129" s="1">
        <v>2128</v>
      </c>
      <c r="B2129" s="1" t="s">
        <v>6560</v>
      </c>
      <c r="C2129" s="1" t="s">
        <v>6561</v>
      </c>
      <c r="G2129" s="1">
        <v>1</v>
      </c>
      <c r="H2129" s="7">
        <v>45560</v>
      </c>
      <c r="I2129" s="1" t="s">
        <v>7455</v>
      </c>
      <c r="J2129" s="7">
        <v>45560</v>
      </c>
      <c r="K2129" s="1" t="s">
        <v>7455</v>
      </c>
    </row>
    <row r="2130" spans="1:11" x14ac:dyDescent="0.3">
      <c r="A2130" s="1">
        <v>2129</v>
      </c>
      <c r="B2130" s="1" t="s">
        <v>6562</v>
      </c>
      <c r="C2130" s="1" t="s">
        <v>6563</v>
      </c>
      <c r="G2130" s="1">
        <v>1</v>
      </c>
      <c r="H2130" s="7">
        <v>45560</v>
      </c>
      <c r="I2130" s="1" t="s">
        <v>7455</v>
      </c>
      <c r="J2130" s="7">
        <v>45560</v>
      </c>
      <c r="K2130" s="1" t="s">
        <v>7455</v>
      </c>
    </row>
    <row r="2131" spans="1:11" x14ac:dyDescent="0.3">
      <c r="A2131" s="1">
        <v>2130</v>
      </c>
      <c r="B2131" s="1" t="s">
        <v>6564</v>
      </c>
      <c r="C2131" s="1" t="s">
        <v>6565</v>
      </c>
      <c r="G2131" s="1">
        <v>1</v>
      </c>
      <c r="H2131" s="7">
        <v>45560</v>
      </c>
      <c r="I2131" s="1" t="s">
        <v>7455</v>
      </c>
      <c r="J2131" s="7">
        <v>45560</v>
      </c>
      <c r="K2131" s="1" t="s">
        <v>7455</v>
      </c>
    </row>
    <row r="2132" spans="1:11" x14ac:dyDescent="0.3">
      <c r="A2132" s="1">
        <v>2131</v>
      </c>
      <c r="B2132" s="1" t="s">
        <v>6566</v>
      </c>
      <c r="C2132" s="1" t="s">
        <v>6567</v>
      </c>
      <c r="G2132" s="1">
        <v>1</v>
      </c>
      <c r="H2132" s="7">
        <v>45560</v>
      </c>
      <c r="I2132" s="1" t="s">
        <v>7455</v>
      </c>
      <c r="J2132" s="7">
        <v>45560</v>
      </c>
      <c r="K2132" s="1" t="s">
        <v>7455</v>
      </c>
    </row>
    <row r="2133" spans="1:11" x14ac:dyDescent="0.3">
      <c r="A2133" s="1">
        <v>2132</v>
      </c>
      <c r="B2133" s="1" t="s">
        <v>6568</v>
      </c>
      <c r="C2133" s="1" t="s">
        <v>6569</v>
      </c>
      <c r="G2133" s="1">
        <v>1</v>
      </c>
      <c r="H2133" s="7">
        <v>45560</v>
      </c>
      <c r="I2133" s="1" t="s">
        <v>7455</v>
      </c>
      <c r="J2133" s="7">
        <v>45560</v>
      </c>
      <c r="K2133" s="1" t="s">
        <v>7455</v>
      </c>
    </row>
    <row r="2134" spans="1:11" x14ac:dyDescent="0.3">
      <c r="A2134" s="1">
        <v>2133</v>
      </c>
      <c r="B2134" s="1" t="s">
        <v>6570</v>
      </c>
      <c r="C2134" s="1" t="s">
        <v>6571</v>
      </c>
      <c r="G2134" s="1">
        <v>1</v>
      </c>
      <c r="H2134" s="7">
        <v>45560</v>
      </c>
      <c r="I2134" s="1" t="s">
        <v>7455</v>
      </c>
      <c r="J2134" s="7">
        <v>45560</v>
      </c>
      <c r="K2134" s="1" t="s">
        <v>7455</v>
      </c>
    </row>
    <row r="2135" spans="1:11" x14ac:dyDescent="0.3">
      <c r="A2135" s="1">
        <v>2134</v>
      </c>
      <c r="B2135" s="1" t="s">
        <v>6572</v>
      </c>
      <c r="C2135" s="1" t="s">
        <v>6573</v>
      </c>
      <c r="G2135" s="1">
        <v>1</v>
      </c>
      <c r="H2135" s="7">
        <v>45560</v>
      </c>
      <c r="I2135" s="1" t="s">
        <v>7455</v>
      </c>
      <c r="J2135" s="7">
        <v>45560</v>
      </c>
      <c r="K2135" s="1" t="s">
        <v>7455</v>
      </c>
    </row>
    <row r="2136" spans="1:11" x14ac:dyDescent="0.3">
      <c r="A2136" s="1">
        <v>2135</v>
      </c>
      <c r="B2136" s="1" t="s">
        <v>6574</v>
      </c>
      <c r="C2136" s="1" t="s">
        <v>6575</v>
      </c>
      <c r="D2136" s="1" t="s">
        <v>6576</v>
      </c>
      <c r="G2136" s="1">
        <v>1</v>
      </c>
      <c r="H2136" s="7">
        <v>45560</v>
      </c>
      <c r="I2136" s="1" t="s">
        <v>7455</v>
      </c>
      <c r="J2136" s="7">
        <v>45560</v>
      </c>
      <c r="K2136" s="1" t="s">
        <v>7455</v>
      </c>
    </row>
    <row r="2137" spans="1:11" x14ac:dyDescent="0.3">
      <c r="A2137" s="1">
        <v>2136</v>
      </c>
      <c r="B2137" s="1" t="s">
        <v>6577</v>
      </c>
      <c r="C2137" s="1" t="s">
        <v>6578</v>
      </c>
      <c r="G2137" s="1">
        <v>1</v>
      </c>
      <c r="H2137" s="7">
        <v>45560</v>
      </c>
      <c r="I2137" s="1" t="s">
        <v>7455</v>
      </c>
      <c r="J2137" s="7">
        <v>45560</v>
      </c>
      <c r="K2137" s="1" t="s">
        <v>7455</v>
      </c>
    </row>
    <row r="2138" spans="1:11" x14ac:dyDescent="0.3">
      <c r="A2138" s="1">
        <v>2137</v>
      </c>
      <c r="B2138" s="1" t="s">
        <v>6579</v>
      </c>
      <c r="C2138" s="1" t="s">
        <v>6580</v>
      </c>
      <c r="G2138" s="1">
        <v>1</v>
      </c>
      <c r="H2138" s="7">
        <v>45560</v>
      </c>
      <c r="I2138" s="1" t="s">
        <v>7455</v>
      </c>
      <c r="J2138" s="7">
        <v>45560</v>
      </c>
      <c r="K2138" s="1" t="s">
        <v>7455</v>
      </c>
    </row>
    <row r="2139" spans="1:11" x14ac:dyDescent="0.3">
      <c r="A2139" s="1">
        <v>2138</v>
      </c>
      <c r="B2139" s="1" t="s">
        <v>6581</v>
      </c>
      <c r="C2139" s="1" t="s">
        <v>6582</v>
      </c>
      <c r="G2139" s="1">
        <v>1</v>
      </c>
      <c r="H2139" s="7">
        <v>45560</v>
      </c>
      <c r="I2139" s="1" t="s">
        <v>7455</v>
      </c>
      <c r="J2139" s="7">
        <v>45560</v>
      </c>
      <c r="K2139" s="1" t="s">
        <v>7455</v>
      </c>
    </row>
    <row r="2140" spans="1:11" x14ac:dyDescent="0.3">
      <c r="A2140" s="1">
        <v>2139</v>
      </c>
      <c r="B2140" s="1" t="s">
        <v>6583</v>
      </c>
      <c r="C2140" s="1" t="s">
        <v>6584</v>
      </c>
      <c r="G2140" s="1">
        <v>1</v>
      </c>
      <c r="H2140" s="7">
        <v>45560</v>
      </c>
      <c r="I2140" s="1" t="s">
        <v>7455</v>
      </c>
      <c r="J2140" s="7">
        <v>45560</v>
      </c>
      <c r="K2140" s="1" t="s">
        <v>7455</v>
      </c>
    </row>
    <row r="2141" spans="1:11" x14ac:dyDescent="0.3">
      <c r="A2141" s="1">
        <v>2140</v>
      </c>
      <c r="B2141" s="1" t="s">
        <v>6585</v>
      </c>
      <c r="C2141" s="1" t="s">
        <v>6586</v>
      </c>
      <c r="G2141" s="1">
        <v>1</v>
      </c>
      <c r="H2141" s="7">
        <v>45560</v>
      </c>
      <c r="I2141" s="1" t="s">
        <v>7455</v>
      </c>
      <c r="J2141" s="7">
        <v>45560</v>
      </c>
      <c r="K2141" s="1" t="s">
        <v>7455</v>
      </c>
    </row>
    <row r="2142" spans="1:11" x14ac:dyDescent="0.3">
      <c r="A2142" s="1">
        <v>2141</v>
      </c>
      <c r="B2142" s="1" t="s">
        <v>6587</v>
      </c>
      <c r="C2142" s="1" t="s">
        <v>6588</v>
      </c>
      <c r="G2142" s="1">
        <v>1</v>
      </c>
      <c r="H2142" s="7">
        <v>45560</v>
      </c>
      <c r="I2142" s="1" t="s">
        <v>7455</v>
      </c>
      <c r="J2142" s="7">
        <v>45560</v>
      </c>
      <c r="K2142" s="1" t="s">
        <v>7455</v>
      </c>
    </row>
    <row r="2143" spans="1:11" x14ac:dyDescent="0.3">
      <c r="A2143" s="1">
        <v>2142</v>
      </c>
      <c r="B2143" s="1" t="s">
        <v>6589</v>
      </c>
      <c r="C2143" s="1" t="s">
        <v>6590</v>
      </c>
      <c r="G2143" s="1">
        <v>1</v>
      </c>
      <c r="H2143" s="7">
        <v>45560</v>
      </c>
      <c r="I2143" s="1" t="s">
        <v>7455</v>
      </c>
      <c r="J2143" s="7">
        <v>45560</v>
      </c>
      <c r="K2143" s="1" t="s">
        <v>7455</v>
      </c>
    </row>
    <row r="2144" spans="1:11" x14ac:dyDescent="0.3">
      <c r="A2144" s="1">
        <v>2143</v>
      </c>
      <c r="B2144" s="1" t="s">
        <v>6591</v>
      </c>
      <c r="C2144" s="1" t="s">
        <v>6592</v>
      </c>
      <c r="G2144" s="1">
        <v>1</v>
      </c>
      <c r="H2144" s="7">
        <v>45560</v>
      </c>
      <c r="I2144" s="1" t="s">
        <v>7455</v>
      </c>
      <c r="J2144" s="7">
        <v>45560</v>
      </c>
      <c r="K2144" s="1" t="s">
        <v>7455</v>
      </c>
    </row>
    <row r="2145" spans="1:11" x14ac:dyDescent="0.3">
      <c r="A2145" s="1">
        <v>2144</v>
      </c>
      <c r="B2145" s="1" t="s">
        <v>6593</v>
      </c>
      <c r="C2145" s="1" t="s">
        <v>6594</v>
      </c>
      <c r="G2145" s="1">
        <v>1</v>
      </c>
      <c r="H2145" s="7">
        <v>45560</v>
      </c>
      <c r="I2145" s="1" t="s">
        <v>7455</v>
      </c>
      <c r="J2145" s="7">
        <v>45560</v>
      </c>
      <c r="K2145" s="1" t="s">
        <v>7455</v>
      </c>
    </row>
    <row r="2146" spans="1:11" x14ac:dyDescent="0.3">
      <c r="A2146" s="1">
        <v>2145</v>
      </c>
      <c r="B2146" s="1" t="s">
        <v>6595</v>
      </c>
      <c r="C2146" s="1" t="s">
        <v>6596</v>
      </c>
      <c r="G2146" s="1">
        <v>1</v>
      </c>
      <c r="H2146" s="7">
        <v>45560</v>
      </c>
      <c r="I2146" s="1" t="s">
        <v>7455</v>
      </c>
      <c r="J2146" s="7">
        <v>45560</v>
      </c>
      <c r="K2146" s="1" t="s">
        <v>7455</v>
      </c>
    </row>
    <row r="2147" spans="1:11" x14ac:dyDescent="0.3">
      <c r="A2147" s="1">
        <v>2146</v>
      </c>
      <c r="B2147" s="1" t="s">
        <v>6597</v>
      </c>
      <c r="C2147" s="1" t="s">
        <v>6598</v>
      </c>
      <c r="G2147" s="1">
        <v>1</v>
      </c>
      <c r="H2147" s="7">
        <v>45560</v>
      </c>
      <c r="I2147" s="1" t="s">
        <v>7455</v>
      </c>
      <c r="J2147" s="7">
        <v>45560</v>
      </c>
      <c r="K2147" s="1" t="s">
        <v>7455</v>
      </c>
    </row>
    <row r="2148" spans="1:11" x14ac:dyDescent="0.3">
      <c r="A2148" s="1">
        <v>2147</v>
      </c>
      <c r="B2148" s="1" t="s">
        <v>6599</v>
      </c>
      <c r="C2148" s="1" t="s">
        <v>6600</v>
      </c>
      <c r="G2148" s="1">
        <v>1</v>
      </c>
      <c r="H2148" s="7">
        <v>45560</v>
      </c>
      <c r="I2148" s="1" t="s">
        <v>7455</v>
      </c>
      <c r="J2148" s="7">
        <v>45560</v>
      </c>
      <c r="K2148" s="1" t="s">
        <v>7455</v>
      </c>
    </row>
    <row r="2149" spans="1:11" x14ac:dyDescent="0.3">
      <c r="A2149" s="1">
        <v>2148</v>
      </c>
      <c r="B2149" s="1" t="s">
        <v>6601</v>
      </c>
      <c r="C2149" s="1" t="s">
        <v>6602</v>
      </c>
      <c r="G2149" s="1">
        <v>1</v>
      </c>
      <c r="H2149" s="7">
        <v>45560</v>
      </c>
      <c r="I2149" s="1" t="s">
        <v>7455</v>
      </c>
      <c r="J2149" s="7">
        <v>45560</v>
      </c>
      <c r="K2149" s="1" t="s">
        <v>7455</v>
      </c>
    </row>
    <row r="2150" spans="1:11" x14ac:dyDescent="0.3">
      <c r="A2150" s="1">
        <v>2149</v>
      </c>
      <c r="B2150" s="1" t="s">
        <v>6603</v>
      </c>
      <c r="C2150" s="1" t="s">
        <v>6604</v>
      </c>
      <c r="G2150" s="1">
        <v>1</v>
      </c>
      <c r="H2150" s="7">
        <v>45560</v>
      </c>
      <c r="I2150" s="1" t="s">
        <v>7455</v>
      </c>
      <c r="J2150" s="7">
        <v>45560</v>
      </c>
      <c r="K2150" s="1" t="s">
        <v>7455</v>
      </c>
    </row>
    <row r="2151" spans="1:11" x14ac:dyDescent="0.3">
      <c r="A2151" s="1">
        <v>2150</v>
      </c>
      <c r="B2151" s="1" t="s">
        <v>6605</v>
      </c>
      <c r="C2151" s="1" t="s">
        <v>6606</v>
      </c>
      <c r="G2151" s="1">
        <v>1</v>
      </c>
      <c r="H2151" s="7">
        <v>45560</v>
      </c>
      <c r="I2151" s="1" t="s">
        <v>7455</v>
      </c>
      <c r="J2151" s="7">
        <v>45560</v>
      </c>
      <c r="K2151" s="1" t="s">
        <v>7455</v>
      </c>
    </row>
    <row r="2152" spans="1:11" x14ac:dyDescent="0.3">
      <c r="A2152" s="1">
        <v>2151</v>
      </c>
      <c r="B2152" s="1" t="s">
        <v>6607</v>
      </c>
      <c r="C2152" s="1" t="s">
        <v>6371</v>
      </c>
      <c r="G2152" s="1">
        <v>1</v>
      </c>
      <c r="H2152" s="7">
        <v>45560</v>
      </c>
      <c r="I2152" s="1" t="s">
        <v>7455</v>
      </c>
      <c r="J2152" s="7">
        <v>45560</v>
      </c>
      <c r="K2152" s="1" t="s">
        <v>7455</v>
      </c>
    </row>
    <row r="2153" spans="1:11" x14ac:dyDescent="0.3">
      <c r="A2153" s="1">
        <v>2152</v>
      </c>
      <c r="B2153" s="1" t="s">
        <v>6608</v>
      </c>
      <c r="C2153" s="1" t="s">
        <v>6609</v>
      </c>
      <c r="G2153" s="1">
        <v>1</v>
      </c>
      <c r="H2153" s="7">
        <v>45560</v>
      </c>
      <c r="I2153" s="1" t="s">
        <v>7455</v>
      </c>
      <c r="J2153" s="7">
        <v>45560</v>
      </c>
      <c r="K2153" s="1" t="s">
        <v>7455</v>
      </c>
    </row>
    <row r="2154" spans="1:11" x14ac:dyDescent="0.3">
      <c r="A2154" s="1">
        <v>2153</v>
      </c>
      <c r="B2154" s="1" t="s">
        <v>6610</v>
      </c>
      <c r="C2154" s="1" t="s">
        <v>6611</v>
      </c>
      <c r="G2154" s="1">
        <v>1</v>
      </c>
      <c r="H2154" s="7">
        <v>45560</v>
      </c>
      <c r="I2154" s="1" t="s">
        <v>7455</v>
      </c>
      <c r="J2154" s="7">
        <v>45560</v>
      </c>
      <c r="K2154" s="1" t="s">
        <v>7455</v>
      </c>
    </row>
    <row r="2155" spans="1:11" x14ac:dyDescent="0.3">
      <c r="A2155" s="1">
        <v>2154</v>
      </c>
      <c r="B2155" s="1" t="s">
        <v>6612</v>
      </c>
      <c r="C2155" s="1" t="s">
        <v>6613</v>
      </c>
      <c r="G2155" s="1">
        <v>1</v>
      </c>
      <c r="H2155" s="7">
        <v>45560</v>
      </c>
      <c r="I2155" s="1" t="s">
        <v>7455</v>
      </c>
      <c r="J2155" s="7">
        <v>45560</v>
      </c>
      <c r="K2155" s="1" t="s">
        <v>7455</v>
      </c>
    </row>
    <row r="2156" spans="1:11" x14ac:dyDescent="0.3">
      <c r="A2156" s="1">
        <v>2155</v>
      </c>
      <c r="B2156" s="1" t="s">
        <v>6614</v>
      </c>
      <c r="C2156" s="1" t="s">
        <v>6615</v>
      </c>
      <c r="G2156" s="1">
        <v>1</v>
      </c>
      <c r="H2156" s="7">
        <v>45560</v>
      </c>
      <c r="I2156" s="1" t="s">
        <v>7455</v>
      </c>
      <c r="J2156" s="7">
        <v>45560</v>
      </c>
      <c r="K2156" s="1" t="s">
        <v>7455</v>
      </c>
    </row>
    <row r="2157" spans="1:11" x14ac:dyDescent="0.3">
      <c r="A2157" s="1">
        <v>2156</v>
      </c>
      <c r="B2157" s="1" t="s">
        <v>6616</v>
      </c>
      <c r="C2157" s="1" t="s">
        <v>6617</v>
      </c>
      <c r="G2157" s="1">
        <v>1</v>
      </c>
      <c r="H2157" s="7">
        <v>45560</v>
      </c>
      <c r="I2157" s="1" t="s">
        <v>7455</v>
      </c>
      <c r="J2157" s="7">
        <v>45560</v>
      </c>
      <c r="K2157" s="1" t="s">
        <v>7455</v>
      </c>
    </row>
    <row r="2158" spans="1:11" x14ac:dyDescent="0.3">
      <c r="A2158" s="1">
        <v>2157</v>
      </c>
      <c r="B2158" s="1" t="s">
        <v>6618</v>
      </c>
      <c r="C2158" s="1" t="s">
        <v>6619</v>
      </c>
      <c r="G2158" s="1">
        <v>1</v>
      </c>
      <c r="H2158" s="7">
        <v>45560</v>
      </c>
      <c r="I2158" s="1" t="s">
        <v>7455</v>
      </c>
      <c r="J2158" s="7">
        <v>45560</v>
      </c>
      <c r="K2158" s="1" t="s">
        <v>7455</v>
      </c>
    </row>
    <row r="2159" spans="1:11" x14ac:dyDescent="0.3">
      <c r="A2159" s="1">
        <v>2158</v>
      </c>
      <c r="B2159" s="1" t="s">
        <v>6620</v>
      </c>
      <c r="C2159" s="1" t="s">
        <v>6621</v>
      </c>
      <c r="G2159" s="1">
        <v>1</v>
      </c>
      <c r="H2159" s="7">
        <v>45560</v>
      </c>
      <c r="I2159" s="1" t="s">
        <v>7455</v>
      </c>
      <c r="J2159" s="7">
        <v>45560</v>
      </c>
      <c r="K2159" s="1" t="s">
        <v>7455</v>
      </c>
    </row>
    <row r="2160" spans="1:11" x14ac:dyDescent="0.3">
      <c r="A2160" s="1">
        <v>2159</v>
      </c>
      <c r="B2160" s="1" t="s">
        <v>6622</v>
      </c>
      <c r="C2160" s="1" t="s">
        <v>6623</v>
      </c>
      <c r="D2160" s="1" t="s">
        <v>6624</v>
      </c>
      <c r="G2160" s="1">
        <v>1</v>
      </c>
      <c r="H2160" s="7">
        <v>45560</v>
      </c>
      <c r="I2160" s="1" t="s">
        <v>7455</v>
      </c>
      <c r="J2160" s="7">
        <v>45560</v>
      </c>
      <c r="K2160" s="1" t="s">
        <v>7455</v>
      </c>
    </row>
    <row r="2161" spans="1:11" x14ac:dyDescent="0.3">
      <c r="A2161" s="1">
        <v>2160</v>
      </c>
      <c r="B2161" s="1" t="s">
        <v>6625</v>
      </c>
      <c r="C2161" s="1" t="s">
        <v>6626</v>
      </c>
      <c r="G2161" s="1">
        <v>1</v>
      </c>
      <c r="H2161" s="7">
        <v>45560</v>
      </c>
      <c r="I2161" s="1" t="s">
        <v>7455</v>
      </c>
      <c r="J2161" s="7">
        <v>45560</v>
      </c>
      <c r="K2161" s="1" t="s">
        <v>7455</v>
      </c>
    </row>
    <row r="2162" spans="1:11" x14ac:dyDescent="0.3">
      <c r="A2162" s="1">
        <v>2161</v>
      </c>
      <c r="B2162" s="1" t="s">
        <v>6627</v>
      </c>
      <c r="C2162" s="1" t="s">
        <v>6628</v>
      </c>
      <c r="G2162" s="1">
        <v>1</v>
      </c>
      <c r="H2162" s="7">
        <v>45560</v>
      </c>
      <c r="I2162" s="1" t="s">
        <v>7455</v>
      </c>
      <c r="J2162" s="7">
        <v>45560</v>
      </c>
      <c r="K2162" s="1" t="s">
        <v>7455</v>
      </c>
    </row>
    <row r="2163" spans="1:11" x14ac:dyDescent="0.3">
      <c r="A2163" s="1">
        <v>2162</v>
      </c>
      <c r="B2163" s="1" t="s">
        <v>6629</v>
      </c>
      <c r="C2163" s="1" t="s">
        <v>6630</v>
      </c>
      <c r="D2163" s="1" t="s">
        <v>6631</v>
      </c>
      <c r="G2163" s="1">
        <v>1</v>
      </c>
      <c r="H2163" s="7">
        <v>45560</v>
      </c>
      <c r="I2163" s="1" t="s">
        <v>7455</v>
      </c>
      <c r="J2163" s="7">
        <v>45560</v>
      </c>
      <c r="K2163" s="1" t="s">
        <v>7455</v>
      </c>
    </row>
    <row r="2164" spans="1:11" x14ac:dyDescent="0.3">
      <c r="A2164" s="1">
        <v>2163</v>
      </c>
      <c r="B2164" s="1" t="s">
        <v>6632</v>
      </c>
      <c r="C2164" s="1" t="s">
        <v>6633</v>
      </c>
      <c r="D2164" s="1" t="s">
        <v>6634</v>
      </c>
      <c r="G2164" s="1">
        <v>1</v>
      </c>
      <c r="H2164" s="7">
        <v>45560</v>
      </c>
      <c r="I2164" s="1" t="s">
        <v>7455</v>
      </c>
      <c r="J2164" s="7">
        <v>45560</v>
      </c>
      <c r="K2164" s="1" t="s">
        <v>7455</v>
      </c>
    </row>
    <row r="2165" spans="1:11" x14ac:dyDescent="0.3">
      <c r="A2165" s="1">
        <v>2164</v>
      </c>
      <c r="B2165" s="1" t="s">
        <v>6635</v>
      </c>
      <c r="C2165" s="1" t="s">
        <v>6636</v>
      </c>
      <c r="G2165" s="1">
        <v>1</v>
      </c>
      <c r="H2165" s="7">
        <v>45560</v>
      </c>
      <c r="I2165" s="1" t="s">
        <v>7455</v>
      </c>
      <c r="J2165" s="7">
        <v>45560</v>
      </c>
      <c r="K2165" s="1" t="s">
        <v>7455</v>
      </c>
    </row>
    <row r="2166" spans="1:11" x14ac:dyDescent="0.3">
      <c r="A2166" s="1">
        <v>2165</v>
      </c>
      <c r="B2166" s="1" t="s">
        <v>6637</v>
      </c>
      <c r="C2166" s="1" t="s">
        <v>6638</v>
      </c>
      <c r="G2166" s="1">
        <v>1</v>
      </c>
      <c r="H2166" s="7">
        <v>45560</v>
      </c>
      <c r="I2166" s="1" t="s">
        <v>7455</v>
      </c>
      <c r="J2166" s="7">
        <v>45560</v>
      </c>
      <c r="K2166" s="1" t="s">
        <v>7455</v>
      </c>
    </row>
    <row r="2167" spans="1:11" x14ac:dyDescent="0.3">
      <c r="A2167" s="1">
        <v>2166</v>
      </c>
      <c r="B2167" s="1" t="s">
        <v>6639</v>
      </c>
      <c r="C2167" s="1" t="s">
        <v>6640</v>
      </c>
      <c r="G2167" s="1">
        <v>1</v>
      </c>
      <c r="H2167" s="7">
        <v>45560</v>
      </c>
      <c r="I2167" s="1" t="s">
        <v>7455</v>
      </c>
      <c r="J2167" s="7">
        <v>45560</v>
      </c>
      <c r="K2167" s="1" t="s">
        <v>7455</v>
      </c>
    </row>
    <row r="2168" spans="1:11" x14ac:dyDescent="0.3">
      <c r="A2168" s="1">
        <v>2167</v>
      </c>
      <c r="B2168" s="1" t="s">
        <v>6641</v>
      </c>
      <c r="C2168" s="1" t="s">
        <v>6642</v>
      </c>
      <c r="G2168" s="1">
        <v>1</v>
      </c>
      <c r="H2168" s="7">
        <v>45560</v>
      </c>
      <c r="I2168" s="1" t="s">
        <v>7455</v>
      </c>
      <c r="J2168" s="7">
        <v>45560</v>
      </c>
      <c r="K2168" s="1" t="s">
        <v>7455</v>
      </c>
    </row>
    <row r="2169" spans="1:11" x14ac:dyDescent="0.3">
      <c r="A2169" s="1">
        <v>2168</v>
      </c>
      <c r="B2169" s="1" t="s">
        <v>6643</v>
      </c>
      <c r="C2169" s="1" t="s">
        <v>6644</v>
      </c>
      <c r="G2169" s="1">
        <v>1</v>
      </c>
      <c r="H2169" s="7">
        <v>45560</v>
      </c>
      <c r="I2169" s="1" t="s">
        <v>7455</v>
      </c>
      <c r="J2169" s="7">
        <v>45560</v>
      </c>
      <c r="K2169" s="1" t="s">
        <v>7455</v>
      </c>
    </row>
    <row r="2170" spans="1:11" x14ac:dyDescent="0.3">
      <c r="A2170" s="1">
        <v>2169</v>
      </c>
      <c r="B2170" s="1" t="s">
        <v>6645</v>
      </c>
      <c r="C2170" s="1" t="s">
        <v>6646</v>
      </c>
      <c r="D2170" s="1" t="s">
        <v>6647</v>
      </c>
      <c r="G2170" s="1">
        <v>1</v>
      </c>
      <c r="H2170" s="7">
        <v>45560</v>
      </c>
      <c r="I2170" s="1" t="s">
        <v>7455</v>
      </c>
      <c r="J2170" s="7">
        <v>45560</v>
      </c>
      <c r="K2170" s="1" t="s">
        <v>7455</v>
      </c>
    </row>
    <row r="2171" spans="1:11" x14ac:dyDescent="0.3">
      <c r="A2171" s="1">
        <v>2170</v>
      </c>
      <c r="B2171" s="1" t="s">
        <v>6648</v>
      </c>
      <c r="C2171" s="1" t="s">
        <v>6649</v>
      </c>
      <c r="G2171" s="1">
        <v>1</v>
      </c>
      <c r="H2171" s="7">
        <v>45560</v>
      </c>
      <c r="I2171" s="1" t="s">
        <v>7455</v>
      </c>
      <c r="J2171" s="7">
        <v>45560</v>
      </c>
      <c r="K2171" s="1" t="s">
        <v>7455</v>
      </c>
    </row>
    <row r="2172" spans="1:11" x14ac:dyDescent="0.3">
      <c r="A2172" s="1">
        <v>2171</v>
      </c>
      <c r="B2172" s="1" t="s">
        <v>6650</v>
      </c>
      <c r="C2172" s="1" t="s">
        <v>6651</v>
      </c>
      <c r="D2172" s="1" t="s">
        <v>6652</v>
      </c>
      <c r="G2172" s="1">
        <v>1</v>
      </c>
      <c r="H2172" s="7">
        <v>45560</v>
      </c>
      <c r="I2172" s="1" t="s">
        <v>7455</v>
      </c>
      <c r="J2172" s="7">
        <v>45560</v>
      </c>
      <c r="K2172" s="1" t="s">
        <v>7455</v>
      </c>
    </row>
    <row r="2173" spans="1:11" x14ac:dyDescent="0.3">
      <c r="A2173" s="1">
        <v>2172</v>
      </c>
      <c r="B2173" s="1" t="s">
        <v>6653</v>
      </c>
      <c r="C2173" s="1" t="s">
        <v>1723</v>
      </c>
      <c r="G2173" s="1">
        <v>1</v>
      </c>
      <c r="H2173" s="7">
        <v>45560</v>
      </c>
      <c r="I2173" s="1" t="s">
        <v>7455</v>
      </c>
      <c r="J2173" s="7">
        <v>45560</v>
      </c>
      <c r="K2173" s="1" t="s">
        <v>7455</v>
      </c>
    </row>
    <row r="2174" spans="1:11" x14ac:dyDescent="0.3">
      <c r="A2174" s="1">
        <v>2173</v>
      </c>
      <c r="B2174" s="1" t="s">
        <v>6654</v>
      </c>
      <c r="C2174" s="1" t="s">
        <v>6655</v>
      </c>
      <c r="D2174" s="1" t="s">
        <v>6656</v>
      </c>
      <c r="G2174" s="1">
        <v>1</v>
      </c>
      <c r="H2174" s="7">
        <v>45560</v>
      </c>
      <c r="I2174" s="1" t="s">
        <v>7455</v>
      </c>
      <c r="J2174" s="7">
        <v>45560</v>
      </c>
      <c r="K2174" s="1" t="s">
        <v>7455</v>
      </c>
    </row>
    <row r="2175" spans="1:11" x14ac:dyDescent="0.3">
      <c r="A2175" s="1">
        <v>2174</v>
      </c>
      <c r="B2175" s="1" t="s">
        <v>6657</v>
      </c>
      <c r="C2175" s="1" t="s">
        <v>6658</v>
      </c>
      <c r="D2175" s="1" t="s">
        <v>6659</v>
      </c>
      <c r="G2175" s="1">
        <v>1</v>
      </c>
      <c r="H2175" s="7">
        <v>45560</v>
      </c>
      <c r="I2175" s="1" t="s">
        <v>7455</v>
      </c>
      <c r="J2175" s="7">
        <v>45560</v>
      </c>
      <c r="K2175" s="1" t="s">
        <v>7455</v>
      </c>
    </row>
    <row r="2176" spans="1:11" x14ac:dyDescent="0.3">
      <c r="A2176" s="1">
        <v>2175</v>
      </c>
      <c r="B2176" s="1" t="s">
        <v>6660</v>
      </c>
      <c r="C2176" s="1" t="s">
        <v>6661</v>
      </c>
      <c r="D2176" s="1" t="s">
        <v>6662</v>
      </c>
      <c r="G2176" s="1">
        <v>1</v>
      </c>
      <c r="H2176" s="7">
        <v>45560</v>
      </c>
      <c r="I2176" s="1" t="s">
        <v>7455</v>
      </c>
      <c r="J2176" s="7">
        <v>45560</v>
      </c>
      <c r="K2176" s="1" t="s">
        <v>7455</v>
      </c>
    </row>
    <row r="2177" spans="1:11" x14ac:dyDescent="0.3">
      <c r="A2177" s="1">
        <v>2176</v>
      </c>
      <c r="B2177" s="1" t="s">
        <v>6663</v>
      </c>
      <c r="C2177" s="1" t="s">
        <v>6664</v>
      </c>
      <c r="D2177" s="1" t="s">
        <v>6665</v>
      </c>
      <c r="G2177" s="1">
        <v>1</v>
      </c>
      <c r="H2177" s="7">
        <v>45560</v>
      </c>
      <c r="I2177" s="1" t="s">
        <v>7455</v>
      </c>
      <c r="J2177" s="7">
        <v>45560</v>
      </c>
      <c r="K2177" s="1" t="s">
        <v>7455</v>
      </c>
    </row>
    <row r="2178" spans="1:11" x14ac:dyDescent="0.3">
      <c r="A2178" s="1">
        <v>2177</v>
      </c>
      <c r="B2178" s="1" t="s">
        <v>6666</v>
      </c>
      <c r="C2178" s="1" t="s">
        <v>6667</v>
      </c>
      <c r="G2178" s="1">
        <v>1</v>
      </c>
      <c r="H2178" s="7">
        <v>45560</v>
      </c>
      <c r="I2178" s="1" t="s">
        <v>7455</v>
      </c>
      <c r="J2178" s="7">
        <v>45560</v>
      </c>
      <c r="K2178" s="1" t="s">
        <v>7455</v>
      </c>
    </row>
    <row r="2179" spans="1:11" x14ac:dyDescent="0.3">
      <c r="A2179" s="1">
        <v>2178</v>
      </c>
      <c r="B2179" s="1" t="s">
        <v>6668</v>
      </c>
      <c r="C2179" s="1" t="s">
        <v>6669</v>
      </c>
      <c r="G2179" s="1">
        <v>1</v>
      </c>
      <c r="H2179" s="7">
        <v>45560</v>
      </c>
      <c r="I2179" s="1" t="s">
        <v>7455</v>
      </c>
      <c r="J2179" s="7">
        <v>45560</v>
      </c>
      <c r="K2179" s="1" t="s">
        <v>7455</v>
      </c>
    </row>
    <row r="2180" spans="1:11" x14ac:dyDescent="0.3">
      <c r="A2180" s="1">
        <v>2179</v>
      </c>
      <c r="B2180" s="1" t="s">
        <v>6670</v>
      </c>
      <c r="C2180" s="1" t="s">
        <v>6671</v>
      </c>
      <c r="G2180" s="1">
        <v>1</v>
      </c>
      <c r="H2180" s="7">
        <v>45560</v>
      </c>
      <c r="I2180" s="1" t="s">
        <v>7455</v>
      </c>
      <c r="J2180" s="7">
        <v>45560</v>
      </c>
      <c r="K2180" s="1" t="s">
        <v>7455</v>
      </c>
    </row>
    <row r="2181" spans="1:11" x14ac:dyDescent="0.3">
      <c r="A2181" s="1">
        <v>2180</v>
      </c>
      <c r="B2181" s="1" t="s">
        <v>6672</v>
      </c>
      <c r="C2181" s="1" t="s">
        <v>6673</v>
      </c>
      <c r="G2181" s="1">
        <v>1</v>
      </c>
      <c r="H2181" s="7">
        <v>45560</v>
      </c>
      <c r="I2181" s="1" t="s">
        <v>7455</v>
      </c>
      <c r="J2181" s="7">
        <v>45560</v>
      </c>
      <c r="K2181" s="1" t="s">
        <v>7455</v>
      </c>
    </row>
    <row r="2182" spans="1:11" x14ac:dyDescent="0.3">
      <c r="A2182" s="1">
        <v>2181</v>
      </c>
      <c r="B2182" s="1" t="s">
        <v>6674</v>
      </c>
      <c r="C2182" s="1" t="s">
        <v>6675</v>
      </c>
      <c r="D2182" s="1" t="s">
        <v>6676</v>
      </c>
      <c r="G2182" s="1">
        <v>1</v>
      </c>
      <c r="H2182" s="7">
        <v>45560</v>
      </c>
      <c r="I2182" s="1" t="s">
        <v>7455</v>
      </c>
      <c r="J2182" s="7">
        <v>45560</v>
      </c>
      <c r="K2182" s="1" t="s">
        <v>7455</v>
      </c>
    </row>
    <row r="2183" spans="1:11" x14ac:dyDescent="0.3">
      <c r="A2183" s="1">
        <v>2182</v>
      </c>
      <c r="B2183" s="1" t="s">
        <v>6677</v>
      </c>
      <c r="C2183" s="1" t="s">
        <v>6678</v>
      </c>
      <c r="D2183" s="1" t="s">
        <v>6679</v>
      </c>
      <c r="G2183" s="1">
        <v>1</v>
      </c>
      <c r="H2183" s="7">
        <v>45560</v>
      </c>
      <c r="I2183" s="1" t="s">
        <v>7455</v>
      </c>
      <c r="J2183" s="7">
        <v>45560</v>
      </c>
      <c r="K2183" s="1" t="s">
        <v>7455</v>
      </c>
    </row>
    <row r="2184" spans="1:11" x14ac:dyDescent="0.3">
      <c r="A2184" s="1">
        <v>2183</v>
      </c>
      <c r="B2184" s="1" t="s">
        <v>6680</v>
      </c>
      <c r="C2184" s="1" t="s">
        <v>6681</v>
      </c>
      <c r="G2184" s="1">
        <v>1</v>
      </c>
      <c r="H2184" s="7">
        <v>45560</v>
      </c>
      <c r="I2184" s="1" t="s">
        <v>7455</v>
      </c>
      <c r="J2184" s="7">
        <v>45560</v>
      </c>
      <c r="K2184" s="1" t="s">
        <v>7455</v>
      </c>
    </row>
    <row r="2185" spans="1:11" x14ac:dyDescent="0.3">
      <c r="A2185" s="1">
        <v>2184</v>
      </c>
      <c r="B2185" s="1" t="s">
        <v>6682</v>
      </c>
      <c r="C2185" s="1" t="s">
        <v>6683</v>
      </c>
      <c r="G2185" s="1">
        <v>1</v>
      </c>
      <c r="H2185" s="7">
        <v>45560</v>
      </c>
      <c r="I2185" s="1" t="s">
        <v>7455</v>
      </c>
      <c r="J2185" s="7">
        <v>45560</v>
      </c>
      <c r="K2185" s="1" t="s">
        <v>7455</v>
      </c>
    </row>
    <row r="2186" spans="1:11" x14ac:dyDescent="0.3">
      <c r="A2186" s="1">
        <v>2185</v>
      </c>
      <c r="B2186" s="1" t="s">
        <v>6684</v>
      </c>
      <c r="C2186" s="1" t="s">
        <v>6685</v>
      </c>
      <c r="G2186" s="1">
        <v>1</v>
      </c>
      <c r="H2186" s="7">
        <v>45560</v>
      </c>
      <c r="I2186" s="1" t="s">
        <v>7455</v>
      </c>
      <c r="J2186" s="7">
        <v>45560</v>
      </c>
      <c r="K2186" s="1" t="s">
        <v>7455</v>
      </c>
    </row>
    <row r="2187" spans="1:11" x14ac:dyDescent="0.3">
      <c r="A2187" s="1">
        <v>2186</v>
      </c>
      <c r="B2187" s="1" t="s">
        <v>6686</v>
      </c>
      <c r="C2187" s="1" t="s">
        <v>6687</v>
      </c>
      <c r="G2187" s="1">
        <v>1</v>
      </c>
      <c r="H2187" s="7">
        <v>45560</v>
      </c>
      <c r="I2187" s="1" t="s">
        <v>7455</v>
      </c>
      <c r="J2187" s="7">
        <v>45560</v>
      </c>
      <c r="K2187" s="1" t="s">
        <v>7455</v>
      </c>
    </row>
    <row r="2188" spans="1:11" x14ac:dyDescent="0.3">
      <c r="A2188" s="1">
        <v>2187</v>
      </c>
      <c r="B2188" s="1" t="s">
        <v>6688</v>
      </c>
      <c r="C2188" s="1" t="s">
        <v>6689</v>
      </c>
      <c r="G2188" s="1">
        <v>1</v>
      </c>
      <c r="H2188" s="7">
        <v>45560</v>
      </c>
      <c r="I2188" s="1" t="s">
        <v>7455</v>
      </c>
      <c r="J2188" s="7">
        <v>45560</v>
      </c>
      <c r="K2188" s="1" t="s">
        <v>7455</v>
      </c>
    </row>
    <row r="2189" spans="1:11" x14ac:dyDescent="0.3">
      <c r="A2189" s="1">
        <v>2188</v>
      </c>
      <c r="B2189" s="1" t="s">
        <v>6690</v>
      </c>
      <c r="C2189" s="1" t="s">
        <v>6691</v>
      </c>
      <c r="G2189" s="1">
        <v>1</v>
      </c>
      <c r="H2189" s="7">
        <v>45560</v>
      </c>
      <c r="I2189" s="1" t="s">
        <v>7455</v>
      </c>
      <c r="J2189" s="7">
        <v>45560</v>
      </c>
      <c r="K2189" s="1" t="s">
        <v>7455</v>
      </c>
    </row>
    <row r="2190" spans="1:11" x14ac:dyDescent="0.3">
      <c r="A2190" s="1">
        <v>2189</v>
      </c>
      <c r="B2190" s="1" t="s">
        <v>6692</v>
      </c>
      <c r="C2190" s="1" t="s">
        <v>6693</v>
      </c>
      <c r="D2190" s="1" t="s">
        <v>6694</v>
      </c>
      <c r="G2190" s="1">
        <v>1</v>
      </c>
      <c r="H2190" s="7">
        <v>45560</v>
      </c>
      <c r="I2190" s="1" t="s">
        <v>7455</v>
      </c>
      <c r="J2190" s="7">
        <v>45560</v>
      </c>
      <c r="K2190" s="1" t="s">
        <v>7455</v>
      </c>
    </row>
    <row r="2191" spans="1:11" x14ac:dyDescent="0.3">
      <c r="A2191" s="1">
        <v>2190</v>
      </c>
      <c r="B2191" s="1" t="s">
        <v>6695</v>
      </c>
      <c r="C2191" s="1" t="s">
        <v>6696</v>
      </c>
      <c r="G2191" s="1">
        <v>1</v>
      </c>
      <c r="H2191" s="7">
        <v>45560</v>
      </c>
      <c r="I2191" s="1" t="s">
        <v>7455</v>
      </c>
      <c r="J2191" s="7">
        <v>45560</v>
      </c>
      <c r="K2191" s="1" t="s">
        <v>7455</v>
      </c>
    </row>
    <row r="2192" spans="1:11" x14ac:dyDescent="0.3">
      <c r="A2192" s="1">
        <v>2191</v>
      </c>
      <c r="B2192" s="1" t="s">
        <v>6697</v>
      </c>
      <c r="C2192" s="1" t="s">
        <v>6698</v>
      </c>
      <c r="G2192" s="1">
        <v>1</v>
      </c>
      <c r="H2192" s="7">
        <v>45560</v>
      </c>
      <c r="I2192" s="1" t="s">
        <v>7455</v>
      </c>
      <c r="J2192" s="7">
        <v>45560</v>
      </c>
      <c r="K2192" s="1" t="s">
        <v>7455</v>
      </c>
    </row>
    <row r="2193" spans="1:11" x14ac:dyDescent="0.3">
      <c r="A2193" s="1">
        <v>2192</v>
      </c>
      <c r="B2193" s="1" t="s">
        <v>6699</v>
      </c>
      <c r="C2193" s="1" t="s">
        <v>6700</v>
      </c>
      <c r="D2193" s="1" t="s">
        <v>6701</v>
      </c>
      <c r="G2193" s="1">
        <v>1</v>
      </c>
      <c r="H2193" s="7">
        <v>45560</v>
      </c>
      <c r="I2193" s="1" t="s">
        <v>7455</v>
      </c>
      <c r="J2193" s="7">
        <v>45560</v>
      </c>
      <c r="K2193" s="1" t="s">
        <v>7455</v>
      </c>
    </row>
    <row r="2194" spans="1:11" x14ac:dyDescent="0.3">
      <c r="A2194" s="1">
        <v>2193</v>
      </c>
      <c r="B2194" s="1" t="s">
        <v>6702</v>
      </c>
      <c r="C2194" s="1" t="s">
        <v>6703</v>
      </c>
      <c r="D2194" s="1" t="s">
        <v>6704</v>
      </c>
      <c r="G2194" s="1">
        <v>1</v>
      </c>
      <c r="H2194" s="7">
        <v>45560</v>
      </c>
      <c r="I2194" s="1" t="s">
        <v>7455</v>
      </c>
      <c r="J2194" s="7">
        <v>45560</v>
      </c>
      <c r="K2194" s="1" t="s">
        <v>7455</v>
      </c>
    </row>
    <row r="2195" spans="1:11" x14ac:dyDescent="0.3">
      <c r="A2195" s="1">
        <v>2194</v>
      </c>
      <c r="B2195" s="1" t="s">
        <v>6705</v>
      </c>
      <c r="C2195" s="1" t="s">
        <v>6706</v>
      </c>
      <c r="G2195" s="1">
        <v>1</v>
      </c>
      <c r="H2195" s="7">
        <v>45560</v>
      </c>
      <c r="I2195" s="1" t="s">
        <v>7455</v>
      </c>
      <c r="J2195" s="7">
        <v>45560</v>
      </c>
      <c r="K2195" s="1" t="s">
        <v>7455</v>
      </c>
    </row>
    <row r="2196" spans="1:11" x14ac:dyDescent="0.3">
      <c r="A2196" s="1">
        <v>2195</v>
      </c>
      <c r="B2196" s="1" t="s">
        <v>6707</v>
      </c>
      <c r="C2196" s="1" t="s">
        <v>6708</v>
      </c>
      <c r="G2196" s="1">
        <v>1</v>
      </c>
      <c r="H2196" s="7">
        <v>45560</v>
      </c>
      <c r="I2196" s="1" t="s">
        <v>7455</v>
      </c>
      <c r="J2196" s="7">
        <v>45560</v>
      </c>
      <c r="K2196" s="1" t="s">
        <v>7455</v>
      </c>
    </row>
    <row r="2197" spans="1:11" x14ac:dyDescent="0.3">
      <c r="A2197" s="1">
        <v>2196</v>
      </c>
      <c r="B2197" s="1" t="s">
        <v>6709</v>
      </c>
      <c r="C2197" s="1" t="s">
        <v>6710</v>
      </c>
      <c r="D2197" s="1" t="s">
        <v>6711</v>
      </c>
      <c r="G2197" s="1">
        <v>1</v>
      </c>
      <c r="H2197" s="7">
        <v>45560</v>
      </c>
      <c r="I2197" s="1" t="s">
        <v>7455</v>
      </c>
      <c r="J2197" s="7">
        <v>45560</v>
      </c>
      <c r="K2197" s="1" t="s">
        <v>7455</v>
      </c>
    </row>
    <row r="2198" spans="1:11" x14ac:dyDescent="0.3">
      <c r="A2198" s="1">
        <v>2197</v>
      </c>
      <c r="B2198" s="1" t="s">
        <v>6712</v>
      </c>
      <c r="C2198" s="1" t="s">
        <v>6713</v>
      </c>
      <c r="G2198" s="1">
        <v>1</v>
      </c>
      <c r="H2198" s="7">
        <v>45560</v>
      </c>
      <c r="I2198" s="1" t="s">
        <v>7455</v>
      </c>
      <c r="J2198" s="7">
        <v>45560</v>
      </c>
      <c r="K2198" s="1" t="s">
        <v>7455</v>
      </c>
    </row>
    <row r="2199" spans="1:11" x14ac:dyDescent="0.3">
      <c r="A2199" s="1">
        <v>2198</v>
      </c>
      <c r="B2199" s="1" t="s">
        <v>6714</v>
      </c>
      <c r="C2199" s="1" t="s">
        <v>6715</v>
      </c>
      <c r="G2199" s="1">
        <v>1</v>
      </c>
      <c r="H2199" s="7">
        <v>45560</v>
      </c>
      <c r="I2199" s="1" t="s">
        <v>7455</v>
      </c>
      <c r="J2199" s="7">
        <v>45560</v>
      </c>
      <c r="K2199" s="1" t="s">
        <v>7455</v>
      </c>
    </row>
    <row r="2200" spans="1:11" x14ac:dyDescent="0.3">
      <c r="A2200" s="1">
        <v>2199</v>
      </c>
      <c r="B2200" s="1" t="s">
        <v>6716</v>
      </c>
      <c r="C2200" s="1" t="s">
        <v>6717</v>
      </c>
      <c r="G2200" s="1">
        <v>1</v>
      </c>
      <c r="H2200" s="7">
        <v>45560</v>
      </c>
      <c r="I2200" s="1" t="s">
        <v>7455</v>
      </c>
      <c r="J2200" s="7">
        <v>45560</v>
      </c>
      <c r="K2200" s="1" t="s">
        <v>7455</v>
      </c>
    </row>
    <row r="2201" spans="1:11" x14ac:dyDescent="0.3">
      <c r="A2201" s="1">
        <v>2200</v>
      </c>
      <c r="B2201" s="1" t="s">
        <v>6718</v>
      </c>
      <c r="C2201" s="1" t="s">
        <v>6719</v>
      </c>
      <c r="G2201" s="1">
        <v>1</v>
      </c>
      <c r="H2201" s="7">
        <v>45560</v>
      </c>
      <c r="I2201" s="1" t="s">
        <v>7455</v>
      </c>
      <c r="J2201" s="7">
        <v>45560</v>
      </c>
      <c r="K2201" s="1" t="s">
        <v>7455</v>
      </c>
    </row>
    <row r="2202" spans="1:11" x14ac:dyDescent="0.3">
      <c r="A2202" s="1">
        <v>2201</v>
      </c>
      <c r="B2202" s="1" t="s">
        <v>6720</v>
      </c>
      <c r="C2202" s="1" t="s">
        <v>6721</v>
      </c>
      <c r="G2202" s="1">
        <v>1</v>
      </c>
      <c r="H2202" s="7">
        <v>45560</v>
      </c>
      <c r="I2202" s="1" t="s">
        <v>7455</v>
      </c>
      <c r="J2202" s="7">
        <v>45560</v>
      </c>
      <c r="K2202" s="1" t="s">
        <v>7455</v>
      </c>
    </row>
    <row r="2203" spans="1:11" x14ac:dyDescent="0.3">
      <c r="A2203" s="1">
        <v>2202</v>
      </c>
      <c r="B2203" s="1" t="s">
        <v>6722</v>
      </c>
      <c r="C2203" s="1" t="s">
        <v>6723</v>
      </c>
      <c r="G2203" s="1">
        <v>1</v>
      </c>
      <c r="H2203" s="7">
        <v>45560</v>
      </c>
      <c r="I2203" s="1" t="s">
        <v>7455</v>
      </c>
      <c r="J2203" s="7">
        <v>45560</v>
      </c>
      <c r="K2203" s="1" t="s">
        <v>7455</v>
      </c>
    </row>
    <row r="2204" spans="1:11" x14ac:dyDescent="0.3">
      <c r="A2204" s="1">
        <v>2203</v>
      </c>
      <c r="B2204" s="1" t="s">
        <v>6724</v>
      </c>
      <c r="C2204" s="1" t="s">
        <v>6725</v>
      </c>
      <c r="D2204" s="1" t="s">
        <v>6726</v>
      </c>
      <c r="G2204" s="1">
        <v>1</v>
      </c>
      <c r="H2204" s="7">
        <v>45560</v>
      </c>
      <c r="I2204" s="1" t="s">
        <v>7455</v>
      </c>
      <c r="J2204" s="7">
        <v>45560</v>
      </c>
      <c r="K2204" s="1" t="s">
        <v>7455</v>
      </c>
    </row>
    <row r="2205" spans="1:11" x14ac:dyDescent="0.3">
      <c r="A2205" s="1">
        <v>2204</v>
      </c>
      <c r="B2205" s="1" t="s">
        <v>6727</v>
      </c>
      <c r="C2205" s="1" t="s">
        <v>6728</v>
      </c>
      <c r="D2205" s="1" t="s">
        <v>6729</v>
      </c>
      <c r="G2205" s="1">
        <v>1</v>
      </c>
      <c r="H2205" s="7">
        <v>45560</v>
      </c>
      <c r="I2205" s="1" t="s">
        <v>7455</v>
      </c>
      <c r="J2205" s="7">
        <v>45560</v>
      </c>
      <c r="K2205" s="1" t="s">
        <v>7455</v>
      </c>
    </row>
    <row r="2206" spans="1:11" x14ac:dyDescent="0.3">
      <c r="A2206" s="1">
        <v>2205</v>
      </c>
      <c r="B2206" s="1" t="s">
        <v>6730</v>
      </c>
      <c r="C2206" s="1" t="s">
        <v>6731</v>
      </c>
      <c r="G2206" s="1">
        <v>1</v>
      </c>
      <c r="H2206" s="7">
        <v>45560</v>
      </c>
      <c r="I2206" s="1" t="s">
        <v>7455</v>
      </c>
      <c r="J2206" s="7">
        <v>45560</v>
      </c>
      <c r="K2206" s="1" t="s">
        <v>7455</v>
      </c>
    </row>
    <row r="2207" spans="1:11" x14ac:dyDescent="0.3">
      <c r="A2207" s="1">
        <v>2206</v>
      </c>
      <c r="B2207" s="1" t="s">
        <v>6732</v>
      </c>
      <c r="C2207" s="1" t="s">
        <v>6733</v>
      </c>
      <c r="G2207" s="1">
        <v>1</v>
      </c>
      <c r="H2207" s="7">
        <v>45560</v>
      </c>
      <c r="I2207" s="1" t="s">
        <v>7455</v>
      </c>
      <c r="J2207" s="7">
        <v>45560</v>
      </c>
      <c r="K2207" s="1" t="s">
        <v>7455</v>
      </c>
    </row>
    <row r="2208" spans="1:11" x14ac:dyDescent="0.3">
      <c r="A2208" s="1">
        <v>2207</v>
      </c>
      <c r="B2208" s="1" t="s">
        <v>6734</v>
      </c>
      <c r="C2208" s="1" t="s">
        <v>6735</v>
      </c>
      <c r="D2208" s="1" t="s">
        <v>6736</v>
      </c>
      <c r="G2208" s="1">
        <v>1</v>
      </c>
      <c r="H2208" s="7">
        <v>45560</v>
      </c>
      <c r="I2208" s="1" t="s">
        <v>7455</v>
      </c>
      <c r="J2208" s="7">
        <v>45560</v>
      </c>
      <c r="K2208" s="1" t="s">
        <v>7455</v>
      </c>
    </row>
    <row r="2209" spans="1:11" x14ac:dyDescent="0.3">
      <c r="A2209" s="1">
        <v>2208</v>
      </c>
      <c r="B2209" s="1" t="s">
        <v>6737</v>
      </c>
      <c r="C2209" s="1" t="s">
        <v>6738</v>
      </c>
      <c r="D2209" s="1" t="s">
        <v>6739</v>
      </c>
      <c r="G2209" s="1">
        <v>1</v>
      </c>
      <c r="H2209" s="7">
        <v>45560</v>
      </c>
      <c r="I2209" s="1" t="s">
        <v>7455</v>
      </c>
      <c r="J2209" s="7">
        <v>45560</v>
      </c>
      <c r="K2209" s="1" t="s">
        <v>7455</v>
      </c>
    </row>
    <row r="2210" spans="1:11" x14ac:dyDescent="0.3">
      <c r="A2210" s="1">
        <v>2209</v>
      </c>
      <c r="B2210" s="1" t="s">
        <v>6740</v>
      </c>
      <c r="C2210" s="1" t="s">
        <v>6741</v>
      </c>
      <c r="G2210" s="1">
        <v>1</v>
      </c>
      <c r="H2210" s="7">
        <v>45560</v>
      </c>
      <c r="I2210" s="1" t="s">
        <v>7455</v>
      </c>
      <c r="J2210" s="7">
        <v>45560</v>
      </c>
      <c r="K2210" s="1" t="s">
        <v>7455</v>
      </c>
    </row>
    <row r="2211" spans="1:11" x14ac:dyDescent="0.3">
      <c r="A2211" s="1">
        <v>2210</v>
      </c>
      <c r="B2211" s="1" t="s">
        <v>6742</v>
      </c>
      <c r="C2211" s="1" t="s">
        <v>6743</v>
      </c>
      <c r="D2211" s="1" t="s">
        <v>6744</v>
      </c>
      <c r="G2211" s="1">
        <v>1</v>
      </c>
      <c r="H2211" s="7">
        <v>45560</v>
      </c>
      <c r="I2211" s="1" t="s">
        <v>7455</v>
      </c>
      <c r="J2211" s="7">
        <v>45560</v>
      </c>
      <c r="K2211" s="1" t="s">
        <v>7455</v>
      </c>
    </row>
    <row r="2212" spans="1:11" x14ac:dyDescent="0.3">
      <c r="A2212" s="1">
        <v>2211</v>
      </c>
      <c r="B2212" s="1" t="s">
        <v>6745</v>
      </c>
      <c r="C2212" s="1" t="s">
        <v>6746</v>
      </c>
      <c r="G2212" s="1">
        <v>1</v>
      </c>
      <c r="H2212" s="7">
        <v>45560</v>
      </c>
      <c r="I2212" s="1" t="s">
        <v>7455</v>
      </c>
      <c r="J2212" s="7">
        <v>45560</v>
      </c>
      <c r="K2212" s="1" t="s">
        <v>7455</v>
      </c>
    </row>
    <row r="2213" spans="1:11" x14ac:dyDescent="0.3">
      <c r="A2213" s="1">
        <v>2212</v>
      </c>
      <c r="B2213" s="1" t="s">
        <v>6747</v>
      </c>
      <c r="C2213" s="1" t="s">
        <v>6748</v>
      </c>
      <c r="G2213" s="1">
        <v>1</v>
      </c>
      <c r="H2213" s="7">
        <v>45560</v>
      </c>
      <c r="I2213" s="1" t="s">
        <v>7455</v>
      </c>
      <c r="J2213" s="7">
        <v>45560</v>
      </c>
      <c r="K2213" s="1" t="s">
        <v>7455</v>
      </c>
    </row>
    <row r="2214" spans="1:11" x14ac:dyDescent="0.3">
      <c r="A2214" s="1">
        <v>2213</v>
      </c>
      <c r="B2214" s="1" t="s">
        <v>6749</v>
      </c>
      <c r="C2214" s="1" t="s">
        <v>6750</v>
      </c>
      <c r="D2214" s="1" t="s">
        <v>6751</v>
      </c>
      <c r="G2214" s="1">
        <v>1</v>
      </c>
      <c r="H2214" s="7">
        <v>45560</v>
      </c>
      <c r="I2214" s="1" t="s">
        <v>7455</v>
      </c>
      <c r="J2214" s="7">
        <v>45560</v>
      </c>
      <c r="K2214" s="1" t="s">
        <v>7455</v>
      </c>
    </row>
    <row r="2215" spans="1:11" x14ac:dyDescent="0.3">
      <c r="A2215" s="1">
        <v>2214</v>
      </c>
      <c r="B2215" s="1" t="s">
        <v>6752</v>
      </c>
      <c r="C2215" s="1" t="s">
        <v>6753</v>
      </c>
      <c r="D2215" s="1" t="s">
        <v>6754</v>
      </c>
      <c r="G2215" s="1">
        <v>1</v>
      </c>
      <c r="H2215" s="7">
        <v>45560</v>
      </c>
      <c r="I2215" s="1" t="s">
        <v>7455</v>
      </c>
      <c r="J2215" s="7">
        <v>45560</v>
      </c>
      <c r="K2215" s="1" t="s">
        <v>7455</v>
      </c>
    </row>
    <row r="2216" spans="1:11" x14ac:dyDescent="0.3">
      <c r="A2216" s="1">
        <v>2215</v>
      </c>
      <c r="B2216" s="1" t="s">
        <v>6755</v>
      </c>
      <c r="C2216" s="1" t="s">
        <v>6756</v>
      </c>
      <c r="G2216" s="1">
        <v>1</v>
      </c>
      <c r="H2216" s="7">
        <v>45560</v>
      </c>
      <c r="I2216" s="1" t="s">
        <v>7455</v>
      </c>
      <c r="J2216" s="7">
        <v>45560</v>
      </c>
      <c r="K2216" s="1" t="s">
        <v>7455</v>
      </c>
    </row>
    <row r="2217" spans="1:11" x14ac:dyDescent="0.3">
      <c r="A2217" s="1">
        <v>2216</v>
      </c>
      <c r="B2217" s="1" t="s">
        <v>6757</v>
      </c>
      <c r="C2217" s="1" t="s">
        <v>6758</v>
      </c>
      <c r="G2217" s="1">
        <v>1</v>
      </c>
      <c r="H2217" s="7">
        <v>45560</v>
      </c>
      <c r="I2217" s="1" t="s">
        <v>7455</v>
      </c>
      <c r="J2217" s="7">
        <v>45560</v>
      </c>
      <c r="K2217" s="1" t="s">
        <v>7455</v>
      </c>
    </row>
    <row r="2218" spans="1:11" x14ac:dyDescent="0.3">
      <c r="A2218" s="1">
        <v>2217</v>
      </c>
      <c r="B2218" s="1" t="s">
        <v>6759</v>
      </c>
      <c r="C2218" s="1" t="s">
        <v>6760</v>
      </c>
      <c r="D2218" s="1" t="s">
        <v>6761</v>
      </c>
      <c r="G2218" s="1">
        <v>1</v>
      </c>
      <c r="H2218" s="7">
        <v>45560</v>
      </c>
      <c r="I2218" s="1" t="s">
        <v>7455</v>
      </c>
      <c r="J2218" s="7">
        <v>45560</v>
      </c>
      <c r="K2218" s="1" t="s">
        <v>7455</v>
      </c>
    </row>
    <row r="2219" spans="1:11" x14ac:dyDescent="0.3">
      <c r="A2219" s="1">
        <v>2218</v>
      </c>
      <c r="B2219" s="1" t="s">
        <v>6762</v>
      </c>
      <c r="C2219" s="1" t="s">
        <v>6763</v>
      </c>
      <c r="G2219" s="1">
        <v>1</v>
      </c>
      <c r="H2219" s="7">
        <v>45560</v>
      </c>
      <c r="I2219" s="1" t="s">
        <v>7455</v>
      </c>
      <c r="J2219" s="7">
        <v>45560</v>
      </c>
      <c r="K2219" s="1" t="s">
        <v>7455</v>
      </c>
    </row>
    <row r="2220" spans="1:11" x14ac:dyDescent="0.3">
      <c r="A2220" s="1">
        <v>2219</v>
      </c>
      <c r="B2220" s="1" t="s">
        <v>6764</v>
      </c>
      <c r="C2220" s="1" t="s">
        <v>6765</v>
      </c>
      <c r="G2220" s="1">
        <v>1</v>
      </c>
      <c r="H2220" s="7">
        <v>45560</v>
      </c>
      <c r="I2220" s="1" t="s">
        <v>7455</v>
      </c>
      <c r="J2220" s="7">
        <v>45560</v>
      </c>
      <c r="K2220" s="1" t="s">
        <v>7455</v>
      </c>
    </row>
    <row r="2221" spans="1:11" x14ac:dyDescent="0.3">
      <c r="A2221" s="1">
        <v>2220</v>
      </c>
      <c r="B2221" s="1" t="s">
        <v>6766</v>
      </c>
      <c r="C2221" s="1" t="s">
        <v>6767</v>
      </c>
      <c r="G2221" s="1">
        <v>1</v>
      </c>
      <c r="H2221" s="7">
        <v>45560</v>
      </c>
      <c r="I2221" s="1" t="s">
        <v>7455</v>
      </c>
      <c r="J2221" s="7">
        <v>45560</v>
      </c>
      <c r="K2221" s="1" t="s">
        <v>7455</v>
      </c>
    </row>
    <row r="2222" spans="1:11" x14ac:dyDescent="0.3">
      <c r="A2222" s="1">
        <v>2221</v>
      </c>
      <c r="B2222" s="1" t="s">
        <v>6768</v>
      </c>
      <c r="C2222" s="1" t="s">
        <v>6769</v>
      </c>
      <c r="G2222" s="1">
        <v>1</v>
      </c>
      <c r="H2222" s="7">
        <v>45560</v>
      </c>
      <c r="I2222" s="1" t="s">
        <v>7455</v>
      </c>
      <c r="J2222" s="7">
        <v>45560</v>
      </c>
      <c r="K2222" s="1" t="s">
        <v>7455</v>
      </c>
    </row>
    <row r="2223" spans="1:11" x14ac:dyDescent="0.3">
      <c r="A2223" s="1">
        <v>2222</v>
      </c>
      <c r="B2223" s="1" t="s">
        <v>6770</v>
      </c>
      <c r="C2223" s="1" t="s">
        <v>6771</v>
      </c>
      <c r="G2223" s="1">
        <v>1</v>
      </c>
      <c r="H2223" s="7">
        <v>45560</v>
      </c>
      <c r="I2223" s="1" t="s">
        <v>7455</v>
      </c>
      <c r="J2223" s="7">
        <v>45560</v>
      </c>
      <c r="K2223" s="1" t="s">
        <v>7455</v>
      </c>
    </row>
    <row r="2224" spans="1:11" x14ac:dyDescent="0.3">
      <c r="A2224" s="1">
        <v>2223</v>
      </c>
      <c r="B2224" s="1" t="s">
        <v>6772</v>
      </c>
      <c r="C2224" s="1" t="s">
        <v>6773</v>
      </c>
      <c r="G2224" s="1">
        <v>1</v>
      </c>
      <c r="H2224" s="7">
        <v>45560</v>
      </c>
      <c r="I2224" s="1" t="s">
        <v>7455</v>
      </c>
      <c r="J2224" s="7">
        <v>45560</v>
      </c>
      <c r="K2224" s="1" t="s">
        <v>7455</v>
      </c>
    </row>
    <row r="2225" spans="1:11" x14ac:dyDescent="0.3">
      <c r="A2225" s="1">
        <v>2224</v>
      </c>
      <c r="B2225" s="1" t="s">
        <v>6774</v>
      </c>
      <c r="C2225" s="1" t="s">
        <v>6775</v>
      </c>
      <c r="G2225" s="1">
        <v>1</v>
      </c>
      <c r="H2225" s="7">
        <v>45560</v>
      </c>
      <c r="I2225" s="1" t="s">
        <v>7455</v>
      </c>
      <c r="J2225" s="7">
        <v>45560</v>
      </c>
      <c r="K2225" s="1" t="s">
        <v>7455</v>
      </c>
    </row>
    <row r="2226" spans="1:11" x14ac:dyDescent="0.3">
      <c r="A2226" s="1">
        <v>2225</v>
      </c>
      <c r="B2226" s="1" t="s">
        <v>6776</v>
      </c>
      <c r="C2226" s="1" t="s">
        <v>6777</v>
      </c>
      <c r="G2226" s="1">
        <v>1</v>
      </c>
      <c r="H2226" s="7">
        <v>45560</v>
      </c>
      <c r="I2226" s="1" t="s">
        <v>7455</v>
      </c>
      <c r="J2226" s="7">
        <v>45560</v>
      </c>
      <c r="K2226" s="1" t="s">
        <v>7455</v>
      </c>
    </row>
    <row r="2227" spans="1:11" x14ac:dyDescent="0.3">
      <c r="A2227" s="1">
        <v>2226</v>
      </c>
      <c r="B2227" s="1" t="s">
        <v>6778</v>
      </c>
      <c r="C2227" s="1" t="s">
        <v>6779</v>
      </c>
      <c r="G2227" s="1">
        <v>1</v>
      </c>
      <c r="H2227" s="7">
        <v>45560</v>
      </c>
      <c r="I2227" s="1" t="s">
        <v>7455</v>
      </c>
      <c r="J2227" s="7">
        <v>45560</v>
      </c>
      <c r="K2227" s="1" t="s">
        <v>7455</v>
      </c>
    </row>
    <row r="2228" spans="1:11" x14ac:dyDescent="0.3">
      <c r="A2228" s="1">
        <v>2227</v>
      </c>
      <c r="B2228" s="1" t="s">
        <v>6780</v>
      </c>
      <c r="C2228" s="1" t="s">
        <v>6781</v>
      </c>
      <c r="D2228" s="1" t="s">
        <v>6782</v>
      </c>
      <c r="G2228" s="1">
        <v>1</v>
      </c>
      <c r="H2228" s="7">
        <v>45560</v>
      </c>
      <c r="I2228" s="1" t="s">
        <v>7455</v>
      </c>
      <c r="J2228" s="7">
        <v>45560</v>
      </c>
      <c r="K2228" s="1" t="s">
        <v>7455</v>
      </c>
    </row>
    <row r="2229" spans="1:11" x14ac:dyDescent="0.3">
      <c r="A2229" s="1">
        <v>2228</v>
      </c>
      <c r="B2229" s="1" t="s">
        <v>6783</v>
      </c>
      <c r="C2229" s="1" t="s">
        <v>6784</v>
      </c>
      <c r="D2229" s="1" t="s">
        <v>6785</v>
      </c>
      <c r="G2229" s="1">
        <v>1</v>
      </c>
      <c r="H2229" s="7">
        <v>45560</v>
      </c>
      <c r="I2229" s="1" t="s">
        <v>7455</v>
      </c>
      <c r="J2229" s="7">
        <v>45560</v>
      </c>
      <c r="K2229" s="1" t="s">
        <v>7455</v>
      </c>
    </row>
    <row r="2230" spans="1:11" x14ac:dyDescent="0.3">
      <c r="A2230" s="1">
        <v>2229</v>
      </c>
      <c r="B2230" s="1" t="s">
        <v>6786</v>
      </c>
      <c r="C2230" s="1" t="s">
        <v>6787</v>
      </c>
      <c r="D2230" s="1" t="s">
        <v>6788</v>
      </c>
      <c r="G2230" s="1">
        <v>1</v>
      </c>
      <c r="H2230" s="7">
        <v>45560</v>
      </c>
      <c r="I2230" s="1" t="s">
        <v>7455</v>
      </c>
      <c r="J2230" s="7">
        <v>45560</v>
      </c>
      <c r="K2230" s="1" t="s">
        <v>7455</v>
      </c>
    </row>
    <row r="2231" spans="1:11" x14ac:dyDescent="0.3">
      <c r="A2231" s="1">
        <v>2230</v>
      </c>
      <c r="B2231" s="1" t="s">
        <v>6789</v>
      </c>
      <c r="C2231" s="1" t="s">
        <v>6790</v>
      </c>
      <c r="D2231" s="1" t="s">
        <v>6791</v>
      </c>
      <c r="G2231" s="1">
        <v>1</v>
      </c>
      <c r="H2231" s="7">
        <v>45560</v>
      </c>
      <c r="I2231" s="1" t="s">
        <v>7455</v>
      </c>
      <c r="J2231" s="7">
        <v>45560</v>
      </c>
      <c r="K2231" s="1" t="s">
        <v>7455</v>
      </c>
    </row>
    <row r="2232" spans="1:11" x14ac:dyDescent="0.3">
      <c r="A2232" s="1">
        <v>2231</v>
      </c>
      <c r="B2232" s="1" t="s">
        <v>6792</v>
      </c>
      <c r="C2232" s="1" t="s">
        <v>6793</v>
      </c>
      <c r="D2232" s="1" t="s">
        <v>6794</v>
      </c>
      <c r="G2232" s="1">
        <v>1</v>
      </c>
      <c r="H2232" s="7">
        <v>45560</v>
      </c>
      <c r="I2232" s="1" t="s">
        <v>7455</v>
      </c>
      <c r="J2232" s="7">
        <v>45560</v>
      </c>
      <c r="K2232" s="1" t="s">
        <v>7455</v>
      </c>
    </row>
    <row r="2233" spans="1:11" x14ac:dyDescent="0.3">
      <c r="A2233" s="1">
        <v>2232</v>
      </c>
      <c r="B2233" s="1" t="s">
        <v>6795</v>
      </c>
      <c r="C2233" s="1" t="s">
        <v>6796</v>
      </c>
      <c r="D2233" s="1" t="s">
        <v>6797</v>
      </c>
      <c r="G2233" s="1">
        <v>1</v>
      </c>
      <c r="H2233" s="7">
        <v>45560</v>
      </c>
      <c r="I2233" s="1" t="s">
        <v>7455</v>
      </c>
      <c r="J2233" s="7">
        <v>45560</v>
      </c>
      <c r="K2233" s="1" t="s">
        <v>7455</v>
      </c>
    </row>
    <row r="2234" spans="1:11" x14ac:dyDescent="0.3">
      <c r="A2234" s="1">
        <v>2233</v>
      </c>
      <c r="B2234" s="1" t="s">
        <v>6798</v>
      </c>
      <c r="C2234" s="1" t="s">
        <v>6799</v>
      </c>
      <c r="D2234" s="1" t="s">
        <v>6800</v>
      </c>
      <c r="G2234" s="1">
        <v>1</v>
      </c>
      <c r="H2234" s="7">
        <v>45560</v>
      </c>
      <c r="I2234" s="1" t="s">
        <v>7455</v>
      </c>
      <c r="J2234" s="7">
        <v>45560</v>
      </c>
      <c r="K2234" s="1" t="s">
        <v>7455</v>
      </c>
    </row>
    <row r="2235" spans="1:11" x14ac:dyDescent="0.3">
      <c r="A2235" s="1">
        <v>2234</v>
      </c>
      <c r="B2235" s="1" t="s">
        <v>6801</v>
      </c>
      <c r="C2235" s="1" t="s">
        <v>6802</v>
      </c>
      <c r="D2235" s="1" t="s">
        <v>6803</v>
      </c>
      <c r="G2235" s="1">
        <v>1</v>
      </c>
      <c r="H2235" s="7">
        <v>45560</v>
      </c>
      <c r="I2235" s="1" t="s">
        <v>7455</v>
      </c>
      <c r="J2235" s="7">
        <v>45560</v>
      </c>
      <c r="K2235" s="1" t="s">
        <v>7455</v>
      </c>
    </row>
    <row r="2236" spans="1:11" x14ac:dyDescent="0.3">
      <c r="A2236" s="1">
        <v>2235</v>
      </c>
      <c r="B2236" s="1" t="s">
        <v>6804</v>
      </c>
      <c r="C2236" s="1" t="s">
        <v>6805</v>
      </c>
      <c r="D2236" s="1" t="s">
        <v>6806</v>
      </c>
      <c r="G2236" s="1">
        <v>1</v>
      </c>
      <c r="H2236" s="7">
        <v>45560</v>
      </c>
      <c r="I2236" s="1" t="s">
        <v>7455</v>
      </c>
      <c r="J2236" s="7">
        <v>45560</v>
      </c>
      <c r="K2236" s="1" t="s">
        <v>7455</v>
      </c>
    </row>
    <row r="2237" spans="1:11" x14ac:dyDescent="0.3">
      <c r="A2237" s="1">
        <v>2236</v>
      </c>
      <c r="B2237" s="1" t="s">
        <v>6807</v>
      </c>
      <c r="C2237" s="1" t="s">
        <v>6808</v>
      </c>
      <c r="D2237" s="1" t="s">
        <v>6809</v>
      </c>
      <c r="G2237" s="1">
        <v>1</v>
      </c>
      <c r="H2237" s="7">
        <v>45560</v>
      </c>
      <c r="I2237" s="1" t="s">
        <v>7455</v>
      </c>
      <c r="J2237" s="7">
        <v>45560</v>
      </c>
      <c r="K2237" s="1" t="s">
        <v>7455</v>
      </c>
    </row>
    <row r="2238" spans="1:11" x14ac:dyDescent="0.3">
      <c r="A2238" s="1">
        <v>2237</v>
      </c>
      <c r="B2238" s="1" t="s">
        <v>6810</v>
      </c>
      <c r="C2238" s="1" t="s">
        <v>6811</v>
      </c>
      <c r="G2238" s="1">
        <v>1</v>
      </c>
      <c r="H2238" s="7">
        <v>45560</v>
      </c>
      <c r="I2238" s="1" t="s">
        <v>7455</v>
      </c>
      <c r="J2238" s="7">
        <v>45560</v>
      </c>
      <c r="K2238" s="1" t="s">
        <v>7455</v>
      </c>
    </row>
    <row r="2239" spans="1:11" x14ac:dyDescent="0.3">
      <c r="A2239" s="1">
        <v>2238</v>
      </c>
      <c r="B2239" s="1" t="s">
        <v>6812</v>
      </c>
      <c r="C2239" s="1" t="s">
        <v>6813</v>
      </c>
      <c r="G2239" s="1">
        <v>1</v>
      </c>
      <c r="H2239" s="7">
        <v>45560</v>
      </c>
      <c r="I2239" s="1" t="s">
        <v>7455</v>
      </c>
      <c r="J2239" s="7">
        <v>45560</v>
      </c>
      <c r="K2239" s="1" t="s">
        <v>7455</v>
      </c>
    </row>
    <row r="2240" spans="1:11" x14ac:dyDescent="0.3">
      <c r="A2240" s="1">
        <v>2239</v>
      </c>
      <c r="B2240" s="1" t="s">
        <v>6814</v>
      </c>
      <c r="C2240" s="1" t="s">
        <v>6815</v>
      </c>
      <c r="D2240" s="1" t="s">
        <v>6816</v>
      </c>
      <c r="G2240" s="1">
        <v>1</v>
      </c>
      <c r="H2240" s="7">
        <v>45560</v>
      </c>
      <c r="I2240" s="1" t="s">
        <v>7455</v>
      </c>
      <c r="J2240" s="7">
        <v>45560</v>
      </c>
      <c r="K2240" s="1" t="s">
        <v>7455</v>
      </c>
    </row>
    <row r="2241" spans="1:11" x14ac:dyDescent="0.3">
      <c r="A2241" s="1">
        <v>2240</v>
      </c>
      <c r="B2241" s="1" t="s">
        <v>6817</v>
      </c>
      <c r="C2241" s="1" t="s">
        <v>6818</v>
      </c>
      <c r="D2241" s="1" t="s">
        <v>6819</v>
      </c>
      <c r="G2241" s="1">
        <v>1</v>
      </c>
      <c r="H2241" s="7">
        <v>45560</v>
      </c>
      <c r="I2241" s="1" t="s">
        <v>7455</v>
      </c>
      <c r="J2241" s="7">
        <v>45560</v>
      </c>
      <c r="K2241" s="1" t="s">
        <v>7455</v>
      </c>
    </row>
    <row r="2242" spans="1:11" x14ac:dyDescent="0.3">
      <c r="A2242" s="1">
        <v>2241</v>
      </c>
      <c r="B2242" s="1" t="s">
        <v>6820</v>
      </c>
      <c r="C2242" s="1" t="s">
        <v>6821</v>
      </c>
      <c r="D2242" s="1" t="s">
        <v>6822</v>
      </c>
      <c r="G2242" s="1">
        <v>1</v>
      </c>
      <c r="H2242" s="7">
        <v>45560</v>
      </c>
      <c r="I2242" s="1" t="s">
        <v>7455</v>
      </c>
      <c r="J2242" s="7">
        <v>45560</v>
      </c>
      <c r="K2242" s="1" t="s">
        <v>7455</v>
      </c>
    </row>
    <row r="2243" spans="1:11" x14ac:dyDescent="0.3">
      <c r="A2243" s="1">
        <v>2242</v>
      </c>
      <c r="B2243" s="1" t="s">
        <v>6823</v>
      </c>
      <c r="C2243" s="1" t="s">
        <v>6824</v>
      </c>
      <c r="G2243" s="1">
        <v>1</v>
      </c>
      <c r="H2243" s="7">
        <v>45560</v>
      </c>
      <c r="I2243" s="1" t="s">
        <v>7455</v>
      </c>
      <c r="J2243" s="7">
        <v>45560</v>
      </c>
      <c r="K2243" s="1" t="s">
        <v>7455</v>
      </c>
    </row>
    <row r="2244" spans="1:11" x14ac:dyDescent="0.3">
      <c r="A2244" s="1">
        <v>2243</v>
      </c>
      <c r="B2244" s="1" t="s">
        <v>6825</v>
      </c>
      <c r="C2244" s="1" t="s">
        <v>6826</v>
      </c>
      <c r="G2244" s="1">
        <v>1</v>
      </c>
      <c r="H2244" s="7">
        <v>45560</v>
      </c>
      <c r="I2244" s="1" t="s">
        <v>7455</v>
      </c>
      <c r="J2244" s="7">
        <v>45560</v>
      </c>
      <c r="K2244" s="1" t="s">
        <v>7455</v>
      </c>
    </row>
    <row r="2245" spans="1:11" x14ac:dyDescent="0.3">
      <c r="A2245" s="1">
        <v>2244</v>
      </c>
      <c r="B2245" s="1" t="s">
        <v>6827</v>
      </c>
      <c r="C2245" s="1" t="s">
        <v>6828</v>
      </c>
      <c r="G2245" s="1">
        <v>1</v>
      </c>
      <c r="H2245" s="7">
        <v>45560</v>
      </c>
      <c r="I2245" s="1" t="s">
        <v>7455</v>
      </c>
      <c r="J2245" s="7">
        <v>45560</v>
      </c>
      <c r="K2245" s="1" t="s">
        <v>7455</v>
      </c>
    </row>
    <row r="2246" spans="1:11" x14ac:dyDescent="0.3">
      <c r="A2246" s="1">
        <v>2245</v>
      </c>
      <c r="B2246" s="1" t="s">
        <v>6829</v>
      </c>
      <c r="C2246" s="1" t="s">
        <v>6830</v>
      </c>
      <c r="G2246" s="1">
        <v>1</v>
      </c>
      <c r="H2246" s="7">
        <v>45560</v>
      </c>
      <c r="I2246" s="1" t="s">
        <v>7455</v>
      </c>
      <c r="J2246" s="7">
        <v>45560</v>
      </c>
      <c r="K2246" s="1" t="s">
        <v>7455</v>
      </c>
    </row>
    <row r="2247" spans="1:11" x14ac:dyDescent="0.3">
      <c r="A2247" s="1">
        <v>2246</v>
      </c>
      <c r="B2247" s="1" t="s">
        <v>6831</v>
      </c>
      <c r="C2247" s="1" t="s">
        <v>6832</v>
      </c>
      <c r="D2247" s="1" t="s">
        <v>6833</v>
      </c>
      <c r="G2247" s="1">
        <v>1</v>
      </c>
      <c r="H2247" s="7">
        <v>45560</v>
      </c>
      <c r="I2247" s="1" t="s">
        <v>7455</v>
      </c>
      <c r="J2247" s="7">
        <v>45560</v>
      </c>
      <c r="K2247" s="1" t="s">
        <v>7455</v>
      </c>
    </row>
    <row r="2248" spans="1:11" x14ac:dyDescent="0.3">
      <c r="A2248" s="1">
        <v>2247</v>
      </c>
      <c r="B2248" s="1" t="s">
        <v>6834</v>
      </c>
      <c r="C2248" s="1" t="s">
        <v>6835</v>
      </c>
      <c r="G2248" s="1">
        <v>1</v>
      </c>
      <c r="H2248" s="7">
        <v>45560</v>
      </c>
      <c r="I2248" s="1" t="s">
        <v>7455</v>
      </c>
      <c r="J2248" s="7">
        <v>45560</v>
      </c>
      <c r="K2248" s="1" t="s">
        <v>7455</v>
      </c>
    </row>
    <row r="2249" spans="1:11" x14ac:dyDescent="0.3">
      <c r="A2249" s="1">
        <v>2248</v>
      </c>
      <c r="B2249" s="1" t="s">
        <v>6836</v>
      </c>
      <c r="C2249" s="1" t="s">
        <v>6837</v>
      </c>
      <c r="G2249" s="1">
        <v>1</v>
      </c>
      <c r="H2249" s="7">
        <v>45560</v>
      </c>
      <c r="I2249" s="1" t="s">
        <v>7455</v>
      </c>
      <c r="J2249" s="7">
        <v>45560</v>
      </c>
      <c r="K2249" s="1" t="s">
        <v>7455</v>
      </c>
    </row>
    <row r="2250" spans="1:11" x14ac:dyDescent="0.3">
      <c r="A2250" s="1">
        <v>2249</v>
      </c>
      <c r="B2250" s="1" t="s">
        <v>6838</v>
      </c>
      <c r="C2250" s="1" t="s">
        <v>6839</v>
      </c>
      <c r="G2250" s="1">
        <v>1</v>
      </c>
      <c r="H2250" s="7">
        <v>45560</v>
      </c>
      <c r="I2250" s="1" t="s">
        <v>7455</v>
      </c>
      <c r="J2250" s="7">
        <v>45560</v>
      </c>
      <c r="K2250" s="1" t="s">
        <v>7455</v>
      </c>
    </row>
    <row r="2251" spans="1:11" x14ac:dyDescent="0.3">
      <c r="A2251" s="1">
        <v>2250</v>
      </c>
      <c r="B2251" s="1" t="s">
        <v>6840</v>
      </c>
      <c r="C2251" s="1" t="s">
        <v>6841</v>
      </c>
      <c r="D2251" s="1" t="s">
        <v>6842</v>
      </c>
      <c r="G2251" s="1">
        <v>1</v>
      </c>
      <c r="H2251" s="7">
        <v>45560</v>
      </c>
      <c r="I2251" s="1" t="s">
        <v>7455</v>
      </c>
      <c r="J2251" s="7">
        <v>45560</v>
      </c>
      <c r="K2251" s="1" t="s">
        <v>7455</v>
      </c>
    </row>
    <row r="2252" spans="1:11" x14ac:dyDescent="0.3">
      <c r="A2252" s="1">
        <v>2251</v>
      </c>
      <c r="B2252" s="1" t="s">
        <v>6843</v>
      </c>
      <c r="C2252" s="1" t="s">
        <v>6844</v>
      </c>
      <c r="G2252" s="1">
        <v>1</v>
      </c>
      <c r="H2252" s="7">
        <v>45560</v>
      </c>
      <c r="I2252" s="1" t="s">
        <v>7455</v>
      </c>
      <c r="J2252" s="7">
        <v>45560</v>
      </c>
      <c r="K2252" s="1" t="s">
        <v>7455</v>
      </c>
    </row>
    <row r="2253" spans="1:11" x14ac:dyDescent="0.3">
      <c r="A2253" s="1">
        <v>2252</v>
      </c>
      <c r="B2253" s="1" t="s">
        <v>6845</v>
      </c>
      <c r="C2253" s="1" t="s">
        <v>6846</v>
      </c>
      <c r="G2253" s="1">
        <v>1</v>
      </c>
      <c r="H2253" s="7">
        <v>45560</v>
      </c>
      <c r="I2253" s="1" t="s">
        <v>7455</v>
      </c>
      <c r="J2253" s="7">
        <v>45560</v>
      </c>
      <c r="K2253" s="1" t="s">
        <v>7455</v>
      </c>
    </row>
    <row r="2254" spans="1:11" x14ac:dyDescent="0.3">
      <c r="A2254" s="1">
        <v>2253</v>
      </c>
      <c r="B2254" s="1" t="s">
        <v>6847</v>
      </c>
      <c r="C2254" s="1" t="s">
        <v>6848</v>
      </c>
      <c r="G2254" s="1">
        <v>1</v>
      </c>
      <c r="H2254" s="7">
        <v>45560</v>
      </c>
      <c r="I2254" s="1" t="s">
        <v>7455</v>
      </c>
      <c r="J2254" s="7">
        <v>45560</v>
      </c>
      <c r="K2254" s="1" t="s">
        <v>7455</v>
      </c>
    </row>
    <row r="2255" spans="1:11" x14ac:dyDescent="0.3">
      <c r="A2255" s="1">
        <v>2254</v>
      </c>
      <c r="B2255" s="1" t="s">
        <v>6849</v>
      </c>
      <c r="C2255" s="1" t="s">
        <v>6850</v>
      </c>
      <c r="D2255" s="1" t="s">
        <v>6851</v>
      </c>
      <c r="G2255" s="1">
        <v>1</v>
      </c>
      <c r="H2255" s="7">
        <v>45560</v>
      </c>
      <c r="I2255" s="1" t="s">
        <v>7455</v>
      </c>
      <c r="J2255" s="7">
        <v>45560</v>
      </c>
      <c r="K2255" s="1" t="s">
        <v>7455</v>
      </c>
    </row>
    <row r="2256" spans="1:11" x14ac:dyDescent="0.3">
      <c r="A2256" s="1">
        <v>2255</v>
      </c>
      <c r="B2256" s="1" t="s">
        <v>6852</v>
      </c>
      <c r="C2256" s="1" t="s">
        <v>6853</v>
      </c>
      <c r="G2256" s="1">
        <v>1</v>
      </c>
      <c r="H2256" s="7">
        <v>45560</v>
      </c>
      <c r="I2256" s="1" t="s">
        <v>7455</v>
      </c>
      <c r="J2256" s="7">
        <v>45560</v>
      </c>
      <c r="K2256" s="1" t="s">
        <v>7455</v>
      </c>
    </row>
    <row r="2257" spans="1:11" x14ac:dyDescent="0.3">
      <c r="A2257" s="1">
        <v>2256</v>
      </c>
      <c r="B2257" s="1" t="s">
        <v>6854</v>
      </c>
      <c r="C2257" s="1" t="s">
        <v>6855</v>
      </c>
      <c r="G2257" s="1">
        <v>1</v>
      </c>
      <c r="H2257" s="7">
        <v>45560</v>
      </c>
      <c r="I2257" s="1" t="s">
        <v>7455</v>
      </c>
      <c r="J2257" s="7">
        <v>45560</v>
      </c>
      <c r="K2257" s="1" t="s">
        <v>7455</v>
      </c>
    </row>
    <row r="2258" spans="1:11" x14ac:dyDescent="0.3">
      <c r="A2258" s="1">
        <v>2257</v>
      </c>
      <c r="B2258" s="1" t="s">
        <v>6856</v>
      </c>
      <c r="C2258" s="1" t="s">
        <v>6857</v>
      </c>
      <c r="G2258" s="1">
        <v>1</v>
      </c>
      <c r="H2258" s="7">
        <v>45560</v>
      </c>
      <c r="I2258" s="1" t="s">
        <v>7455</v>
      </c>
      <c r="J2258" s="7">
        <v>45560</v>
      </c>
      <c r="K2258" s="1" t="s">
        <v>7455</v>
      </c>
    </row>
    <row r="2259" spans="1:11" x14ac:dyDescent="0.3">
      <c r="A2259" s="1">
        <v>2258</v>
      </c>
      <c r="B2259" s="1" t="s">
        <v>6858</v>
      </c>
      <c r="C2259" s="1" t="s">
        <v>6859</v>
      </c>
      <c r="G2259" s="1">
        <v>1</v>
      </c>
      <c r="H2259" s="7">
        <v>45560</v>
      </c>
      <c r="I2259" s="1" t="s">
        <v>7455</v>
      </c>
      <c r="J2259" s="7">
        <v>45560</v>
      </c>
      <c r="K2259" s="1" t="s">
        <v>7455</v>
      </c>
    </row>
    <row r="2260" spans="1:11" x14ac:dyDescent="0.3">
      <c r="A2260" s="1">
        <v>2259</v>
      </c>
      <c r="B2260" s="1" t="s">
        <v>6860</v>
      </c>
      <c r="C2260" s="1" t="s">
        <v>6861</v>
      </c>
      <c r="G2260" s="1">
        <v>1</v>
      </c>
      <c r="H2260" s="7">
        <v>45560</v>
      </c>
      <c r="I2260" s="1" t="s">
        <v>7455</v>
      </c>
      <c r="J2260" s="7">
        <v>45560</v>
      </c>
      <c r="K2260" s="1" t="s">
        <v>7455</v>
      </c>
    </row>
    <row r="2261" spans="1:11" x14ac:dyDescent="0.3">
      <c r="A2261" s="1">
        <v>2260</v>
      </c>
      <c r="B2261" s="1" t="s">
        <v>6862</v>
      </c>
      <c r="C2261" s="1" t="s">
        <v>6863</v>
      </c>
      <c r="G2261" s="1">
        <v>1</v>
      </c>
      <c r="H2261" s="7">
        <v>45560</v>
      </c>
      <c r="I2261" s="1" t="s">
        <v>7455</v>
      </c>
      <c r="J2261" s="7">
        <v>45560</v>
      </c>
      <c r="K2261" s="1" t="s">
        <v>7455</v>
      </c>
    </row>
    <row r="2262" spans="1:11" x14ac:dyDescent="0.3">
      <c r="A2262" s="1">
        <v>2261</v>
      </c>
      <c r="B2262" s="1" t="s">
        <v>6864</v>
      </c>
      <c r="C2262" s="1" t="s">
        <v>6865</v>
      </c>
      <c r="G2262" s="1">
        <v>1</v>
      </c>
      <c r="H2262" s="7">
        <v>45560</v>
      </c>
      <c r="I2262" s="1" t="s">
        <v>7455</v>
      </c>
      <c r="J2262" s="7">
        <v>45560</v>
      </c>
      <c r="K2262" s="1" t="s">
        <v>7455</v>
      </c>
    </row>
    <row r="2263" spans="1:11" x14ac:dyDescent="0.3">
      <c r="A2263" s="1">
        <v>2262</v>
      </c>
      <c r="B2263" s="1" t="s">
        <v>6866</v>
      </c>
      <c r="C2263" s="1" t="s">
        <v>6867</v>
      </c>
      <c r="G2263" s="1">
        <v>1</v>
      </c>
      <c r="H2263" s="7">
        <v>45560</v>
      </c>
      <c r="I2263" s="1" t="s">
        <v>7455</v>
      </c>
      <c r="J2263" s="7">
        <v>45560</v>
      </c>
      <c r="K2263" s="1" t="s">
        <v>7455</v>
      </c>
    </row>
    <row r="2264" spans="1:11" x14ac:dyDescent="0.3">
      <c r="A2264" s="1">
        <v>2263</v>
      </c>
      <c r="B2264" s="1" t="s">
        <v>6868</v>
      </c>
      <c r="C2264" s="1" t="s">
        <v>6869</v>
      </c>
      <c r="G2264" s="1">
        <v>1</v>
      </c>
      <c r="H2264" s="7">
        <v>45560</v>
      </c>
      <c r="I2264" s="1" t="s">
        <v>7455</v>
      </c>
      <c r="J2264" s="7">
        <v>45560</v>
      </c>
      <c r="K2264" s="1" t="s">
        <v>7455</v>
      </c>
    </row>
    <row r="2265" spans="1:11" x14ac:dyDescent="0.3">
      <c r="A2265" s="1">
        <v>2264</v>
      </c>
      <c r="B2265" s="1" t="s">
        <v>6870</v>
      </c>
      <c r="C2265" s="1" t="s">
        <v>6871</v>
      </c>
      <c r="G2265" s="1">
        <v>1</v>
      </c>
      <c r="H2265" s="7">
        <v>45560</v>
      </c>
      <c r="I2265" s="1" t="s">
        <v>7455</v>
      </c>
      <c r="J2265" s="7">
        <v>45560</v>
      </c>
      <c r="K2265" s="1" t="s">
        <v>7455</v>
      </c>
    </row>
    <row r="2266" spans="1:11" x14ac:dyDescent="0.3">
      <c r="A2266" s="1">
        <v>2265</v>
      </c>
      <c r="B2266" s="1" t="s">
        <v>6872</v>
      </c>
      <c r="C2266" s="1" t="s">
        <v>6873</v>
      </c>
      <c r="G2266" s="1">
        <v>1</v>
      </c>
      <c r="H2266" s="7">
        <v>45560</v>
      </c>
      <c r="I2266" s="1" t="s">
        <v>7455</v>
      </c>
      <c r="J2266" s="7">
        <v>45560</v>
      </c>
      <c r="K2266" s="1" t="s">
        <v>7455</v>
      </c>
    </row>
    <row r="2267" spans="1:11" x14ac:dyDescent="0.3">
      <c r="A2267" s="1">
        <v>2266</v>
      </c>
      <c r="B2267" s="1" t="s">
        <v>6874</v>
      </c>
      <c r="C2267" s="1" t="s">
        <v>6875</v>
      </c>
      <c r="G2267" s="1">
        <v>1</v>
      </c>
      <c r="H2267" s="7">
        <v>45560</v>
      </c>
      <c r="I2267" s="1" t="s">
        <v>7455</v>
      </c>
      <c r="J2267" s="7">
        <v>45560</v>
      </c>
      <c r="K2267" s="1" t="s">
        <v>7455</v>
      </c>
    </row>
    <row r="2268" spans="1:11" x14ac:dyDescent="0.3">
      <c r="A2268" s="1">
        <v>2267</v>
      </c>
      <c r="B2268" s="1" t="s">
        <v>6876</v>
      </c>
      <c r="C2268" s="1" t="s">
        <v>6877</v>
      </c>
      <c r="G2268" s="1">
        <v>1</v>
      </c>
      <c r="H2268" s="7">
        <v>45560</v>
      </c>
      <c r="I2268" s="1" t="s">
        <v>7455</v>
      </c>
      <c r="J2268" s="7">
        <v>45560</v>
      </c>
      <c r="K2268" s="1" t="s">
        <v>7455</v>
      </c>
    </row>
    <row r="2269" spans="1:11" x14ac:dyDescent="0.3">
      <c r="A2269" s="1">
        <v>2268</v>
      </c>
      <c r="B2269" s="1" t="s">
        <v>6878</v>
      </c>
      <c r="C2269" s="1" t="s">
        <v>6879</v>
      </c>
      <c r="G2269" s="1">
        <v>1</v>
      </c>
      <c r="H2269" s="7">
        <v>45560</v>
      </c>
      <c r="I2269" s="1" t="s">
        <v>7455</v>
      </c>
      <c r="J2269" s="7">
        <v>45560</v>
      </c>
      <c r="K2269" s="1" t="s">
        <v>7455</v>
      </c>
    </row>
    <row r="2270" spans="1:11" x14ac:dyDescent="0.3">
      <c r="A2270" s="1">
        <v>2269</v>
      </c>
      <c r="B2270" s="1" t="s">
        <v>6880</v>
      </c>
      <c r="C2270" s="1" t="s">
        <v>6881</v>
      </c>
      <c r="G2270" s="1">
        <v>1</v>
      </c>
      <c r="H2270" s="7">
        <v>45560</v>
      </c>
      <c r="I2270" s="1" t="s">
        <v>7455</v>
      </c>
      <c r="J2270" s="7">
        <v>45560</v>
      </c>
      <c r="K2270" s="1" t="s">
        <v>7455</v>
      </c>
    </row>
    <row r="2271" spans="1:11" x14ac:dyDescent="0.3">
      <c r="A2271" s="1">
        <v>2270</v>
      </c>
      <c r="B2271" s="1" t="s">
        <v>6882</v>
      </c>
      <c r="C2271" s="1" t="s">
        <v>6883</v>
      </c>
      <c r="G2271" s="1">
        <v>1</v>
      </c>
      <c r="H2271" s="7">
        <v>45560</v>
      </c>
      <c r="I2271" s="1" t="s">
        <v>7455</v>
      </c>
      <c r="J2271" s="7">
        <v>45560</v>
      </c>
      <c r="K2271" s="1" t="s">
        <v>7455</v>
      </c>
    </row>
    <row r="2272" spans="1:11" x14ac:dyDescent="0.3">
      <c r="A2272" s="1">
        <v>2271</v>
      </c>
      <c r="B2272" s="1" t="s">
        <v>6884</v>
      </c>
      <c r="C2272" s="1" t="s">
        <v>6885</v>
      </c>
      <c r="G2272" s="1">
        <v>1</v>
      </c>
      <c r="H2272" s="7">
        <v>45560</v>
      </c>
      <c r="I2272" s="1" t="s">
        <v>7455</v>
      </c>
      <c r="J2272" s="7">
        <v>45560</v>
      </c>
      <c r="K2272" s="1" t="s">
        <v>7455</v>
      </c>
    </row>
    <row r="2273" spans="1:11" x14ac:dyDescent="0.3">
      <c r="A2273" s="1">
        <v>2272</v>
      </c>
      <c r="B2273" s="1" t="s">
        <v>6886</v>
      </c>
      <c r="C2273" s="1" t="s">
        <v>6887</v>
      </c>
      <c r="G2273" s="1">
        <v>1</v>
      </c>
      <c r="H2273" s="7">
        <v>45560</v>
      </c>
      <c r="I2273" s="1" t="s">
        <v>7455</v>
      </c>
      <c r="J2273" s="7">
        <v>45560</v>
      </c>
      <c r="K2273" s="1" t="s">
        <v>7455</v>
      </c>
    </row>
    <row r="2274" spans="1:11" x14ac:dyDescent="0.3">
      <c r="A2274" s="1">
        <v>2273</v>
      </c>
      <c r="B2274" s="1" t="s">
        <v>6888</v>
      </c>
      <c r="C2274" s="1" t="s">
        <v>6889</v>
      </c>
      <c r="G2274" s="1">
        <v>1</v>
      </c>
      <c r="H2274" s="7">
        <v>45560</v>
      </c>
      <c r="I2274" s="1" t="s">
        <v>7455</v>
      </c>
      <c r="J2274" s="7">
        <v>45560</v>
      </c>
      <c r="K2274" s="1" t="s">
        <v>7455</v>
      </c>
    </row>
    <row r="2275" spans="1:11" x14ac:dyDescent="0.3">
      <c r="A2275" s="1">
        <v>2274</v>
      </c>
      <c r="B2275" s="1" t="s">
        <v>6890</v>
      </c>
      <c r="C2275" s="1" t="s">
        <v>6891</v>
      </c>
      <c r="G2275" s="1">
        <v>1</v>
      </c>
      <c r="H2275" s="7">
        <v>45560</v>
      </c>
      <c r="I2275" s="1" t="s">
        <v>7455</v>
      </c>
      <c r="J2275" s="7">
        <v>45560</v>
      </c>
      <c r="K2275" s="1" t="s">
        <v>7455</v>
      </c>
    </row>
    <row r="2276" spans="1:11" x14ac:dyDescent="0.3">
      <c r="A2276" s="1">
        <v>2275</v>
      </c>
      <c r="B2276" s="1" t="s">
        <v>6892</v>
      </c>
      <c r="C2276" s="1" t="s">
        <v>6893</v>
      </c>
      <c r="G2276" s="1">
        <v>1</v>
      </c>
      <c r="H2276" s="7">
        <v>45560</v>
      </c>
      <c r="I2276" s="1" t="s">
        <v>7455</v>
      </c>
      <c r="J2276" s="7">
        <v>45560</v>
      </c>
      <c r="K2276" s="1" t="s">
        <v>7455</v>
      </c>
    </row>
    <row r="2277" spans="1:11" x14ac:dyDescent="0.3">
      <c r="A2277" s="1">
        <v>2276</v>
      </c>
      <c r="B2277" s="1" t="s">
        <v>6894</v>
      </c>
      <c r="C2277" s="1" t="s">
        <v>6895</v>
      </c>
      <c r="G2277" s="1">
        <v>1</v>
      </c>
      <c r="H2277" s="7">
        <v>45560</v>
      </c>
      <c r="I2277" s="1" t="s">
        <v>7455</v>
      </c>
      <c r="J2277" s="7">
        <v>45560</v>
      </c>
      <c r="K2277" s="1" t="s">
        <v>7455</v>
      </c>
    </row>
    <row r="2278" spans="1:11" x14ac:dyDescent="0.3">
      <c r="A2278" s="1">
        <v>2277</v>
      </c>
      <c r="B2278" s="1" t="s">
        <v>6896</v>
      </c>
      <c r="C2278" s="1" t="s">
        <v>6897</v>
      </c>
      <c r="D2278" s="1" t="s">
        <v>6898</v>
      </c>
      <c r="G2278" s="1">
        <v>1</v>
      </c>
      <c r="H2278" s="7">
        <v>45560</v>
      </c>
      <c r="I2278" s="1" t="s">
        <v>7455</v>
      </c>
      <c r="J2278" s="7">
        <v>45560</v>
      </c>
      <c r="K2278" s="1" t="s">
        <v>7455</v>
      </c>
    </row>
    <row r="2279" spans="1:11" x14ac:dyDescent="0.3">
      <c r="A2279" s="1">
        <v>2278</v>
      </c>
      <c r="B2279" s="1" t="s">
        <v>6899</v>
      </c>
      <c r="C2279" s="1" t="s">
        <v>6900</v>
      </c>
      <c r="G2279" s="1">
        <v>1</v>
      </c>
      <c r="H2279" s="7">
        <v>45560</v>
      </c>
      <c r="I2279" s="1" t="s">
        <v>7455</v>
      </c>
      <c r="J2279" s="7">
        <v>45560</v>
      </c>
      <c r="K2279" s="1" t="s">
        <v>7455</v>
      </c>
    </row>
    <row r="2280" spans="1:11" x14ac:dyDescent="0.3">
      <c r="A2280" s="1">
        <v>2279</v>
      </c>
      <c r="B2280" s="1" t="s">
        <v>6901</v>
      </c>
      <c r="C2280" s="1" t="s">
        <v>6902</v>
      </c>
      <c r="D2280" s="1" t="s">
        <v>6903</v>
      </c>
      <c r="G2280" s="1">
        <v>1</v>
      </c>
      <c r="H2280" s="7">
        <v>45560</v>
      </c>
      <c r="I2280" s="1" t="s">
        <v>7455</v>
      </c>
      <c r="J2280" s="7">
        <v>45560</v>
      </c>
      <c r="K2280" s="1" t="s">
        <v>7455</v>
      </c>
    </row>
    <row r="2281" spans="1:11" x14ac:dyDescent="0.3">
      <c r="A2281" s="1">
        <v>2280</v>
      </c>
      <c r="B2281" s="1" t="s">
        <v>6904</v>
      </c>
      <c r="C2281" s="1" t="s">
        <v>6905</v>
      </c>
      <c r="G2281" s="1">
        <v>1</v>
      </c>
      <c r="H2281" s="7">
        <v>45560</v>
      </c>
      <c r="I2281" s="1" t="s">
        <v>7455</v>
      </c>
      <c r="J2281" s="7">
        <v>45560</v>
      </c>
      <c r="K2281" s="1" t="s">
        <v>7455</v>
      </c>
    </row>
    <row r="2282" spans="1:11" x14ac:dyDescent="0.3">
      <c r="A2282" s="1">
        <v>2281</v>
      </c>
      <c r="B2282" s="1" t="s">
        <v>6906</v>
      </c>
      <c r="C2282" s="1" t="s">
        <v>6907</v>
      </c>
      <c r="G2282" s="1">
        <v>1</v>
      </c>
      <c r="H2282" s="7">
        <v>45560</v>
      </c>
      <c r="I2282" s="1" t="s">
        <v>7455</v>
      </c>
      <c r="J2282" s="7">
        <v>45560</v>
      </c>
      <c r="K2282" s="1" t="s">
        <v>7455</v>
      </c>
    </row>
    <row r="2283" spans="1:11" x14ac:dyDescent="0.3">
      <c r="A2283" s="1">
        <v>2282</v>
      </c>
      <c r="B2283" s="1" t="s">
        <v>6908</v>
      </c>
      <c r="C2283" s="1" t="s">
        <v>6909</v>
      </c>
      <c r="G2283" s="1">
        <v>1</v>
      </c>
      <c r="H2283" s="7">
        <v>45560</v>
      </c>
      <c r="I2283" s="1" t="s">
        <v>7455</v>
      </c>
      <c r="J2283" s="7">
        <v>45560</v>
      </c>
      <c r="K2283" s="1" t="s">
        <v>7455</v>
      </c>
    </row>
    <row r="2284" spans="1:11" x14ac:dyDescent="0.3">
      <c r="A2284" s="1">
        <v>2283</v>
      </c>
      <c r="B2284" s="1" t="s">
        <v>6910</v>
      </c>
      <c r="C2284" s="1" t="s">
        <v>6911</v>
      </c>
      <c r="G2284" s="1">
        <v>1</v>
      </c>
      <c r="H2284" s="7">
        <v>45560</v>
      </c>
      <c r="I2284" s="1" t="s">
        <v>7455</v>
      </c>
      <c r="J2284" s="7">
        <v>45560</v>
      </c>
      <c r="K2284" s="1" t="s">
        <v>7455</v>
      </c>
    </row>
    <row r="2285" spans="1:11" x14ac:dyDescent="0.3">
      <c r="A2285" s="1">
        <v>2284</v>
      </c>
      <c r="B2285" s="1" t="s">
        <v>6912</v>
      </c>
      <c r="C2285" s="1" t="s">
        <v>6913</v>
      </c>
      <c r="G2285" s="1">
        <v>1</v>
      </c>
      <c r="H2285" s="7">
        <v>45560</v>
      </c>
      <c r="I2285" s="1" t="s">
        <v>7455</v>
      </c>
      <c r="J2285" s="7">
        <v>45560</v>
      </c>
      <c r="K2285" s="1" t="s">
        <v>7455</v>
      </c>
    </row>
    <row r="2286" spans="1:11" x14ac:dyDescent="0.3">
      <c r="A2286" s="1">
        <v>2285</v>
      </c>
      <c r="B2286" s="1" t="s">
        <v>6914</v>
      </c>
      <c r="C2286" s="1" t="s">
        <v>6915</v>
      </c>
      <c r="G2286" s="1">
        <v>1</v>
      </c>
      <c r="H2286" s="7">
        <v>45560</v>
      </c>
      <c r="I2286" s="1" t="s">
        <v>7455</v>
      </c>
      <c r="J2286" s="7">
        <v>45560</v>
      </c>
      <c r="K2286" s="1" t="s">
        <v>7455</v>
      </c>
    </row>
    <row r="2287" spans="1:11" x14ac:dyDescent="0.3">
      <c r="A2287" s="1">
        <v>2286</v>
      </c>
      <c r="B2287" s="1" t="s">
        <v>6916</v>
      </c>
      <c r="C2287" s="1" t="s">
        <v>6917</v>
      </c>
      <c r="G2287" s="1">
        <v>1</v>
      </c>
      <c r="H2287" s="7">
        <v>45560</v>
      </c>
      <c r="I2287" s="1" t="s">
        <v>7455</v>
      </c>
      <c r="J2287" s="7">
        <v>45560</v>
      </c>
      <c r="K2287" s="1" t="s">
        <v>7455</v>
      </c>
    </row>
    <row r="2288" spans="1:11" x14ac:dyDescent="0.3">
      <c r="A2288" s="1">
        <v>2287</v>
      </c>
      <c r="B2288" s="1" t="s">
        <v>6918</v>
      </c>
      <c r="C2288" s="1" t="s">
        <v>6919</v>
      </c>
      <c r="D2288" s="1" t="s">
        <v>6920</v>
      </c>
      <c r="G2288" s="1">
        <v>1</v>
      </c>
      <c r="H2288" s="7">
        <v>45560</v>
      </c>
      <c r="I2288" s="1" t="s">
        <v>7455</v>
      </c>
      <c r="J2288" s="7">
        <v>45560</v>
      </c>
      <c r="K2288" s="1" t="s">
        <v>7455</v>
      </c>
    </row>
    <row r="2289" spans="1:11" x14ac:dyDescent="0.3">
      <c r="A2289" s="1">
        <v>2288</v>
      </c>
      <c r="B2289" s="1" t="s">
        <v>6921</v>
      </c>
      <c r="C2289" s="1" t="s">
        <v>6922</v>
      </c>
      <c r="G2289" s="1">
        <v>1</v>
      </c>
      <c r="H2289" s="7">
        <v>45560</v>
      </c>
      <c r="I2289" s="1" t="s">
        <v>7455</v>
      </c>
      <c r="J2289" s="7">
        <v>45560</v>
      </c>
      <c r="K2289" s="1" t="s">
        <v>7455</v>
      </c>
    </row>
    <row r="2290" spans="1:11" x14ac:dyDescent="0.3">
      <c r="A2290" s="1">
        <v>2289</v>
      </c>
      <c r="B2290" s="1" t="s">
        <v>6923</v>
      </c>
      <c r="C2290" s="1" t="s">
        <v>6924</v>
      </c>
      <c r="D2290" s="1" t="s">
        <v>6925</v>
      </c>
      <c r="G2290" s="1">
        <v>1</v>
      </c>
      <c r="H2290" s="7">
        <v>45560</v>
      </c>
      <c r="I2290" s="1" t="s">
        <v>7455</v>
      </c>
      <c r="J2290" s="7">
        <v>45560</v>
      </c>
      <c r="K2290" s="1" t="s">
        <v>7455</v>
      </c>
    </row>
    <row r="2291" spans="1:11" x14ac:dyDescent="0.3">
      <c r="A2291" s="1">
        <v>2290</v>
      </c>
      <c r="B2291" s="1" t="s">
        <v>6926</v>
      </c>
      <c r="C2291" s="1" t="s">
        <v>6927</v>
      </c>
      <c r="G2291" s="1">
        <v>1</v>
      </c>
      <c r="H2291" s="7">
        <v>45560</v>
      </c>
      <c r="I2291" s="1" t="s">
        <v>7455</v>
      </c>
      <c r="J2291" s="7">
        <v>45560</v>
      </c>
      <c r="K2291" s="1" t="s">
        <v>7455</v>
      </c>
    </row>
    <row r="2292" spans="1:11" x14ac:dyDescent="0.3">
      <c r="A2292" s="1">
        <v>2291</v>
      </c>
      <c r="B2292" s="1" t="s">
        <v>6928</v>
      </c>
      <c r="C2292" s="1" t="s">
        <v>6929</v>
      </c>
      <c r="D2292" s="1" t="s">
        <v>6930</v>
      </c>
      <c r="G2292" s="1">
        <v>1</v>
      </c>
      <c r="H2292" s="7">
        <v>45560</v>
      </c>
      <c r="I2292" s="1" t="s">
        <v>7455</v>
      </c>
      <c r="J2292" s="7">
        <v>45560</v>
      </c>
      <c r="K2292" s="1" t="s">
        <v>7455</v>
      </c>
    </row>
    <row r="2293" spans="1:11" x14ac:dyDescent="0.3">
      <c r="A2293" s="1">
        <v>2292</v>
      </c>
      <c r="B2293" s="1" t="s">
        <v>6931</v>
      </c>
      <c r="C2293" s="1" t="s">
        <v>6932</v>
      </c>
      <c r="G2293" s="1">
        <v>1</v>
      </c>
      <c r="H2293" s="7">
        <v>45560</v>
      </c>
      <c r="I2293" s="1" t="s">
        <v>7455</v>
      </c>
      <c r="J2293" s="7">
        <v>45560</v>
      </c>
      <c r="K2293" s="1" t="s">
        <v>7455</v>
      </c>
    </row>
    <row r="2294" spans="1:11" x14ac:dyDescent="0.3">
      <c r="A2294" s="1">
        <v>2293</v>
      </c>
      <c r="B2294" s="1" t="s">
        <v>6933</v>
      </c>
      <c r="C2294" s="1" t="s">
        <v>6934</v>
      </c>
      <c r="G2294" s="1">
        <v>1</v>
      </c>
      <c r="H2294" s="7">
        <v>45560</v>
      </c>
      <c r="I2294" s="1" t="s">
        <v>7455</v>
      </c>
      <c r="J2294" s="7">
        <v>45560</v>
      </c>
      <c r="K2294" s="1" t="s">
        <v>7455</v>
      </c>
    </row>
    <row r="2295" spans="1:11" x14ac:dyDescent="0.3">
      <c r="A2295" s="1">
        <v>2294</v>
      </c>
      <c r="B2295" s="1" t="s">
        <v>6935</v>
      </c>
      <c r="C2295" s="1" t="s">
        <v>6936</v>
      </c>
      <c r="G2295" s="1">
        <v>1</v>
      </c>
      <c r="H2295" s="7">
        <v>45560</v>
      </c>
      <c r="I2295" s="1" t="s">
        <v>7455</v>
      </c>
      <c r="J2295" s="7">
        <v>45560</v>
      </c>
      <c r="K2295" s="1" t="s">
        <v>7455</v>
      </c>
    </row>
    <row r="2296" spans="1:11" x14ac:dyDescent="0.3">
      <c r="A2296" s="1">
        <v>2295</v>
      </c>
      <c r="B2296" s="1" t="s">
        <v>6937</v>
      </c>
      <c r="C2296" s="1" t="s">
        <v>6938</v>
      </c>
      <c r="G2296" s="1">
        <v>1</v>
      </c>
      <c r="H2296" s="7">
        <v>45560</v>
      </c>
      <c r="I2296" s="1" t="s">
        <v>7455</v>
      </c>
      <c r="J2296" s="7">
        <v>45560</v>
      </c>
      <c r="K2296" s="1" t="s">
        <v>7455</v>
      </c>
    </row>
    <row r="2297" spans="1:11" x14ac:dyDescent="0.3">
      <c r="A2297" s="1">
        <v>2296</v>
      </c>
      <c r="B2297" s="1" t="s">
        <v>6939</v>
      </c>
      <c r="C2297" s="1" t="s">
        <v>6940</v>
      </c>
      <c r="D2297" s="1" t="s">
        <v>6941</v>
      </c>
      <c r="G2297" s="1">
        <v>1</v>
      </c>
      <c r="H2297" s="7">
        <v>45560</v>
      </c>
      <c r="I2297" s="1" t="s">
        <v>7455</v>
      </c>
      <c r="J2297" s="7">
        <v>45560</v>
      </c>
      <c r="K2297" s="1" t="s">
        <v>7455</v>
      </c>
    </row>
    <row r="2298" spans="1:11" x14ac:dyDescent="0.3">
      <c r="A2298" s="1">
        <v>2297</v>
      </c>
      <c r="B2298" s="1" t="s">
        <v>6942</v>
      </c>
      <c r="C2298" s="1" t="s">
        <v>6943</v>
      </c>
      <c r="G2298" s="1">
        <v>1</v>
      </c>
      <c r="H2298" s="7">
        <v>45560</v>
      </c>
      <c r="I2298" s="1" t="s">
        <v>7455</v>
      </c>
      <c r="J2298" s="7">
        <v>45560</v>
      </c>
      <c r="K2298" s="1" t="s">
        <v>7455</v>
      </c>
    </row>
    <row r="2299" spans="1:11" x14ac:dyDescent="0.3">
      <c r="A2299" s="1">
        <v>2298</v>
      </c>
      <c r="B2299" s="1" t="s">
        <v>6944</v>
      </c>
      <c r="C2299" s="1" t="s">
        <v>6945</v>
      </c>
      <c r="G2299" s="1">
        <v>1</v>
      </c>
      <c r="H2299" s="7">
        <v>45560</v>
      </c>
      <c r="I2299" s="1" t="s">
        <v>7455</v>
      </c>
      <c r="J2299" s="7">
        <v>45560</v>
      </c>
      <c r="K2299" s="1" t="s">
        <v>7455</v>
      </c>
    </row>
    <row r="2300" spans="1:11" x14ac:dyDescent="0.3">
      <c r="A2300" s="1">
        <v>2299</v>
      </c>
      <c r="B2300" s="1" t="s">
        <v>6946</v>
      </c>
      <c r="C2300" s="1" t="s">
        <v>6947</v>
      </c>
      <c r="D2300" s="1" t="s">
        <v>6948</v>
      </c>
      <c r="G2300" s="1">
        <v>1</v>
      </c>
      <c r="H2300" s="7">
        <v>45560</v>
      </c>
      <c r="I2300" s="1" t="s">
        <v>7455</v>
      </c>
      <c r="J2300" s="7">
        <v>45560</v>
      </c>
      <c r="K2300" s="1" t="s">
        <v>7455</v>
      </c>
    </row>
    <row r="2301" spans="1:11" x14ac:dyDescent="0.3">
      <c r="A2301" s="1">
        <v>2300</v>
      </c>
      <c r="B2301" s="1" t="s">
        <v>6949</v>
      </c>
      <c r="C2301" s="1" t="s">
        <v>6950</v>
      </c>
      <c r="G2301" s="1">
        <v>1</v>
      </c>
      <c r="H2301" s="7">
        <v>45560</v>
      </c>
      <c r="I2301" s="1" t="s">
        <v>7455</v>
      </c>
      <c r="J2301" s="7">
        <v>45560</v>
      </c>
      <c r="K2301" s="1" t="s">
        <v>7455</v>
      </c>
    </row>
    <row r="2302" spans="1:11" x14ac:dyDescent="0.3">
      <c r="A2302" s="1">
        <v>2301</v>
      </c>
      <c r="B2302" s="1" t="s">
        <v>6951</v>
      </c>
      <c r="C2302" s="1" t="s">
        <v>6952</v>
      </c>
      <c r="G2302" s="1">
        <v>1</v>
      </c>
      <c r="H2302" s="7">
        <v>45560</v>
      </c>
      <c r="I2302" s="1" t="s">
        <v>7455</v>
      </c>
      <c r="J2302" s="7">
        <v>45560</v>
      </c>
      <c r="K2302" s="1" t="s">
        <v>7455</v>
      </c>
    </row>
    <row r="2303" spans="1:11" x14ac:dyDescent="0.3">
      <c r="A2303" s="1">
        <v>2302</v>
      </c>
      <c r="B2303" s="1" t="s">
        <v>6953</v>
      </c>
      <c r="C2303" s="1" t="s">
        <v>6954</v>
      </c>
      <c r="G2303" s="1">
        <v>1</v>
      </c>
      <c r="H2303" s="7">
        <v>45560</v>
      </c>
      <c r="I2303" s="1" t="s">
        <v>7455</v>
      </c>
      <c r="J2303" s="7">
        <v>45560</v>
      </c>
      <c r="K2303" s="1" t="s">
        <v>7455</v>
      </c>
    </row>
    <row r="2304" spans="1:11" x14ac:dyDescent="0.3">
      <c r="A2304" s="1">
        <v>2303</v>
      </c>
      <c r="B2304" s="1" t="s">
        <v>6955</v>
      </c>
      <c r="C2304" s="1" t="s">
        <v>6956</v>
      </c>
      <c r="D2304" s="1" t="s">
        <v>6957</v>
      </c>
      <c r="G2304" s="1">
        <v>1</v>
      </c>
      <c r="H2304" s="7">
        <v>45560</v>
      </c>
      <c r="I2304" s="1" t="s">
        <v>7455</v>
      </c>
      <c r="J2304" s="7">
        <v>45560</v>
      </c>
      <c r="K2304" s="1" t="s">
        <v>7455</v>
      </c>
    </row>
    <row r="2305" spans="1:11" x14ac:dyDescent="0.3">
      <c r="A2305" s="1">
        <v>2304</v>
      </c>
      <c r="B2305" s="1" t="s">
        <v>6958</v>
      </c>
      <c r="C2305" s="1" t="s">
        <v>6959</v>
      </c>
      <c r="D2305" s="1" t="s">
        <v>6960</v>
      </c>
      <c r="G2305" s="1">
        <v>1</v>
      </c>
      <c r="H2305" s="7">
        <v>45560</v>
      </c>
      <c r="I2305" s="1" t="s">
        <v>7455</v>
      </c>
      <c r="J2305" s="7">
        <v>45560</v>
      </c>
      <c r="K2305" s="1" t="s">
        <v>7455</v>
      </c>
    </row>
    <row r="2306" spans="1:11" x14ac:dyDescent="0.3">
      <c r="A2306" s="1">
        <v>2305</v>
      </c>
      <c r="B2306" s="1" t="s">
        <v>6961</v>
      </c>
      <c r="C2306" s="1" t="s">
        <v>6962</v>
      </c>
      <c r="G2306" s="1">
        <v>1</v>
      </c>
      <c r="H2306" s="7">
        <v>45560</v>
      </c>
      <c r="I2306" s="1" t="s">
        <v>7455</v>
      </c>
      <c r="J2306" s="7">
        <v>45560</v>
      </c>
      <c r="K2306" s="1" t="s">
        <v>7455</v>
      </c>
    </row>
    <row r="2307" spans="1:11" x14ac:dyDescent="0.3">
      <c r="A2307" s="1">
        <v>2306</v>
      </c>
      <c r="B2307" s="1" t="s">
        <v>6963</v>
      </c>
      <c r="C2307" s="1" t="s">
        <v>6964</v>
      </c>
      <c r="G2307" s="1">
        <v>1</v>
      </c>
      <c r="H2307" s="7">
        <v>45560</v>
      </c>
      <c r="I2307" s="1" t="s">
        <v>7455</v>
      </c>
      <c r="J2307" s="7">
        <v>45560</v>
      </c>
      <c r="K2307" s="1" t="s">
        <v>7455</v>
      </c>
    </row>
    <row r="2308" spans="1:11" x14ac:dyDescent="0.3">
      <c r="A2308" s="1">
        <v>2307</v>
      </c>
      <c r="B2308" s="1" t="s">
        <v>6965</v>
      </c>
      <c r="C2308" s="1" t="s">
        <v>6966</v>
      </c>
      <c r="G2308" s="1">
        <v>1</v>
      </c>
      <c r="H2308" s="7">
        <v>45560</v>
      </c>
      <c r="I2308" s="1" t="s">
        <v>7455</v>
      </c>
      <c r="J2308" s="7">
        <v>45560</v>
      </c>
      <c r="K2308" s="1" t="s">
        <v>7455</v>
      </c>
    </row>
    <row r="2309" spans="1:11" x14ac:dyDescent="0.3">
      <c r="A2309" s="1">
        <v>2308</v>
      </c>
      <c r="B2309" s="1" t="s">
        <v>6967</v>
      </c>
      <c r="C2309" s="1" t="s">
        <v>6968</v>
      </c>
      <c r="D2309" s="1" t="s">
        <v>6969</v>
      </c>
      <c r="G2309" s="1">
        <v>1</v>
      </c>
      <c r="H2309" s="7">
        <v>45560</v>
      </c>
      <c r="I2309" s="1" t="s">
        <v>7455</v>
      </c>
      <c r="J2309" s="7">
        <v>45560</v>
      </c>
      <c r="K2309" s="1" t="s">
        <v>7455</v>
      </c>
    </row>
    <row r="2310" spans="1:11" x14ac:dyDescent="0.3">
      <c r="A2310" s="1">
        <v>2309</v>
      </c>
      <c r="B2310" s="1" t="s">
        <v>6970</v>
      </c>
      <c r="C2310" s="1" t="s">
        <v>6971</v>
      </c>
      <c r="G2310" s="1">
        <v>1</v>
      </c>
      <c r="H2310" s="7">
        <v>45560</v>
      </c>
      <c r="I2310" s="1" t="s">
        <v>7455</v>
      </c>
      <c r="J2310" s="7">
        <v>45560</v>
      </c>
      <c r="K2310" s="1" t="s">
        <v>7455</v>
      </c>
    </row>
    <row r="2311" spans="1:11" x14ac:dyDescent="0.3">
      <c r="A2311" s="1">
        <v>2310</v>
      </c>
      <c r="B2311" s="1" t="s">
        <v>6972</v>
      </c>
      <c r="C2311" s="1" t="s">
        <v>6973</v>
      </c>
      <c r="G2311" s="1">
        <v>1</v>
      </c>
      <c r="H2311" s="7">
        <v>45560</v>
      </c>
      <c r="I2311" s="1" t="s">
        <v>7455</v>
      </c>
      <c r="J2311" s="7">
        <v>45560</v>
      </c>
      <c r="K2311" s="1" t="s">
        <v>7455</v>
      </c>
    </row>
    <row r="2312" spans="1:11" x14ac:dyDescent="0.3">
      <c r="A2312" s="1">
        <v>2311</v>
      </c>
      <c r="B2312" s="1" t="s">
        <v>6974</v>
      </c>
      <c r="C2312" s="1" t="s">
        <v>6975</v>
      </c>
      <c r="D2312" s="1" t="s">
        <v>6976</v>
      </c>
      <c r="G2312" s="1">
        <v>1</v>
      </c>
      <c r="H2312" s="7">
        <v>45560</v>
      </c>
      <c r="I2312" s="1" t="s">
        <v>7455</v>
      </c>
      <c r="J2312" s="7">
        <v>45560</v>
      </c>
      <c r="K2312" s="1" t="s">
        <v>7455</v>
      </c>
    </row>
    <row r="2313" spans="1:11" x14ac:dyDescent="0.3">
      <c r="A2313" s="1">
        <v>2312</v>
      </c>
      <c r="B2313" s="1" t="s">
        <v>6977</v>
      </c>
      <c r="C2313" s="1" t="s">
        <v>6978</v>
      </c>
      <c r="G2313" s="1">
        <v>1</v>
      </c>
      <c r="H2313" s="7">
        <v>45560</v>
      </c>
      <c r="I2313" s="1" t="s">
        <v>7455</v>
      </c>
      <c r="J2313" s="7">
        <v>45560</v>
      </c>
      <c r="K2313" s="1" t="s">
        <v>7455</v>
      </c>
    </row>
    <row r="2314" spans="1:11" x14ac:dyDescent="0.3">
      <c r="A2314" s="1">
        <v>2313</v>
      </c>
      <c r="B2314" s="1" t="s">
        <v>6979</v>
      </c>
      <c r="C2314" s="1" t="s">
        <v>6980</v>
      </c>
      <c r="D2314" s="1" t="s">
        <v>6981</v>
      </c>
      <c r="G2314" s="1">
        <v>1</v>
      </c>
      <c r="H2314" s="7">
        <v>45560</v>
      </c>
      <c r="I2314" s="1" t="s">
        <v>7455</v>
      </c>
      <c r="J2314" s="7">
        <v>45560</v>
      </c>
      <c r="K2314" s="1" t="s">
        <v>7455</v>
      </c>
    </row>
    <row r="2315" spans="1:11" x14ac:dyDescent="0.3">
      <c r="A2315" s="1">
        <v>2314</v>
      </c>
      <c r="B2315" s="1" t="s">
        <v>6982</v>
      </c>
      <c r="C2315" s="1" t="s">
        <v>6983</v>
      </c>
      <c r="D2315" s="1" t="s">
        <v>6984</v>
      </c>
      <c r="G2315" s="1">
        <v>1</v>
      </c>
      <c r="H2315" s="7">
        <v>45560</v>
      </c>
      <c r="I2315" s="1" t="s">
        <v>7455</v>
      </c>
      <c r="J2315" s="7">
        <v>45560</v>
      </c>
      <c r="K2315" s="1" t="s">
        <v>7455</v>
      </c>
    </row>
    <row r="2316" spans="1:11" x14ac:dyDescent="0.3">
      <c r="A2316" s="1">
        <v>2315</v>
      </c>
      <c r="B2316" s="1" t="s">
        <v>6985</v>
      </c>
      <c r="C2316" s="1" t="s">
        <v>6986</v>
      </c>
      <c r="G2316" s="1">
        <v>1</v>
      </c>
      <c r="H2316" s="7">
        <v>45560</v>
      </c>
      <c r="I2316" s="1" t="s">
        <v>7455</v>
      </c>
      <c r="J2316" s="7">
        <v>45560</v>
      </c>
      <c r="K2316" s="1" t="s">
        <v>7455</v>
      </c>
    </row>
    <row r="2317" spans="1:11" x14ac:dyDescent="0.3">
      <c r="A2317" s="1">
        <v>2316</v>
      </c>
      <c r="B2317" s="1" t="s">
        <v>6987</v>
      </c>
      <c r="C2317" s="1" t="s">
        <v>6988</v>
      </c>
      <c r="G2317" s="1">
        <v>1</v>
      </c>
      <c r="H2317" s="7">
        <v>45560</v>
      </c>
      <c r="I2317" s="1" t="s">
        <v>7455</v>
      </c>
      <c r="J2317" s="7">
        <v>45560</v>
      </c>
      <c r="K2317" s="1" t="s">
        <v>7455</v>
      </c>
    </row>
    <row r="2318" spans="1:11" x14ac:dyDescent="0.3">
      <c r="A2318" s="1">
        <v>2317</v>
      </c>
      <c r="B2318" s="1" t="s">
        <v>6989</v>
      </c>
      <c r="C2318" s="1" t="s">
        <v>6990</v>
      </c>
      <c r="G2318" s="1">
        <v>1</v>
      </c>
      <c r="H2318" s="7">
        <v>45560</v>
      </c>
      <c r="I2318" s="1" t="s">
        <v>7455</v>
      </c>
      <c r="J2318" s="7">
        <v>45560</v>
      </c>
      <c r="K2318" s="1" t="s">
        <v>7455</v>
      </c>
    </row>
    <row r="2319" spans="1:11" x14ac:dyDescent="0.3">
      <c r="A2319" s="1">
        <v>2318</v>
      </c>
      <c r="B2319" s="1" t="s">
        <v>6991</v>
      </c>
      <c r="C2319" s="1" t="s">
        <v>6992</v>
      </c>
      <c r="D2319" s="1" t="s">
        <v>6993</v>
      </c>
      <c r="G2319" s="1">
        <v>1</v>
      </c>
      <c r="H2319" s="7">
        <v>45560</v>
      </c>
      <c r="I2319" s="1" t="s">
        <v>7455</v>
      </c>
      <c r="J2319" s="7">
        <v>45560</v>
      </c>
      <c r="K2319" s="1" t="s">
        <v>7455</v>
      </c>
    </row>
    <row r="2320" spans="1:11" x14ac:dyDescent="0.3">
      <c r="A2320" s="1">
        <v>2319</v>
      </c>
      <c r="B2320" s="1" t="s">
        <v>6994</v>
      </c>
      <c r="C2320" s="1" t="s">
        <v>6995</v>
      </c>
      <c r="G2320" s="1">
        <v>1</v>
      </c>
      <c r="H2320" s="7">
        <v>45560</v>
      </c>
      <c r="I2320" s="1" t="s">
        <v>7455</v>
      </c>
      <c r="J2320" s="7">
        <v>45560</v>
      </c>
      <c r="K2320" s="1" t="s">
        <v>7455</v>
      </c>
    </row>
    <row r="2321" spans="1:11" x14ac:dyDescent="0.3">
      <c r="A2321" s="1">
        <v>2320</v>
      </c>
      <c r="B2321" s="1" t="s">
        <v>6996</v>
      </c>
      <c r="C2321" s="1" t="s">
        <v>6997</v>
      </c>
      <c r="G2321" s="1">
        <v>1</v>
      </c>
      <c r="H2321" s="7">
        <v>45560</v>
      </c>
      <c r="I2321" s="1" t="s">
        <v>7455</v>
      </c>
      <c r="J2321" s="7">
        <v>45560</v>
      </c>
      <c r="K2321" s="1" t="s">
        <v>7455</v>
      </c>
    </row>
    <row r="2322" spans="1:11" x14ac:dyDescent="0.3">
      <c r="A2322" s="1">
        <v>2321</v>
      </c>
      <c r="B2322" s="1" t="s">
        <v>6998</v>
      </c>
      <c r="C2322" s="1" t="s">
        <v>6999</v>
      </c>
      <c r="G2322" s="1">
        <v>1</v>
      </c>
      <c r="H2322" s="7">
        <v>45560</v>
      </c>
      <c r="I2322" s="1" t="s">
        <v>7455</v>
      </c>
      <c r="J2322" s="7">
        <v>45560</v>
      </c>
      <c r="K2322" s="1" t="s">
        <v>7455</v>
      </c>
    </row>
    <row r="2323" spans="1:11" x14ac:dyDescent="0.3">
      <c r="A2323" s="1">
        <v>2322</v>
      </c>
      <c r="B2323" s="1" t="s">
        <v>7000</v>
      </c>
      <c r="C2323" s="1" t="s">
        <v>7001</v>
      </c>
      <c r="D2323" s="1" t="s">
        <v>7002</v>
      </c>
      <c r="G2323" s="1">
        <v>1</v>
      </c>
      <c r="H2323" s="7">
        <v>45560</v>
      </c>
      <c r="I2323" s="1" t="s">
        <v>7455</v>
      </c>
      <c r="J2323" s="7">
        <v>45560</v>
      </c>
      <c r="K2323" s="1" t="s">
        <v>7455</v>
      </c>
    </row>
    <row r="2324" spans="1:11" x14ac:dyDescent="0.3">
      <c r="A2324" s="1">
        <v>2323</v>
      </c>
      <c r="B2324" s="1" t="s">
        <v>7003</v>
      </c>
      <c r="C2324" s="1" t="s">
        <v>7004</v>
      </c>
      <c r="G2324" s="1">
        <v>1</v>
      </c>
      <c r="H2324" s="7">
        <v>45560</v>
      </c>
      <c r="I2324" s="1" t="s">
        <v>7455</v>
      </c>
      <c r="J2324" s="7">
        <v>45560</v>
      </c>
      <c r="K2324" s="1" t="s">
        <v>7455</v>
      </c>
    </row>
    <row r="2325" spans="1:11" x14ac:dyDescent="0.3">
      <c r="A2325" s="1">
        <v>2324</v>
      </c>
      <c r="B2325" s="1" t="s">
        <v>7005</v>
      </c>
      <c r="C2325" s="1" t="s">
        <v>7006</v>
      </c>
      <c r="D2325" s="1" t="s">
        <v>7007</v>
      </c>
      <c r="G2325" s="1">
        <v>1</v>
      </c>
      <c r="H2325" s="7">
        <v>45560</v>
      </c>
      <c r="I2325" s="1" t="s">
        <v>7455</v>
      </c>
      <c r="J2325" s="7">
        <v>45560</v>
      </c>
      <c r="K2325" s="1" t="s">
        <v>7455</v>
      </c>
    </row>
    <row r="2326" spans="1:11" x14ac:dyDescent="0.3">
      <c r="A2326" s="1">
        <v>2325</v>
      </c>
      <c r="B2326" s="1" t="s">
        <v>7008</v>
      </c>
      <c r="C2326" s="1" t="s">
        <v>7009</v>
      </c>
      <c r="G2326" s="1">
        <v>1</v>
      </c>
      <c r="H2326" s="7">
        <v>45560</v>
      </c>
      <c r="I2326" s="1" t="s">
        <v>7455</v>
      </c>
      <c r="J2326" s="7">
        <v>45560</v>
      </c>
      <c r="K2326" s="1" t="s">
        <v>7455</v>
      </c>
    </row>
    <row r="2327" spans="1:11" x14ac:dyDescent="0.3">
      <c r="A2327" s="1">
        <v>2326</v>
      </c>
      <c r="B2327" s="1" t="s">
        <v>7010</v>
      </c>
      <c r="C2327" s="1" t="s">
        <v>7011</v>
      </c>
      <c r="G2327" s="1">
        <v>1</v>
      </c>
      <c r="H2327" s="7">
        <v>45560</v>
      </c>
      <c r="I2327" s="1" t="s">
        <v>7455</v>
      </c>
      <c r="J2327" s="7">
        <v>45560</v>
      </c>
      <c r="K2327" s="1" t="s">
        <v>7455</v>
      </c>
    </row>
    <row r="2328" spans="1:11" x14ac:dyDescent="0.3">
      <c r="A2328" s="1">
        <v>2327</v>
      </c>
      <c r="B2328" s="1" t="s">
        <v>7012</v>
      </c>
      <c r="C2328" s="1" t="s">
        <v>7013</v>
      </c>
      <c r="G2328" s="1">
        <v>1</v>
      </c>
      <c r="H2328" s="7">
        <v>45560</v>
      </c>
      <c r="I2328" s="1" t="s">
        <v>7455</v>
      </c>
      <c r="J2328" s="7">
        <v>45560</v>
      </c>
      <c r="K2328" s="1" t="s">
        <v>7455</v>
      </c>
    </row>
    <row r="2329" spans="1:11" x14ac:dyDescent="0.3">
      <c r="A2329" s="1">
        <v>2328</v>
      </c>
      <c r="B2329" s="1" t="s">
        <v>7014</v>
      </c>
      <c r="C2329" s="1" t="s">
        <v>7015</v>
      </c>
      <c r="G2329" s="1">
        <v>1</v>
      </c>
      <c r="H2329" s="7">
        <v>45560</v>
      </c>
      <c r="I2329" s="1" t="s">
        <v>7455</v>
      </c>
      <c r="J2329" s="7">
        <v>45560</v>
      </c>
      <c r="K2329" s="1" t="s">
        <v>7455</v>
      </c>
    </row>
    <row r="2330" spans="1:11" x14ac:dyDescent="0.3">
      <c r="A2330" s="1">
        <v>2329</v>
      </c>
      <c r="B2330" s="1" t="s">
        <v>7016</v>
      </c>
      <c r="C2330" s="1" t="s">
        <v>7017</v>
      </c>
      <c r="D2330" s="1" t="s">
        <v>7018</v>
      </c>
      <c r="G2330" s="1">
        <v>1</v>
      </c>
      <c r="H2330" s="7">
        <v>45560</v>
      </c>
      <c r="I2330" s="1" t="s">
        <v>7455</v>
      </c>
      <c r="J2330" s="7">
        <v>45560</v>
      </c>
      <c r="K2330" s="1" t="s">
        <v>7455</v>
      </c>
    </row>
    <row r="2331" spans="1:11" x14ac:dyDescent="0.3">
      <c r="A2331" s="1">
        <v>2330</v>
      </c>
      <c r="B2331" s="1" t="s">
        <v>7019</v>
      </c>
      <c r="C2331" s="1" t="s">
        <v>7020</v>
      </c>
      <c r="G2331" s="1">
        <v>1</v>
      </c>
      <c r="H2331" s="7">
        <v>45560</v>
      </c>
      <c r="I2331" s="1" t="s">
        <v>7455</v>
      </c>
      <c r="J2331" s="7">
        <v>45560</v>
      </c>
      <c r="K2331" s="1" t="s">
        <v>7455</v>
      </c>
    </row>
    <row r="2332" spans="1:11" x14ac:dyDescent="0.3">
      <c r="A2332" s="1">
        <v>2331</v>
      </c>
      <c r="B2332" s="1" t="s">
        <v>7021</v>
      </c>
      <c r="C2332" s="1" t="s">
        <v>7022</v>
      </c>
      <c r="D2332" s="1" t="s">
        <v>7023</v>
      </c>
      <c r="G2332" s="1">
        <v>1</v>
      </c>
      <c r="H2332" s="7">
        <v>45560</v>
      </c>
      <c r="I2332" s="1" t="s">
        <v>7455</v>
      </c>
      <c r="J2332" s="7">
        <v>45560</v>
      </c>
      <c r="K2332" s="1" t="s">
        <v>7455</v>
      </c>
    </row>
    <row r="2333" spans="1:11" x14ac:dyDescent="0.3">
      <c r="A2333" s="1">
        <v>2332</v>
      </c>
      <c r="B2333" s="1" t="s">
        <v>7024</v>
      </c>
      <c r="C2333" s="1" t="s">
        <v>7025</v>
      </c>
      <c r="G2333" s="1">
        <v>1</v>
      </c>
      <c r="H2333" s="7">
        <v>45560</v>
      </c>
      <c r="I2333" s="1" t="s">
        <v>7455</v>
      </c>
      <c r="J2333" s="7">
        <v>45560</v>
      </c>
      <c r="K2333" s="1" t="s">
        <v>7455</v>
      </c>
    </row>
    <row r="2334" spans="1:11" x14ac:dyDescent="0.3">
      <c r="A2334" s="1">
        <v>2333</v>
      </c>
      <c r="B2334" s="1" t="s">
        <v>7026</v>
      </c>
      <c r="C2334" s="1" t="s">
        <v>7027</v>
      </c>
      <c r="G2334" s="1">
        <v>1</v>
      </c>
      <c r="H2334" s="7">
        <v>45560</v>
      </c>
      <c r="I2334" s="1" t="s">
        <v>7455</v>
      </c>
      <c r="J2334" s="7">
        <v>45560</v>
      </c>
      <c r="K2334" s="1" t="s">
        <v>7455</v>
      </c>
    </row>
    <row r="2335" spans="1:11" x14ac:dyDescent="0.3">
      <c r="A2335" s="1">
        <v>2334</v>
      </c>
      <c r="B2335" s="1" t="s">
        <v>7028</v>
      </c>
      <c r="C2335" s="1" t="s">
        <v>7029</v>
      </c>
      <c r="G2335" s="1">
        <v>1</v>
      </c>
      <c r="H2335" s="7">
        <v>45560</v>
      </c>
      <c r="I2335" s="1" t="s">
        <v>7455</v>
      </c>
      <c r="J2335" s="7">
        <v>45560</v>
      </c>
      <c r="K2335" s="1" t="s">
        <v>7455</v>
      </c>
    </row>
    <row r="2336" spans="1:11" x14ac:dyDescent="0.3">
      <c r="A2336" s="1">
        <v>2335</v>
      </c>
      <c r="B2336" s="1" t="s">
        <v>7030</v>
      </c>
      <c r="C2336" s="1" t="s">
        <v>7031</v>
      </c>
      <c r="G2336" s="1">
        <v>1</v>
      </c>
      <c r="H2336" s="7">
        <v>45560</v>
      </c>
      <c r="I2336" s="1" t="s">
        <v>7455</v>
      </c>
      <c r="J2336" s="7">
        <v>45560</v>
      </c>
      <c r="K2336" s="1" t="s">
        <v>7455</v>
      </c>
    </row>
    <row r="2337" spans="1:11" x14ac:dyDescent="0.3">
      <c r="A2337" s="1">
        <v>2336</v>
      </c>
      <c r="B2337" s="1" t="s">
        <v>7032</v>
      </c>
      <c r="C2337" s="1" t="s">
        <v>7033</v>
      </c>
      <c r="G2337" s="1">
        <v>1</v>
      </c>
      <c r="H2337" s="7">
        <v>45560</v>
      </c>
      <c r="I2337" s="1" t="s">
        <v>7455</v>
      </c>
      <c r="J2337" s="7">
        <v>45560</v>
      </c>
      <c r="K2337" s="1" t="s">
        <v>7455</v>
      </c>
    </row>
    <row r="2338" spans="1:11" x14ac:dyDescent="0.3">
      <c r="A2338" s="1">
        <v>2337</v>
      </c>
      <c r="B2338" s="1" t="s">
        <v>7034</v>
      </c>
      <c r="C2338" s="1" t="s">
        <v>7035</v>
      </c>
      <c r="G2338" s="1">
        <v>1</v>
      </c>
      <c r="H2338" s="7">
        <v>45560</v>
      </c>
      <c r="I2338" s="1" t="s">
        <v>7455</v>
      </c>
      <c r="J2338" s="7">
        <v>45560</v>
      </c>
      <c r="K2338" s="1" t="s">
        <v>7455</v>
      </c>
    </row>
    <row r="2339" spans="1:11" x14ac:dyDescent="0.3">
      <c r="A2339" s="1">
        <v>2338</v>
      </c>
      <c r="B2339" s="1" t="s">
        <v>7036</v>
      </c>
      <c r="C2339" s="1" t="s">
        <v>7037</v>
      </c>
      <c r="G2339" s="1">
        <v>1</v>
      </c>
      <c r="H2339" s="7">
        <v>45560</v>
      </c>
      <c r="I2339" s="1" t="s">
        <v>7455</v>
      </c>
      <c r="J2339" s="7">
        <v>45560</v>
      </c>
      <c r="K2339" s="1" t="s">
        <v>7455</v>
      </c>
    </row>
    <row r="2340" spans="1:11" x14ac:dyDescent="0.3">
      <c r="A2340" s="1">
        <v>2339</v>
      </c>
      <c r="B2340" s="1" t="s">
        <v>7038</v>
      </c>
      <c r="C2340" s="1" t="s">
        <v>7039</v>
      </c>
      <c r="G2340" s="1">
        <v>1</v>
      </c>
      <c r="H2340" s="7">
        <v>45560</v>
      </c>
      <c r="I2340" s="1" t="s">
        <v>7455</v>
      </c>
      <c r="J2340" s="7">
        <v>45560</v>
      </c>
      <c r="K2340" s="1" t="s">
        <v>7455</v>
      </c>
    </row>
    <row r="2341" spans="1:11" x14ac:dyDescent="0.3">
      <c r="A2341" s="1">
        <v>2340</v>
      </c>
      <c r="B2341" s="1" t="s">
        <v>7040</v>
      </c>
      <c r="C2341" s="1" t="s">
        <v>7041</v>
      </c>
      <c r="G2341" s="1">
        <v>1</v>
      </c>
      <c r="H2341" s="7">
        <v>45560</v>
      </c>
      <c r="I2341" s="1" t="s">
        <v>7455</v>
      </c>
      <c r="J2341" s="7">
        <v>45560</v>
      </c>
      <c r="K2341" s="1" t="s">
        <v>7455</v>
      </c>
    </row>
    <row r="2342" spans="1:11" x14ac:dyDescent="0.3">
      <c r="A2342" s="1">
        <v>2341</v>
      </c>
      <c r="B2342" s="1" t="s">
        <v>7042</v>
      </c>
      <c r="C2342" s="1" t="s">
        <v>7043</v>
      </c>
      <c r="G2342" s="1">
        <v>1</v>
      </c>
      <c r="H2342" s="7">
        <v>45560</v>
      </c>
      <c r="I2342" s="1" t="s">
        <v>7455</v>
      </c>
      <c r="J2342" s="7">
        <v>45560</v>
      </c>
      <c r="K2342" s="1" t="s">
        <v>7455</v>
      </c>
    </row>
    <row r="2343" spans="1:11" x14ac:dyDescent="0.3">
      <c r="A2343" s="1">
        <v>2342</v>
      </c>
      <c r="B2343" s="1" t="s">
        <v>7044</v>
      </c>
      <c r="C2343" s="1" t="s">
        <v>7045</v>
      </c>
      <c r="G2343" s="1">
        <v>1</v>
      </c>
      <c r="H2343" s="7">
        <v>45560</v>
      </c>
      <c r="I2343" s="1" t="s">
        <v>7455</v>
      </c>
      <c r="J2343" s="7">
        <v>45560</v>
      </c>
      <c r="K2343" s="1" t="s">
        <v>7455</v>
      </c>
    </row>
    <row r="2344" spans="1:11" x14ac:dyDescent="0.3">
      <c r="A2344" s="1">
        <v>2343</v>
      </c>
      <c r="B2344" s="1" t="s">
        <v>7046</v>
      </c>
      <c r="C2344" s="1" t="s">
        <v>7047</v>
      </c>
      <c r="G2344" s="1">
        <v>1</v>
      </c>
      <c r="H2344" s="7">
        <v>45560</v>
      </c>
      <c r="I2344" s="1" t="s">
        <v>7455</v>
      </c>
      <c r="J2344" s="7">
        <v>45560</v>
      </c>
      <c r="K2344" s="1" t="s">
        <v>7455</v>
      </c>
    </row>
    <row r="2345" spans="1:11" x14ac:dyDescent="0.3">
      <c r="A2345" s="1">
        <v>2344</v>
      </c>
      <c r="B2345" s="1" t="s">
        <v>7048</v>
      </c>
      <c r="C2345" s="1" t="s">
        <v>7049</v>
      </c>
      <c r="G2345" s="1">
        <v>1</v>
      </c>
      <c r="H2345" s="7">
        <v>45560</v>
      </c>
      <c r="I2345" s="1" t="s">
        <v>7455</v>
      </c>
      <c r="J2345" s="7">
        <v>45560</v>
      </c>
      <c r="K2345" s="1" t="s">
        <v>7455</v>
      </c>
    </row>
    <row r="2346" spans="1:11" x14ac:dyDescent="0.3">
      <c r="A2346" s="1">
        <v>2345</v>
      </c>
      <c r="B2346" s="1" t="s">
        <v>7050</v>
      </c>
      <c r="C2346" s="1" t="s">
        <v>7051</v>
      </c>
      <c r="G2346" s="1">
        <v>1</v>
      </c>
      <c r="H2346" s="7">
        <v>45560</v>
      </c>
      <c r="I2346" s="1" t="s">
        <v>7455</v>
      </c>
      <c r="J2346" s="7">
        <v>45560</v>
      </c>
      <c r="K2346" s="1" t="s">
        <v>7455</v>
      </c>
    </row>
    <row r="2347" spans="1:11" x14ac:dyDescent="0.3">
      <c r="A2347" s="1">
        <v>2346</v>
      </c>
      <c r="B2347" s="1" t="s">
        <v>7052</v>
      </c>
      <c r="C2347" s="1" t="s">
        <v>7053</v>
      </c>
      <c r="G2347" s="1">
        <v>1</v>
      </c>
      <c r="H2347" s="7">
        <v>45560</v>
      </c>
      <c r="I2347" s="1" t="s">
        <v>7455</v>
      </c>
      <c r="J2347" s="7">
        <v>45560</v>
      </c>
      <c r="K2347" s="1" t="s">
        <v>7455</v>
      </c>
    </row>
    <row r="2348" spans="1:11" x14ac:dyDescent="0.3">
      <c r="A2348" s="1">
        <v>2347</v>
      </c>
      <c r="B2348" s="1" t="s">
        <v>7054</v>
      </c>
      <c r="C2348" s="1" t="s">
        <v>7055</v>
      </c>
      <c r="G2348" s="1">
        <v>1</v>
      </c>
      <c r="H2348" s="7">
        <v>45560</v>
      </c>
      <c r="I2348" s="1" t="s">
        <v>7455</v>
      </c>
      <c r="J2348" s="7">
        <v>45560</v>
      </c>
      <c r="K2348" s="1" t="s">
        <v>7455</v>
      </c>
    </row>
    <row r="2349" spans="1:11" x14ac:dyDescent="0.3">
      <c r="A2349" s="1">
        <v>2348</v>
      </c>
      <c r="B2349" s="1" t="s">
        <v>7056</v>
      </c>
      <c r="C2349" s="1" t="s">
        <v>7057</v>
      </c>
      <c r="G2349" s="1">
        <v>1</v>
      </c>
      <c r="H2349" s="7">
        <v>45560</v>
      </c>
      <c r="I2349" s="1" t="s">
        <v>7455</v>
      </c>
      <c r="J2349" s="7">
        <v>45560</v>
      </c>
      <c r="K2349" s="1" t="s">
        <v>7455</v>
      </c>
    </row>
    <row r="2350" spans="1:11" x14ac:dyDescent="0.3">
      <c r="A2350" s="1">
        <v>2349</v>
      </c>
      <c r="B2350" s="1" t="s">
        <v>7058</v>
      </c>
      <c r="C2350" s="1" t="s">
        <v>7059</v>
      </c>
      <c r="G2350" s="1">
        <v>1</v>
      </c>
      <c r="H2350" s="7">
        <v>45560</v>
      </c>
      <c r="I2350" s="1" t="s">
        <v>7455</v>
      </c>
      <c r="J2350" s="7">
        <v>45560</v>
      </c>
      <c r="K2350" s="1" t="s">
        <v>7455</v>
      </c>
    </row>
    <row r="2351" spans="1:11" x14ac:dyDescent="0.3">
      <c r="A2351" s="1">
        <v>2350</v>
      </c>
      <c r="B2351" s="1" t="s">
        <v>7060</v>
      </c>
      <c r="C2351" s="1" t="s">
        <v>7061</v>
      </c>
      <c r="G2351" s="1">
        <v>1</v>
      </c>
      <c r="H2351" s="7">
        <v>45560</v>
      </c>
      <c r="I2351" s="1" t="s">
        <v>7455</v>
      </c>
      <c r="J2351" s="7">
        <v>45560</v>
      </c>
      <c r="K2351" s="1" t="s">
        <v>7455</v>
      </c>
    </row>
    <row r="2352" spans="1:11" x14ac:dyDescent="0.3">
      <c r="A2352" s="1">
        <v>2351</v>
      </c>
      <c r="B2352" s="1" t="s">
        <v>7062</v>
      </c>
      <c r="C2352" s="1" t="s">
        <v>7063</v>
      </c>
      <c r="G2352" s="1">
        <v>1</v>
      </c>
      <c r="H2352" s="7">
        <v>45560</v>
      </c>
      <c r="I2352" s="1" t="s">
        <v>7455</v>
      </c>
      <c r="J2352" s="7">
        <v>45560</v>
      </c>
      <c r="K2352" s="1" t="s">
        <v>7455</v>
      </c>
    </row>
    <row r="2353" spans="1:11" x14ac:dyDescent="0.3">
      <c r="A2353" s="1">
        <v>2352</v>
      </c>
      <c r="B2353" s="1" t="s">
        <v>7064</v>
      </c>
      <c r="C2353" s="1" t="s">
        <v>7065</v>
      </c>
      <c r="G2353" s="1">
        <v>1</v>
      </c>
      <c r="H2353" s="7">
        <v>45560</v>
      </c>
      <c r="I2353" s="1" t="s">
        <v>7455</v>
      </c>
      <c r="J2353" s="7">
        <v>45560</v>
      </c>
      <c r="K2353" s="1" t="s">
        <v>7455</v>
      </c>
    </row>
    <row r="2354" spans="1:11" x14ac:dyDescent="0.3">
      <c r="A2354" s="1">
        <v>2353</v>
      </c>
      <c r="B2354" s="1" t="s">
        <v>7066</v>
      </c>
      <c r="C2354" s="1" t="s">
        <v>7067</v>
      </c>
      <c r="G2354" s="1">
        <v>1</v>
      </c>
      <c r="H2354" s="7">
        <v>45560</v>
      </c>
      <c r="I2354" s="1" t="s">
        <v>7455</v>
      </c>
      <c r="J2354" s="7">
        <v>45560</v>
      </c>
      <c r="K2354" s="1" t="s">
        <v>7455</v>
      </c>
    </row>
    <row r="2355" spans="1:11" x14ac:dyDescent="0.3">
      <c r="A2355" s="1">
        <v>2354</v>
      </c>
      <c r="B2355" s="1" t="s">
        <v>7068</v>
      </c>
      <c r="C2355" s="1" t="s">
        <v>7069</v>
      </c>
      <c r="G2355" s="1">
        <v>1</v>
      </c>
      <c r="H2355" s="7">
        <v>45560</v>
      </c>
      <c r="I2355" s="1" t="s">
        <v>7455</v>
      </c>
      <c r="J2355" s="7">
        <v>45560</v>
      </c>
      <c r="K2355" s="1" t="s">
        <v>7455</v>
      </c>
    </row>
    <row r="2356" spans="1:11" x14ac:dyDescent="0.3">
      <c r="A2356" s="1">
        <v>2355</v>
      </c>
      <c r="B2356" s="1" t="s">
        <v>7070</v>
      </c>
      <c r="C2356" s="1" t="s">
        <v>7071</v>
      </c>
      <c r="G2356" s="1">
        <v>1</v>
      </c>
      <c r="H2356" s="7">
        <v>45560</v>
      </c>
      <c r="I2356" s="1" t="s">
        <v>7455</v>
      </c>
      <c r="J2356" s="7">
        <v>45560</v>
      </c>
      <c r="K2356" s="1" t="s">
        <v>7455</v>
      </c>
    </row>
    <row r="2357" spans="1:11" x14ac:dyDescent="0.3">
      <c r="A2357" s="1">
        <v>2356</v>
      </c>
      <c r="B2357" s="1" t="s">
        <v>7072</v>
      </c>
      <c r="C2357" s="1" t="s">
        <v>7073</v>
      </c>
      <c r="G2357" s="1">
        <v>1</v>
      </c>
      <c r="H2357" s="7">
        <v>45560</v>
      </c>
      <c r="I2357" s="1" t="s">
        <v>7455</v>
      </c>
      <c r="J2357" s="7">
        <v>45560</v>
      </c>
      <c r="K2357" s="1" t="s">
        <v>7455</v>
      </c>
    </row>
    <row r="2358" spans="1:11" x14ac:dyDescent="0.3">
      <c r="A2358" s="1">
        <v>2357</v>
      </c>
      <c r="B2358" s="1" t="s">
        <v>7074</v>
      </c>
      <c r="C2358" s="1" t="s">
        <v>7075</v>
      </c>
      <c r="G2358" s="1">
        <v>1</v>
      </c>
      <c r="H2358" s="7">
        <v>45560</v>
      </c>
      <c r="I2358" s="1" t="s">
        <v>7455</v>
      </c>
      <c r="J2358" s="7">
        <v>45560</v>
      </c>
      <c r="K2358" s="1" t="s">
        <v>7455</v>
      </c>
    </row>
    <row r="2359" spans="1:11" x14ac:dyDescent="0.3">
      <c r="A2359" s="1">
        <v>2358</v>
      </c>
      <c r="B2359" s="1" t="s">
        <v>7076</v>
      </c>
      <c r="C2359" s="1" t="s">
        <v>7077</v>
      </c>
      <c r="G2359" s="1">
        <v>1</v>
      </c>
      <c r="H2359" s="7">
        <v>45560</v>
      </c>
      <c r="I2359" s="1" t="s">
        <v>7455</v>
      </c>
      <c r="J2359" s="7">
        <v>45560</v>
      </c>
      <c r="K2359" s="1" t="s">
        <v>7455</v>
      </c>
    </row>
    <row r="2360" spans="1:11" x14ac:dyDescent="0.3">
      <c r="A2360" s="1">
        <v>2359</v>
      </c>
      <c r="B2360" s="1" t="s">
        <v>7078</v>
      </c>
      <c r="C2360" s="1" t="s">
        <v>7079</v>
      </c>
      <c r="G2360" s="1">
        <v>1</v>
      </c>
      <c r="H2360" s="7">
        <v>45560</v>
      </c>
      <c r="I2360" s="1" t="s">
        <v>7455</v>
      </c>
      <c r="J2360" s="7">
        <v>45560</v>
      </c>
      <c r="K2360" s="1" t="s">
        <v>7455</v>
      </c>
    </row>
    <row r="2361" spans="1:11" x14ac:dyDescent="0.3">
      <c r="A2361" s="1">
        <v>2360</v>
      </c>
      <c r="B2361" s="1" t="s">
        <v>7080</v>
      </c>
      <c r="C2361" s="1" t="s">
        <v>7081</v>
      </c>
      <c r="G2361" s="1">
        <v>1</v>
      </c>
      <c r="H2361" s="7">
        <v>45560</v>
      </c>
      <c r="I2361" s="1" t="s">
        <v>7455</v>
      </c>
      <c r="J2361" s="7">
        <v>45560</v>
      </c>
      <c r="K2361" s="1" t="s">
        <v>7455</v>
      </c>
    </row>
    <row r="2362" spans="1:11" x14ac:dyDescent="0.3">
      <c r="A2362" s="1">
        <v>2361</v>
      </c>
      <c r="B2362" s="1" t="s">
        <v>7082</v>
      </c>
      <c r="C2362" s="1" t="s">
        <v>7083</v>
      </c>
      <c r="G2362" s="1">
        <v>1</v>
      </c>
      <c r="H2362" s="7">
        <v>45560</v>
      </c>
      <c r="I2362" s="1" t="s">
        <v>7455</v>
      </c>
      <c r="J2362" s="7">
        <v>45560</v>
      </c>
      <c r="K2362" s="1" t="s">
        <v>7455</v>
      </c>
    </row>
    <row r="2363" spans="1:11" x14ac:dyDescent="0.3">
      <c r="A2363" s="1">
        <v>2362</v>
      </c>
      <c r="B2363" s="1" t="s">
        <v>7084</v>
      </c>
      <c r="C2363" s="1" t="s">
        <v>7085</v>
      </c>
      <c r="G2363" s="1">
        <v>1</v>
      </c>
      <c r="H2363" s="7">
        <v>45560</v>
      </c>
      <c r="I2363" s="1" t="s">
        <v>7455</v>
      </c>
      <c r="J2363" s="7">
        <v>45560</v>
      </c>
      <c r="K2363" s="1" t="s">
        <v>7455</v>
      </c>
    </row>
    <row r="2364" spans="1:11" x14ac:dyDescent="0.3">
      <c r="A2364" s="1">
        <v>2363</v>
      </c>
      <c r="B2364" s="1" t="s">
        <v>7086</v>
      </c>
      <c r="C2364" s="1" t="s">
        <v>7087</v>
      </c>
      <c r="G2364" s="1">
        <v>1</v>
      </c>
      <c r="H2364" s="7">
        <v>45560</v>
      </c>
      <c r="I2364" s="1" t="s">
        <v>7455</v>
      </c>
      <c r="J2364" s="7">
        <v>45560</v>
      </c>
      <c r="K2364" s="1" t="s">
        <v>7455</v>
      </c>
    </row>
    <row r="2365" spans="1:11" x14ac:dyDescent="0.3">
      <c r="A2365" s="1">
        <v>2364</v>
      </c>
      <c r="B2365" s="1" t="s">
        <v>7088</v>
      </c>
      <c r="C2365" s="1" t="s">
        <v>7089</v>
      </c>
      <c r="G2365" s="1">
        <v>1</v>
      </c>
      <c r="H2365" s="7">
        <v>45560</v>
      </c>
      <c r="I2365" s="1" t="s">
        <v>7455</v>
      </c>
      <c r="J2365" s="7">
        <v>45560</v>
      </c>
      <c r="K2365" s="1" t="s">
        <v>7455</v>
      </c>
    </row>
    <row r="2366" spans="1:11" x14ac:dyDescent="0.3">
      <c r="A2366" s="1">
        <v>2365</v>
      </c>
      <c r="B2366" s="1" t="s">
        <v>7090</v>
      </c>
      <c r="C2366" s="1" t="s">
        <v>7091</v>
      </c>
      <c r="G2366" s="1">
        <v>1</v>
      </c>
      <c r="H2366" s="7">
        <v>45560</v>
      </c>
      <c r="I2366" s="1" t="s">
        <v>7455</v>
      </c>
      <c r="J2366" s="7">
        <v>45560</v>
      </c>
      <c r="K2366" s="1" t="s">
        <v>7455</v>
      </c>
    </row>
    <row r="2367" spans="1:11" x14ac:dyDescent="0.3">
      <c r="A2367" s="1">
        <v>2366</v>
      </c>
      <c r="B2367" s="1" t="s">
        <v>7092</v>
      </c>
      <c r="C2367" s="1" t="s">
        <v>7093</v>
      </c>
      <c r="G2367" s="1">
        <v>1</v>
      </c>
      <c r="H2367" s="7">
        <v>45560</v>
      </c>
      <c r="I2367" s="1" t="s">
        <v>7455</v>
      </c>
      <c r="J2367" s="7">
        <v>45560</v>
      </c>
      <c r="K2367" s="1" t="s">
        <v>7455</v>
      </c>
    </row>
    <row r="2368" spans="1:11" x14ac:dyDescent="0.3">
      <c r="A2368" s="1">
        <v>2367</v>
      </c>
      <c r="B2368" s="1" t="s">
        <v>7094</v>
      </c>
      <c r="C2368" s="1" t="s">
        <v>7095</v>
      </c>
      <c r="G2368" s="1">
        <v>1</v>
      </c>
      <c r="H2368" s="7">
        <v>45560</v>
      </c>
      <c r="I2368" s="1" t="s">
        <v>7455</v>
      </c>
      <c r="J2368" s="7">
        <v>45560</v>
      </c>
      <c r="K2368" s="1" t="s">
        <v>7455</v>
      </c>
    </row>
    <row r="2369" spans="1:11" x14ac:dyDescent="0.3">
      <c r="A2369" s="1">
        <v>2368</v>
      </c>
      <c r="B2369" s="1" t="s">
        <v>7096</v>
      </c>
      <c r="C2369" s="1" t="s">
        <v>7097</v>
      </c>
      <c r="G2369" s="1">
        <v>1</v>
      </c>
      <c r="H2369" s="7">
        <v>45560</v>
      </c>
      <c r="I2369" s="1" t="s">
        <v>7455</v>
      </c>
      <c r="J2369" s="7">
        <v>45560</v>
      </c>
      <c r="K2369" s="1" t="s">
        <v>7455</v>
      </c>
    </row>
    <row r="2370" spans="1:11" x14ac:dyDescent="0.3">
      <c r="A2370" s="1">
        <v>2369</v>
      </c>
      <c r="B2370" s="1" t="s">
        <v>7098</v>
      </c>
      <c r="C2370" s="1" t="s">
        <v>7099</v>
      </c>
      <c r="G2370" s="1">
        <v>1</v>
      </c>
      <c r="H2370" s="7">
        <v>45560</v>
      </c>
      <c r="I2370" s="1" t="s">
        <v>7455</v>
      </c>
      <c r="J2370" s="7">
        <v>45560</v>
      </c>
      <c r="K2370" s="1" t="s">
        <v>7455</v>
      </c>
    </row>
    <row r="2371" spans="1:11" x14ac:dyDescent="0.3">
      <c r="A2371" s="1">
        <v>2370</v>
      </c>
      <c r="B2371" s="1" t="s">
        <v>7100</v>
      </c>
      <c r="C2371" s="1" t="s">
        <v>7101</v>
      </c>
      <c r="G2371" s="1">
        <v>1</v>
      </c>
      <c r="H2371" s="7">
        <v>45560</v>
      </c>
      <c r="I2371" s="1" t="s">
        <v>7455</v>
      </c>
      <c r="J2371" s="7">
        <v>45560</v>
      </c>
      <c r="K2371" s="1" t="s">
        <v>7455</v>
      </c>
    </row>
    <row r="2372" spans="1:11" x14ac:dyDescent="0.3">
      <c r="A2372" s="1">
        <v>2371</v>
      </c>
      <c r="B2372" s="1" t="s">
        <v>7102</v>
      </c>
      <c r="C2372" s="1" t="s">
        <v>7103</v>
      </c>
      <c r="G2372" s="1">
        <v>1</v>
      </c>
      <c r="H2372" s="7">
        <v>45560</v>
      </c>
      <c r="I2372" s="1" t="s">
        <v>7455</v>
      </c>
      <c r="J2372" s="7">
        <v>45560</v>
      </c>
      <c r="K2372" s="1" t="s">
        <v>7455</v>
      </c>
    </row>
    <row r="2373" spans="1:11" x14ac:dyDescent="0.3">
      <c r="A2373" s="1">
        <v>2372</v>
      </c>
      <c r="B2373" s="1" t="s">
        <v>7104</v>
      </c>
      <c r="C2373" s="1" t="s">
        <v>7105</v>
      </c>
      <c r="G2373" s="1">
        <v>1</v>
      </c>
      <c r="H2373" s="7">
        <v>45560</v>
      </c>
      <c r="I2373" s="1" t="s">
        <v>7455</v>
      </c>
      <c r="J2373" s="7">
        <v>45560</v>
      </c>
      <c r="K2373" s="1" t="s">
        <v>7455</v>
      </c>
    </row>
    <row r="2374" spans="1:11" x14ac:dyDescent="0.3">
      <c r="A2374" s="1">
        <v>2373</v>
      </c>
      <c r="B2374" s="1" t="s">
        <v>7106</v>
      </c>
      <c r="C2374" s="1" t="s">
        <v>7107</v>
      </c>
      <c r="G2374" s="1">
        <v>1</v>
      </c>
      <c r="H2374" s="7">
        <v>45560</v>
      </c>
      <c r="I2374" s="1" t="s">
        <v>7455</v>
      </c>
      <c r="J2374" s="7">
        <v>45560</v>
      </c>
      <c r="K2374" s="1" t="s">
        <v>7455</v>
      </c>
    </row>
    <row r="2375" spans="1:11" x14ac:dyDescent="0.3">
      <c r="A2375" s="1">
        <v>2374</v>
      </c>
      <c r="B2375" s="1" t="s">
        <v>7108</v>
      </c>
      <c r="C2375" s="1" t="s">
        <v>7109</v>
      </c>
      <c r="G2375" s="1">
        <v>1</v>
      </c>
      <c r="H2375" s="7">
        <v>45560</v>
      </c>
      <c r="I2375" s="1" t="s">
        <v>7455</v>
      </c>
      <c r="J2375" s="7">
        <v>45560</v>
      </c>
      <c r="K2375" s="1" t="s">
        <v>7455</v>
      </c>
    </row>
    <row r="2376" spans="1:11" x14ac:dyDescent="0.3">
      <c r="A2376" s="1">
        <v>2375</v>
      </c>
      <c r="B2376" s="1" t="s">
        <v>7110</v>
      </c>
      <c r="C2376" s="1" t="s">
        <v>7111</v>
      </c>
      <c r="G2376" s="1">
        <v>1</v>
      </c>
      <c r="H2376" s="7">
        <v>45560</v>
      </c>
      <c r="I2376" s="1" t="s">
        <v>7455</v>
      </c>
      <c r="J2376" s="7">
        <v>45560</v>
      </c>
      <c r="K2376" s="1" t="s">
        <v>7455</v>
      </c>
    </row>
    <row r="2377" spans="1:11" x14ac:dyDescent="0.3">
      <c r="A2377" s="1">
        <v>2376</v>
      </c>
      <c r="B2377" s="1" t="s">
        <v>7112</v>
      </c>
      <c r="C2377" s="1" t="s">
        <v>7113</v>
      </c>
      <c r="G2377" s="1">
        <v>1</v>
      </c>
      <c r="H2377" s="7">
        <v>45560</v>
      </c>
      <c r="I2377" s="1" t="s">
        <v>7455</v>
      </c>
      <c r="J2377" s="7">
        <v>45560</v>
      </c>
      <c r="K2377" s="1" t="s">
        <v>7455</v>
      </c>
    </row>
    <row r="2378" spans="1:11" x14ac:dyDescent="0.3">
      <c r="A2378" s="1">
        <v>2377</v>
      </c>
      <c r="B2378" s="1" t="s">
        <v>7114</v>
      </c>
      <c r="C2378" s="1" t="s">
        <v>7115</v>
      </c>
      <c r="G2378" s="1">
        <v>1</v>
      </c>
      <c r="H2378" s="7">
        <v>45560</v>
      </c>
      <c r="I2378" s="1" t="s">
        <v>7455</v>
      </c>
      <c r="J2378" s="7">
        <v>45560</v>
      </c>
      <c r="K2378" s="1" t="s">
        <v>7455</v>
      </c>
    </row>
    <row r="2379" spans="1:11" x14ac:dyDescent="0.3">
      <c r="A2379" s="1">
        <v>2378</v>
      </c>
      <c r="B2379" s="1" t="s">
        <v>7116</v>
      </c>
      <c r="C2379" s="1" t="s">
        <v>7117</v>
      </c>
      <c r="G2379" s="1">
        <v>1</v>
      </c>
      <c r="H2379" s="7">
        <v>45560</v>
      </c>
      <c r="I2379" s="1" t="s">
        <v>7455</v>
      </c>
      <c r="J2379" s="7">
        <v>45560</v>
      </c>
      <c r="K2379" s="1" t="s">
        <v>7455</v>
      </c>
    </row>
    <row r="2380" spans="1:11" x14ac:dyDescent="0.3">
      <c r="A2380" s="1">
        <v>2379</v>
      </c>
      <c r="B2380" s="1" t="s">
        <v>7118</v>
      </c>
      <c r="C2380" s="1" t="s">
        <v>7119</v>
      </c>
      <c r="G2380" s="1">
        <v>1</v>
      </c>
      <c r="H2380" s="7">
        <v>45560</v>
      </c>
      <c r="I2380" s="1" t="s">
        <v>7455</v>
      </c>
      <c r="J2380" s="7">
        <v>45560</v>
      </c>
      <c r="K2380" s="1" t="s">
        <v>7455</v>
      </c>
    </row>
    <row r="2381" spans="1:11" x14ac:dyDescent="0.3">
      <c r="A2381" s="1">
        <v>2380</v>
      </c>
      <c r="B2381" s="1" t="s">
        <v>7120</v>
      </c>
      <c r="C2381" s="1" t="s">
        <v>7121</v>
      </c>
      <c r="G2381" s="1">
        <v>1</v>
      </c>
      <c r="H2381" s="7">
        <v>45560</v>
      </c>
      <c r="I2381" s="1" t="s">
        <v>7455</v>
      </c>
      <c r="J2381" s="7">
        <v>45560</v>
      </c>
      <c r="K2381" s="1" t="s">
        <v>7455</v>
      </c>
    </row>
    <row r="2382" spans="1:11" x14ac:dyDescent="0.3">
      <c r="A2382" s="1">
        <v>2381</v>
      </c>
      <c r="B2382" s="1" t="s">
        <v>7122</v>
      </c>
      <c r="C2382" s="1" t="s">
        <v>7123</v>
      </c>
      <c r="G2382" s="1">
        <v>1</v>
      </c>
      <c r="H2382" s="7">
        <v>45560</v>
      </c>
      <c r="I2382" s="1" t="s">
        <v>7455</v>
      </c>
      <c r="J2382" s="7">
        <v>45560</v>
      </c>
      <c r="K2382" s="1" t="s">
        <v>7455</v>
      </c>
    </row>
    <row r="2383" spans="1:11" x14ac:dyDescent="0.3">
      <c r="A2383" s="1">
        <v>2382</v>
      </c>
      <c r="B2383" s="1" t="s">
        <v>7124</v>
      </c>
      <c r="C2383" s="1" t="s">
        <v>7125</v>
      </c>
      <c r="G2383" s="1">
        <v>1</v>
      </c>
      <c r="H2383" s="7">
        <v>45560</v>
      </c>
      <c r="I2383" s="1" t="s">
        <v>7455</v>
      </c>
      <c r="J2383" s="7">
        <v>45560</v>
      </c>
      <c r="K2383" s="1" t="s">
        <v>7455</v>
      </c>
    </row>
    <row r="2384" spans="1:11" x14ac:dyDescent="0.3">
      <c r="A2384" s="1">
        <v>2383</v>
      </c>
      <c r="B2384" s="1" t="s">
        <v>7126</v>
      </c>
      <c r="C2384" s="1" t="s">
        <v>7127</v>
      </c>
      <c r="G2384" s="1">
        <v>1</v>
      </c>
      <c r="H2384" s="7">
        <v>45560</v>
      </c>
      <c r="I2384" s="1" t="s">
        <v>7455</v>
      </c>
      <c r="J2384" s="7">
        <v>45560</v>
      </c>
      <c r="K2384" s="1" t="s">
        <v>7455</v>
      </c>
    </row>
    <row r="2385" spans="1:11" x14ac:dyDescent="0.3">
      <c r="A2385" s="1">
        <v>2384</v>
      </c>
      <c r="B2385" s="1" t="s">
        <v>7128</v>
      </c>
      <c r="C2385" s="1" t="s">
        <v>7129</v>
      </c>
      <c r="G2385" s="1">
        <v>1</v>
      </c>
      <c r="H2385" s="7">
        <v>45560</v>
      </c>
      <c r="I2385" s="1" t="s">
        <v>7455</v>
      </c>
      <c r="J2385" s="7">
        <v>45560</v>
      </c>
      <c r="K2385" s="1" t="s">
        <v>7455</v>
      </c>
    </row>
    <row r="2386" spans="1:11" x14ac:dyDescent="0.3">
      <c r="A2386" s="1">
        <v>2385</v>
      </c>
      <c r="B2386" s="1" t="s">
        <v>7130</v>
      </c>
      <c r="C2386" s="1" t="s">
        <v>7131</v>
      </c>
      <c r="G2386" s="1">
        <v>1</v>
      </c>
      <c r="H2386" s="7">
        <v>45560</v>
      </c>
      <c r="I2386" s="1" t="s">
        <v>7455</v>
      </c>
      <c r="J2386" s="7">
        <v>45560</v>
      </c>
      <c r="K2386" s="1" t="s">
        <v>7455</v>
      </c>
    </row>
    <row r="2387" spans="1:11" x14ac:dyDescent="0.3">
      <c r="A2387" s="1">
        <v>2386</v>
      </c>
      <c r="B2387" s="1" t="s">
        <v>7132</v>
      </c>
      <c r="C2387" s="1" t="s">
        <v>7133</v>
      </c>
      <c r="G2387" s="1">
        <v>1</v>
      </c>
      <c r="H2387" s="7">
        <v>45560</v>
      </c>
      <c r="I2387" s="1" t="s">
        <v>7455</v>
      </c>
      <c r="J2387" s="7">
        <v>45560</v>
      </c>
      <c r="K2387" s="1" t="s">
        <v>7455</v>
      </c>
    </row>
    <row r="2388" spans="1:11" x14ac:dyDescent="0.3">
      <c r="A2388" s="1">
        <v>2387</v>
      </c>
      <c r="B2388" s="1" t="s">
        <v>7134</v>
      </c>
      <c r="C2388" s="1" t="s">
        <v>7135</v>
      </c>
      <c r="G2388" s="1">
        <v>1</v>
      </c>
      <c r="H2388" s="7">
        <v>45560</v>
      </c>
      <c r="I2388" s="1" t="s">
        <v>7455</v>
      </c>
      <c r="J2388" s="7">
        <v>45560</v>
      </c>
      <c r="K2388" s="1" t="s">
        <v>7455</v>
      </c>
    </row>
    <row r="2389" spans="1:11" x14ac:dyDescent="0.3">
      <c r="A2389" s="1">
        <v>2388</v>
      </c>
      <c r="B2389" s="1" t="s">
        <v>7136</v>
      </c>
      <c r="C2389" s="1" t="s">
        <v>7137</v>
      </c>
      <c r="G2389" s="1">
        <v>1</v>
      </c>
      <c r="H2389" s="7">
        <v>45560</v>
      </c>
      <c r="I2389" s="1" t="s">
        <v>7455</v>
      </c>
      <c r="J2389" s="7">
        <v>45560</v>
      </c>
      <c r="K2389" s="1" t="s">
        <v>7455</v>
      </c>
    </row>
    <row r="2390" spans="1:11" x14ac:dyDescent="0.3">
      <c r="A2390" s="1">
        <v>2389</v>
      </c>
      <c r="B2390" s="1" t="s">
        <v>7138</v>
      </c>
      <c r="C2390" s="1" t="s">
        <v>7139</v>
      </c>
      <c r="G2390" s="1">
        <v>1</v>
      </c>
      <c r="H2390" s="7">
        <v>45560</v>
      </c>
      <c r="I2390" s="1" t="s">
        <v>7455</v>
      </c>
      <c r="J2390" s="7">
        <v>45560</v>
      </c>
      <c r="K2390" s="1" t="s">
        <v>7455</v>
      </c>
    </row>
    <row r="2391" spans="1:11" x14ac:dyDescent="0.3">
      <c r="A2391" s="1">
        <v>2390</v>
      </c>
      <c r="B2391" s="1" t="s">
        <v>7140</v>
      </c>
      <c r="C2391" s="1" t="s">
        <v>7141</v>
      </c>
      <c r="G2391" s="1">
        <v>1</v>
      </c>
      <c r="H2391" s="7">
        <v>45560</v>
      </c>
      <c r="I2391" s="1" t="s">
        <v>7455</v>
      </c>
      <c r="J2391" s="7">
        <v>45560</v>
      </c>
      <c r="K2391" s="1" t="s">
        <v>7455</v>
      </c>
    </row>
    <row r="2392" spans="1:11" x14ac:dyDescent="0.3">
      <c r="A2392" s="1">
        <v>2391</v>
      </c>
      <c r="B2392" s="1" t="s">
        <v>7142</v>
      </c>
      <c r="C2392" s="1" t="s">
        <v>7143</v>
      </c>
      <c r="G2392" s="1">
        <v>1</v>
      </c>
      <c r="H2392" s="7">
        <v>45560</v>
      </c>
      <c r="I2392" s="1" t="s">
        <v>7455</v>
      </c>
      <c r="J2392" s="7">
        <v>45560</v>
      </c>
      <c r="K2392" s="1" t="s">
        <v>7455</v>
      </c>
    </row>
    <row r="2393" spans="1:11" x14ac:dyDescent="0.3">
      <c r="A2393" s="1">
        <v>2392</v>
      </c>
      <c r="B2393" s="1" t="s">
        <v>7144</v>
      </c>
      <c r="C2393" s="1" t="s">
        <v>7145</v>
      </c>
      <c r="G2393" s="1">
        <v>1</v>
      </c>
      <c r="H2393" s="7">
        <v>45560</v>
      </c>
      <c r="I2393" s="1" t="s">
        <v>7455</v>
      </c>
      <c r="J2393" s="7">
        <v>45560</v>
      </c>
      <c r="K2393" s="1" t="s">
        <v>7455</v>
      </c>
    </row>
    <row r="2394" spans="1:11" x14ac:dyDescent="0.3">
      <c r="A2394" s="1">
        <v>2393</v>
      </c>
      <c r="B2394" s="1" t="s">
        <v>7146</v>
      </c>
      <c r="C2394" s="1" t="s">
        <v>7147</v>
      </c>
      <c r="G2394" s="1">
        <v>1</v>
      </c>
      <c r="H2394" s="7">
        <v>45560</v>
      </c>
      <c r="I2394" s="1" t="s">
        <v>7455</v>
      </c>
      <c r="J2394" s="7">
        <v>45560</v>
      </c>
      <c r="K2394" s="1" t="s">
        <v>7455</v>
      </c>
    </row>
    <row r="2395" spans="1:11" x14ac:dyDescent="0.3">
      <c r="A2395" s="1">
        <v>2394</v>
      </c>
      <c r="B2395" s="1" t="s">
        <v>7148</v>
      </c>
      <c r="C2395" s="1" t="s">
        <v>7149</v>
      </c>
      <c r="G2395" s="1">
        <v>1</v>
      </c>
      <c r="H2395" s="7">
        <v>45560</v>
      </c>
      <c r="I2395" s="1" t="s">
        <v>7455</v>
      </c>
      <c r="J2395" s="7">
        <v>45560</v>
      </c>
      <c r="K2395" s="1" t="s">
        <v>7455</v>
      </c>
    </row>
    <row r="2396" spans="1:11" x14ac:dyDescent="0.3">
      <c r="A2396" s="1">
        <v>2395</v>
      </c>
      <c r="B2396" s="1" t="s">
        <v>7150</v>
      </c>
      <c r="C2396" s="1" t="s">
        <v>7151</v>
      </c>
      <c r="G2396" s="1">
        <v>1</v>
      </c>
      <c r="H2396" s="7">
        <v>45560</v>
      </c>
      <c r="I2396" s="1" t="s">
        <v>7455</v>
      </c>
      <c r="J2396" s="7">
        <v>45560</v>
      </c>
      <c r="K2396" s="1" t="s">
        <v>7455</v>
      </c>
    </row>
    <row r="2397" spans="1:11" x14ac:dyDescent="0.3">
      <c r="A2397" s="1">
        <v>2396</v>
      </c>
      <c r="B2397" s="1" t="s">
        <v>7152</v>
      </c>
      <c r="C2397" s="1" t="s">
        <v>7153</v>
      </c>
      <c r="G2397" s="1">
        <v>1</v>
      </c>
      <c r="H2397" s="7">
        <v>45560</v>
      </c>
      <c r="I2397" s="1" t="s">
        <v>7455</v>
      </c>
      <c r="J2397" s="7">
        <v>45560</v>
      </c>
      <c r="K2397" s="1" t="s">
        <v>7455</v>
      </c>
    </row>
    <row r="2398" spans="1:11" x14ac:dyDescent="0.3">
      <c r="A2398" s="1">
        <v>2397</v>
      </c>
      <c r="B2398" s="1" t="s">
        <v>7154</v>
      </c>
      <c r="C2398" s="1" t="s">
        <v>7155</v>
      </c>
      <c r="G2398" s="1">
        <v>1</v>
      </c>
      <c r="H2398" s="7">
        <v>45560</v>
      </c>
      <c r="I2398" s="1" t="s">
        <v>7455</v>
      </c>
      <c r="J2398" s="7">
        <v>45560</v>
      </c>
      <c r="K2398" s="1" t="s">
        <v>7455</v>
      </c>
    </row>
    <row r="2399" spans="1:11" x14ac:dyDescent="0.3">
      <c r="A2399" s="1">
        <v>2398</v>
      </c>
      <c r="B2399" s="1" t="s">
        <v>7156</v>
      </c>
      <c r="C2399" s="1" t="s">
        <v>7157</v>
      </c>
      <c r="G2399" s="1">
        <v>1</v>
      </c>
      <c r="H2399" s="7">
        <v>45560</v>
      </c>
      <c r="I2399" s="1" t="s">
        <v>7455</v>
      </c>
      <c r="J2399" s="7">
        <v>45560</v>
      </c>
      <c r="K2399" s="1" t="s">
        <v>7455</v>
      </c>
    </row>
    <row r="2400" spans="1:11" x14ac:dyDescent="0.3">
      <c r="A2400" s="1">
        <v>2399</v>
      </c>
      <c r="B2400" s="1" t="s">
        <v>7158</v>
      </c>
      <c r="C2400" s="1" t="s">
        <v>7159</v>
      </c>
      <c r="G2400" s="1">
        <v>1</v>
      </c>
      <c r="H2400" s="7">
        <v>45560</v>
      </c>
      <c r="I2400" s="1" t="s">
        <v>7455</v>
      </c>
      <c r="J2400" s="7">
        <v>45560</v>
      </c>
      <c r="K2400" s="1" t="s">
        <v>7455</v>
      </c>
    </row>
    <row r="2401" spans="1:11" x14ac:dyDescent="0.3">
      <c r="A2401" s="1">
        <v>2400</v>
      </c>
      <c r="B2401" s="1" t="s">
        <v>7160</v>
      </c>
      <c r="C2401" s="1" t="s">
        <v>7161</v>
      </c>
      <c r="G2401" s="1">
        <v>1</v>
      </c>
      <c r="H2401" s="7">
        <v>45560</v>
      </c>
      <c r="I2401" s="1" t="s">
        <v>7455</v>
      </c>
      <c r="J2401" s="7">
        <v>45560</v>
      </c>
      <c r="K2401" s="1" t="s">
        <v>7455</v>
      </c>
    </row>
    <row r="2402" spans="1:11" x14ac:dyDescent="0.3">
      <c r="A2402" s="1">
        <v>2401</v>
      </c>
      <c r="B2402" s="1" t="s">
        <v>7162</v>
      </c>
      <c r="C2402" s="1" t="s">
        <v>7163</v>
      </c>
      <c r="G2402" s="1">
        <v>1</v>
      </c>
      <c r="H2402" s="7">
        <v>45560</v>
      </c>
      <c r="I2402" s="1" t="s">
        <v>7455</v>
      </c>
      <c r="J2402" s="7">
        <v>45560</v>
      </c>
      <c r="K2402" s="1" t="s">
        <v>7455</v>
      </c>
    </row>
    <row r="2403" spans="1:11" x14ac:dyDescent="0.3">
      <c r="A2403" s="1">
        <v>2402</v>
      </c>
      <c r="B2403" s="1" t="s">
        <v>7164</v>
      </c>
      <c r="C2403" s="1" t="s">
        <v>7165</v>
      </c>
      <c r="G2403" s="1">
        <v>1</v>
      </c>
      <c r="H2403" s="7">
        <v>45560</v>
      </c>
      <c r="I2403" s="1" t="s">
        <v>7455</v>
      </c>
      <c r="J2403" s="7">
        <v>45560</v>
      </c>
      <c r="K2403" s="1" t="s">
        <v>7455</v>
      </c>
    </row>
    <row r="2404" spans="1:11" x14ac:dyDescent="0.3">
      <c r="A2404" s="1">
        <v>2403</v>
      </c>
      <c r="B2404" s="1" t="s">
        <v>7166</v>
      </c>
      <c r="C2404" s="1" t="s">
        <v>7167</v>
      </c>
      <c r="G2404" s="1">
        <v>1</v>
      </c>
      <c r="H2404" s="7">
        <v>45560</v>
      </c>
      <c r="I2404" s="1" t="s">
        <v>7455</v>
      </c>
      <c r="J2404" s="7">
        <v>45560</v>
      </c>
      <c r="K2404" s="1" t="s">
        <v>7455</v>
      </c>
    </row>
    <row r="2405" spans="1:11" x14ac:dyDescent="0.3">
      <c r="A2405" s="1">
        <v>2404</v>
      </c>
      <c r="B2405" s="1" t="s">
        <v>7168</v>
      </c>
      <c r="C2405" s="1" t="s">
        <v>7169</v>
      </c>
      <c r="G2405" s="1">
        <v>1</v>
      </c>
      <c r="H2405" s="7">
        <v>45560</v>
      </c>
      <c r="I2405" s="1" t="s">
        <v>7455</v>
      </c>
      <c r="J2405" s="7">
        <v>45560</v>
      </c>
      <c r="K2405" s="1" t="s">
        <v>7455</v>
      </c>
    </row>
    <row r="2406" spans="1:11" x14ac:dyDescent="0.3">
      <c r="A2406" s="1">
        <v>2405</v>
      </c>
      <c r="B2406" s="1" t="s">
        <v>7170</v>
      </c>
      <c r="C2406" s="1" t="s">
        <v>7171</v>
      </c>
      <c r="G2406" s="1">
        <v>1</v>
      </c>
      <c r="H2406" s="7">
        <v>45560</v>
      </c>
      <c r="I2406" s="1" t="s">
        <v>7455</v>
      </c>
      <c r="J2406" s="7">
        <v>45560</v>
      </c>
      <c r="K2406" s="1" t="s">
        <v>7455</v>
      </c>
    </row>
    <row r="2407" spans="1:11" x14ac:dyDescent="0.3">
      <c r="A2407" s="1">
        <v>2406</v>
      </c>
      <c r="B2407" s="1" t="s">
        <v>7172</v>
      </c>
      <c r="C2407" s="1" t="s">
        <v>7173</v>
      </c>
      <c r="G2407" s="1">
        <v>1</v>
      </c>
      <c r="H2407" s="7">
        <v>45560</v>
      </c>
      <c r="I2407" s="1" t="s">
        <v>7455</v>
      </c>
      <c r="J2407" s="7">
        <v>45560</v>
      </c>
      <c r="K2407" s="1" t="s">
        <v>7455</v>
      </c>
    </row>
    <row r="2408" spans="1:11" x14ac:dyDescent="0.3">
      <c r="A2408" s="1">
        <v>2407</v>
      </c>
      <c r="B2408" s="1" t="s">
        <v>7174</v>
      </c>
      <c r="C2408" s="1" t="s">
        <v>7175</v>
      </c>
      <c r="D2408" s="1" t="s">
        <v>7176</v>
      </c>
      <c r="F2408" s="1" t="s">
        <v>7177</v>
      </c>
      <c r="G2408" s="1">
        <v>1</v>
      </c>
      <c r="H2408" s="7">
        <v>45560</v>
      </c>
      <c r="I2408" s="1" t="s">
        <v>7455</v>
      </c>
      <c r="J2408" s="7">
        <v>45560</v>
      </c>
      <c r="K2408" s="1" t="s">
        <v>7455</v>
      </c>
    </row>
    <row r="2409" spans="1:11" x14ac:dyDescent="0.3">
      <c r="A2409" s="1">
        <v>2408</v>
      </c>
      <c r="B2409" s="1" t="s">
        <v>7178</v>
      </c>
      <c r="C2409" s="1" t="s">
        <v>7179</v>
      </c>
      <c r="F2409" s="1" t="s">
        <v>7180</v>
      </c>
      <c r="G2409" s="1">
        <v>1</v>
      </c>
      <c r="H2409" s="7">
        <v>45560</v>
      </c>
      <c r="I2409" s="1" t="s">
        <v>7455</v>
      </c>
      <c r="J2409" s="7">
        <v>45560</v>
      </c>
      <c r="K2409" s="1" t="s">
        <v>7455</v>
      </c>
    </row>
    <row r="2410" spans="1:11" x14ac:dyDescent="0.3">
      <c r="A2410" s="1">
        <v>2409</v>
      </c>
      <c r="B2410" s="1" t="s">
        <v>7181</v>
      </c>
      <c r="C2410" s="1" t="s">
        <v>7182</v>
      </c>
      <c r="E2410" s="1" t="s">
        <v>52</v>
      </c>
      <c r="G2410" s="1">
        <v>1</v>
      </c>
      <c r="H2410" s="7">
        <v>45560</v>
      </c>
      <c r="I2410" s="1" t="s">
        <v>7455</v>
      </c>
      <c r="J2410" s="7">
        <v>45560</v>
      </c>
      <c r="K2410" s="1" t="s">
        <v>7455</v>
      </c>
    </row>
    <row r="2411" spans="1:11" ht="28.8" x14ac:dyDescent="0.3">
      <c r="A2411" s="1">
        <v>2410</v>
      </c>
      <c r="B2411" s="1" t="s">
        <v>7183</v>
      </c>
      <c r="C2411" s="1" t="s">
        <v>7184</v>
      </c>
      <c r="D2411" s="8" t="s">
        <v>7185</v>
      </c>
      <c r="F2411" s="1" t="s">
        <v>7186</v>
      </c>
      <c r="G2411" s="1">
        <v>1</v>
      </c>
      <c r="H2411" s="7">
        <v>45560</v>
      </c>
      <c r="I2411" s="1" t="s">
        <v>7455</v>
      </c>
      <c r="J2411" s="7">
        <v>45560</v>
      </c>
      <c r="K2411" s="1" t="s">
        <v>7455</v>
      </c>
    </row>
    <row r="2412" spans="1:11" x14ac:dyDescent="0.3">
      <c r="A2412" s="1">
        <v>2411</v>
      </c>
      <c r="B2412" s="1" t="s">
        <v>7187</v>
      </c>
      <c r="C2412" s="1" t="s">
        <v>7188</v>
      </c>
      <c r="E2412" s="1" t="s">
        <v>52</v>
      </c>
      <c r="G2412" s="1">
        <v>1</v>
      </c>
      <c r="H2412" s="7">
        <v>45560</v>
      </c>
      <c r="I2412" s="1" t="s">
        <v>7455</v>
      </c>
      <c r="J2412" s="7">
        <v>45560</v>
      </c>
      <c r="K2412" s="1" t="s">
        <v>7455</v>
      </c>
    </row>
    <row r="2413" spans="1:11" x14ac:dyDescent="0.3">
      <c r="A2413" s="1">
        <v>2412</v>
      </c>
      <c r="B2413" s="1" t="s">
        <v>7189</v>
      </c>
      <c r="C2413" s="1" t="s">
        <v>7190</v>
      </c>
      <c r="E2413" s="1" t="s">
        <v>52</v>
      </c>
      <c r="G2413" s="1">
        <v>1</v>
      </c>
      <c r="H2413" s="7">
        <v>45560</v>
      </c>
      <c r="I2413" s="1" t="s">
        <v>7455</v>
      </c>
      <c r="J2413" s="7">
        <v>45560</v>
      </c>
      <c r="K2413" s="1" t="s">
        <v>7455</v>
      </c>
    </row>
    <row r="2414" spans="1:11" x14ac:dyDescent="0.3">
      <c r="A2414" s="1">
        <v>2413</v>
      </c>
      <c r="B2414" s="1" t="s">
        <v>7191</v>
      </c>
      <c r="C2414" s="1" t="s">
        <v>7192</v>
      </c>
      <c r="D2414" s="1" t="s">
        <v>7193</v>
      </c>
      <c r="G2414" s="1">
        <v>1</v>
      </c>
      <c r="H2414" s="7">
        <v>45560</v>
      </c>
      <c r="I2414" s="1" t="s">
        <v>7455</v>
      </c>
      <c r="J2414" s="7">
        <v>45560</v>
      </c>
      <c r="K2414" s="1" t="s">
        <v>7455</v>
      </c>
    </row>
    <row r="2415" spans="1:11" x14ac:dyDescent="0.3">
      <c r="A2415" s="1">
        <v>2414</v>
      </c>
      <c r="B2415" s="1" t="s">
        <v>7194</v>
      </c>
      <c r="C2415" s="1" t="s">
        <v>7195</v>
      </c>
      <c r="E2415" s="1" t="s">
        <v>52</v>
      </c>
      <c r="G2415" s="1">
        <v>1</v>
      </c>
      <c r="H2415" s="7">
        <v>45560</v>
      </c>
      <c r="I2415" s="1" t="s">
        <v>7455</v>
      </c>
      <c r="J2415" s="7">
        <v>45560</v>
      </c>
      <c r="K2415" s="1" t="s">
        <v>7455</v>
      </c>
    </row>
    <row r="2416" spans="1:11" x14ac:dyDescent="0.3">
      <c r="A2416" s="1">
        <v>2415</v>
      </c>
      <c r="B2416" s="1" t="s">
        <v>7196</v>
      </c>
      <c r="C2416" s="1" t="s">
        <v>7197</v>
      </c>
      <c r="E2416" s="1" t="s">
        <v>52</v>
      </c>
      <c r="G2416" s="1">
        <v>1</v>
      </c>
      <c r="H2416" s="7">
        <v>45560</v>
      </c>
      <c r="I2416" s="1" t="s">
        <v>7455</v>
      </c>
      <c r="J2416" s="7">
        <v>45560</v>
      </c>
      <c r="K2416" s="1" t="s">
        <v>7455</v>
      </c>
    </row>
    <row r="2417" spans="1:11" x14ac:dyDescent="0.3">
      <c r="A2417" s="1">
        <v>2416</v>
      </c>
      <c r="B2417" s="1" t="s">
        <v>7198</v>
      </c>
      <c r="C2417" s="1" t="s">
        <v>7199</v>
      </c>
      <c r="E2417" s="1" t="s">
        <v>52</v>
      </c>
      <c r="G2417" s="1">
        <v>1</v>
      </c>
      <c r="H2417" s="7">
        <v>45560</v>
      </c>
      <c r="I2417" s="1" t="s">
        <v>7455</v>
      </c>
      <c r="J2417" s="7">
        <v>45560</v>
      </c>
      <c r="K2417" s="1" t="s">
        <v>7455</v>
      </c>
    </row>
    <row r="2418" spans="1:11" x14ac:dyDescent="0.3">
      <c r="A2418" s="1">
        <v>2417</v>
      </c>
      <c r="B2418" s="1" t="s">
        <v>7200</v>
      </c>
      <c r="C2418" s="1" t="s">
        <v>7201</v>
      </c>
      <c r="D2418" s="1" t="s">
        <v>7202</v>
      </c>
      <c r="G2418" s="1">
        <v>1</v>
      </c>
      <c r="H2418" s="7">
        <v>45560</v>
      </c>
      <c r="I2418" s="1" t="s">
        <v>7455</v>
      </c>
      <c r="J2418" s="7">
        <v>45560</v>
      </c>
      <c r="K2418" s="1" t="s">
        <v>7455</v>
      </c>
    </row>
    <row r="2419" spans="1:11" x14ac:dyDescent="0.3">
      <c r="A2419" s="1">
        <v>2418</v>
      </c>
      <c r="B2419" s="1" t="s">
        <v>7203</v>
      </c>
      <c r="C2419" s="1" t="s">
        <v>7204</v>
      </c>
      <c r="D2419" s="1" t="s">
        <v>7205</v>
      </c>
      <c r="G2419" s="1">
        <v>1</v>
      </c>
      <c r="H2419" s="7">
        <v>45560</v>
      </c>
      <c r="I2419" s="1" t="s">
        <v>7455</v>
      </c>
      <c r="J2419" s="7">
        <v>45560</v>
      </c>
      <c r="K2419" s="1" t="s">
        <v>7455</v>
      </c>
    </row>
  </sheetData>
  <autoFilter ref="A1:K1" xr:uid="{46A6DEC0-35D5-4CF8-90F0-80394F3D2D2C}"/>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8671875" defaultRowHeight="14.4" x14ac:dyDescent="0.3"/>
  <cols>
    <col min="1" max="1" width="12.77734375" style="1" bestFit="1" customWidth="1"/>
    <col min="2" max="2" width="17.33203125" style="1" bestFit="1" customWidth="1"/>
    <col min="3" max="3" width="86.6640625" style="1" bestFit="1" customWidth="1"/>
    <col min="4" max="4" width="15.5546875" style="1" bestFit="1" customWidth="1"/>
    <col min="5" max="5" width="14" style="1" bestFit="1" customWidth="1"/>
    <col min="6" max="6" width="15.5546875" style="1" bestFit="1" customWidth="1"/>
    <col min="7" max="7" width="10.109375" style="1" bestFit="1" customWidth="1"/>
    <col min="8" max="16384" width="8.88671875" style="1"/>
  </cols>
  <sheetData>
    <row r="1" spans="1:7" s="6" customFormat="1" x14ac:dyDescent="0.3">
      <c r="A1" s="5" t="s">
        <v>7288</v>
      </c>
      <c r="B1" s="5" t="s">
        <v>7293</v>
      </c>
      <c r="C1" s="5" t="s">
        <v>7289</v>
      </c>
      <c r="D1" s="5" t="s">
        <v>44</v>
      </c>
      <c r="E1" s="5" t="s">
        <v>45</v>
      </c>
      <c r="F1" s="5" t="s">
        <v>46</v>
      </c>
      <c r="G1" s="5" t="s">
        <v>47</v>
      </c>
    </row>
    <row r="2" spans="1:7" x14ac:dyDescent="0.3">
      <c r="A2" s="1">
        <v>1</v>
      </c>
      <c r="B2" s="1" t="s">
        <v>25</v>
      </c>
      <c r="C2" s="1" t="s">
        <v>26</v>
      </c>
      <c r="D2" s="7">
        <v>45560</v>
      </c>
      <c r="E2" s="1" t="s">
        <v>7455</v>
      </c>
      <c r="F2" s="7">
        <v>45560</v>
      </c>
      <c r="G2" s="1" t="s">
        <v>7455</v>
      </c>
    </row>
    <row r="3" spans="1:7" x14ac:dyDescent="0.3">
      <c r="A3" s="1">
        <v>2</v>
      </c>
      <c r="B3" s="1" t="s">
        <v>27</v>
      </c>
      <c r="C3" s="1" t="s">
        <v>28</v>
      </c>
      <c r="D3" s="7">
        <v>45560</v>
      </c>
      <c r="E3" s="1" t="s">
        <v>7455</v>
      </c>
      <c r="F3" s="7">
        <v>45560</v>
      </c>
      <c r="G3" s="1" t="s">
        <v>7455</v>
      </c>
    </row>
    <row r="4" spans="1:7" x14ac:dyDescent="0.3">
      <c r="A4" s="1">
        <v>3</v>
      </c>
      <c r="B4" s="1" t="s">
        <v>29</v>
      </c>
      <c r="C4" s="1" t="s">
        <v>30</v>
      </c>
      <c r="D4" s="7">
        <v>45560</v>
      </c>
      <c r="E4" s="1" t="s">
        <v>7455</v>
      </c>
      <c r="F4" s="7">
        <v>45560</v>
      </c>
      <c r="G4" s="1" t="s">
        <v>7455</v>
      </c>
    </row>
    <row r="5" spans="1:7" x14ac:dyDescent="0.3">
      <c r="A5" s="1">
        <v>4</v>
      </c>
      <c r="B5" s="1" t="s">
        <v>31</v>
      </c>
      <c r="C5" s="1" t="s">
        <v>32</v>
      </c>
      <c r="D5" s="7">
        <v>45560</v>
      </c>
      <c r="E5" s="1" t="s">
        <v>7455</v>
      </c>
      <c r="F5" s="7">
        <v>45560</v>
      </c>
      <c r="G5" s="1" t="s">
        <v>7455</v>
      </c>
    </row>
    <row r="6" spans="1:7" x14ac:dyDescent="0.3">
      <c r="A6" s="1">
        <v>5</v>
      </c>
      <c r="B6" s="1" t="s">
        <v>33</v>
      </c>
      <c r="C6" s="1" t="s">
        <v>34</v>
      </c>
      <c r="D6" s="7">
        <v>45560</v>
      </c>
      <c r="E6" s="1" t="s">
        <v>7455</v>
      </c>
      <c r="F6" s="7">
        <v>45560</v>
      </c>
      <c r="G6" s="1" t="s">
        <v>7455</v>
      </c>
    </row>
    <row r="7" spans="1:7" x14ac:dyDescent="0.3">
      <c r="A7" s="1">
        <v>6</v>
      </c>
      <c r="B7" s="1" t="s">
        <v>35</v>
      </c>
      <c r="C7" s="1" t="s">
        <v>36</v>
      </c>
      <c r="D7" s="7">
        <v>45560</v>
      </c>
      <c r="E7" s="1" t="s">
        <v>7455</v>
      </c>
      <c r="F7" s="7">
        <v>45560</v>
      </c>
      <c r="G7" s="1" t="s">
        <v>7455</v>
      </c>
    </row>
    <row r="8" spans="1:7" x14ac:dyDescent="0.3">
      <c r="A8" s="1">
        <v>7</v>
      </c>
      <c r="B8" s="1" t="s">
        <v>37</v>
      </c>
      <c r="C8" s="1" t="s">
        <v>38</v>
      </c>
      <c r="D8" s="7">
        <v>45560</v>
      </c>
      <c r="E8" s="1" t="s">
        <v>7455</v>
      </c>
      <c r="F8" s="7">
        <v>45560</v>
      </c>
      <c r="G8" s="1" t="s">
        <v>7455</v>
      </c>
    </row>
    <row r="9" spans="1:7" x14ac:dyDescent="0.3">
      <c r="A9" s="1">
        <v>8</v>
      </c>
      <c r="B9" s="1" t="s">
        <v>39</v>
      </c>
      <c r="C9" s="1" t="s">
        <v>40</v>
      </c>
      <c r="D9" s="7">
        <v>45560</v>
      </c>
      <c r="E9" s="1" t="s">
        <v>7455</v>
      </c>
      <c r="F9" s="7">
        <v>45560</v>
      </c>
      <c r="G9" s="1" t="s">
        <v>7455</v>
      </c>
    </row>
    <row r="10" spans="1:7" x14ac:dyDescent="0.3">
      <c r="A10" s="1">
        <v>9</v>
      </c>
      <c r="B10" s="1" t="s">
        <v>41</v>
      </c>
      <c r="C10" s="1" t="s">
        <v>42</v>
      </c>
      <c r="D10" s="7">
        <v>45560</v>
      </c>
      <c r="E10" s="1" t="s">
        <v>7455</v>
      </c>
      <c r="F10" s="7">
        <v>45560</v>
      </c>
      <c r="G10" s="1" t="s">
        <v>7455</v>
      </c>
    </row>
  </sheetData>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8671875" defaultRowHeight="14.4" x14ac:dyDescent="0.3"/>
  <cols>
    <col min="1" max="1" width="8.88671875" style="1"/>
    <col min="2" max="2" width="15.21875" style="1" bestFit="1" customWidth="1"/>
    <col min="3" max="3" width="19.21875" style="1" bestFit="1" customWidth="1"/>
    <col min="4" max="4" width="8.21875" style="1" bestFit="1" customWidth="1"/>
    <col min="5" max="5" width="19.44140625" style="1" bestFit="1" customWidth="1"/>
    <col min="6" max="6" width="15.21875" style="1" bestFit="1" customWidth="1"/>
    <col min="7" max="7" width="21.5546875" style="1" bestFit="1" customWidth="1"/>
    <col min="8" max="8" width="13.109375" style="1" bestFit="1" customWidth="1"/>
    <col min="9" max="9" width="22.21875" style="1" bestFit="1" customWidth="1"/>
    <col min="10" max="10" width="15.5546875" style="1" bestFit="1" customWidth="1"/>
    <col min="11" max="11" width="14.33203125" style="1" bestFit="1" customWidth="1"/>
    <col min="12" max="12" width="15.5546875" style="1" bestFit="1" customWidth="1"/>
    <col min="13" max="13" width="14.33203125" style="1" bestFit="1" customWidth="1"/>
    <col min="14" max="16384" width="8.88671875" style="1"/>
  </cols>
  <sheetData>
    <row r="1" spans="1:13" x14ac:dyDescent="0.3">
      <c r="A1" s="5" t="s">
        <v>7288</v>
      </c>
      <c r="B1" s="5" t="s">
        <v>7206</v>
      </c>
      <c r="C1" s="5" t="s">
        <v>7289</v>
      </c>
      <c r="D1" s="5" t="s">
        <v>7335</v>
      </c>
      <c r="E1" s="5" t="s">
        <v>7289</v>
      </c>
      <c r="F1" s="5" t="s">
        <v>7219</v>
      </c>
      <c r="G1" s="5" t="s">
        <v>7289</v>
      </c>
      <c r="H1" s="5" t="s">
        <v>24</v>
      </c>
      <c r="I1" s="5" t="s">
        <v>43</v>
      </c>
      <c r="J1" s="5" t="s">
        <v>44</v>
      </c>
      <c r="K1" s="5" t="s">
        <v>45</v>
      </c>
      <c r="L1" s="5" t="s">
        <v>46</v>
      </c>
      <c r="M1" s="5" t="s">
        <v>47</v>
      </c>
    </row>
    <row r="2" spans="1:13" x14ac:dyDescent="0.3">
      <c r="A2" s="1">
        <v>1</v>
      </c>
      <c r="B2" s="1" t="str">
        <f>_xlfn.CONCAT(D2,"-",VLOOKUP(D2,t_objeto!B:D,3,FALSE),"-",A2)</f>
        <v>USER-PERCCO-1</v>
      </c>
      <c r="C2" s="1" t="s">
        <v>7207</v>
      </c>
      <c r="D2" s="1" t="s">
        <v>7351</v>
      </c>
      <c r="E2" s="1" t="str">
        <f>VLOOKUP(D2,t_objeto!B:C,2,FALSE)</f>
        <v>USUARIO</v>
      </c>
      <c r="F2" s="1" t="s">
        <v>7220</v>
      </c>
      <c r="G2" s="1" t="s">
        <v>7207</v>
      </c>
      <c r="H2" s="1">
        <v>8</v>
      </c>
      <c r="I2" s="1" t="str">
        <f>VLOOKUP(H2,t_entry_status!A:B,2,FALSE)</f>
        <v>PENDING</v>
      </c>
      <c r="J2" s="7">
        <v>45560</v>
      </c>
      <c r="K2" s="1" t="s">
        <v>7455</v>
      </c>
      <c r="L2" s="7">
        <v>45560</v>
      </c>
      <c r="M2" s="1" t="s">
        <v>7455</v>
      </c>
    </row>
    <row r="3" spans="1:13" x14ac:dyDescent="0.3">
      <c r="A3" s="1">
        <v>2</v>
      </c>
      <c r="B3" s="1" t="str">
        <f>_xlfn.CONCAT(D3,"-",VLOOKUP(D3,t_objeto!B:D,3,FALSE),"-",A3)</f>
        <v>USER-PERCCO-2</v>
      </c>
      <c r="C3" s="1" t="s">
        <v>7208</v>
      </c>
      <c r="D3" s="1" t="s">
        <v>7351</v>
      </c>
      <c r="E3" s="1" t="str">
        <f>VLOOKUP(D3,t_objeto!B:C,2,FALSE)</f>
        <v>USUARIO</v>
      </c>
      <c r="F3" s="1" t="s">
        <v>7221</v>
      </c>
      <c r="G3" s="1" t="s">
        <v>7208</v>
      </c>
      <c r="H3" s="1">
        <v>8</v>
      </c>
      <c r="I3" s="1" t="str">
        <f>VLOOKUP(H3,t_entry_status!A:B,2,FALSE)</f>
        <v>PENDING</v>
      </c>
      <c r="J3" s="7">
        <v>45560</v>
      </c>
      <c r="K3" s="1" t="s">
        <v>7455</v>
      </c>
      <c r="L3" s="7">
        <v>45560</v>
      </c>
      <c r="M3" s="1" t="s">
        <v>7455</v>
      </c>
    </row>
    <row r="4" spans="1:13" x14ac:dyDescent="0.3">
      <c r="A4" s="1">
        <v>3</v>
      </c>
      <c r="B4" s="1" t="str">
        <f>_xlfn.CONCAT(D4,"-",VLOOKUP(D4,t_objeto!B:D,3,FALSE),"-",A4)</f>
        <v>USER-PERCCO-3</v>
      </c>
      <c r="C4" s="1" t="s">
        <v>7209</v>
      </c>
      <c r="D4" s="1" t="s">
        <v>7351</v>
      </c>
      <c r="E4" s="1" t="str">
        <f>VLOOKUP(D4,t_objeto!B:C,2,FALSE)</f>
        <v>USUARIO</v>
      </c>
      <c r="F4" s="1" t="s">
        <v>7222</v>
      </c>
      <c r="G4" s="1" t="s">
        <v>7209</v>
      </c>
      <c r="H4" s="1">
        <v>8</v>
      </c>
      <c r="I4" s="1" t="str">
        <f>VLOOKUP(H4,t_entry_status!A:B,2,FALSE)</f>
        <v>PENDING</v>
      </c>
      <c r="J4" s="7">
        <v>45560</v>
      </c>
      <c r="K4" s="1" t="s">
        <v>7455</v>
      </c>
      <c r="L4" s="7">
        <v>45560</v>
      </c>
      <c r="M4" s="1" t="s">
        <v>7455</v>
      </c>
    </row>
    <row r="5" spans="1:13" x14ac:dyDescent="0.3">
      <c r="A5" s="1">
        <v>4</v>
      </c>
      <c r="B5" s="1" t="str">
        <f>_xlfn.CONCAT(D5,"-",VLOOKUP(D5,t_objeto!B:D,3,FALSE),"-",A5)</f>
        <v>USER-PERCCO-4</v>
      </c>
      <c r="C5" s="1" t="s">
        <v>7210</v>
      </c>
      <c r="D5" s="1" t="s">
        <v>7351</v>
      </c>
      <c r="E5" s="1" t="str">
        <f>VLOOKUP(D5,t_objeto!B:C,2,FALSE)</f>
        <v>USUARIO</v>
      </c>
      <c r="F5" s="1" t="s">
        <v>7223</v>
      </c>
      <c r="G5" s="1" t="s">
        <v>7210</v>
      </c>
      <c r="H5" s="1">
        <v>8</v>
      </c>
      <c r="I5" s="1" t="str">
        <f>VLOOKUP(H5,t_entry_status!A:B,2,FALSE)</f>
        <v>PENDING</v>
      </c>
      <c r="J5" s="7">
        <v>45560</v>
      </c>
      <c r="K5" s="1" t="s">
        <v>7455</v>
      </c>
      <c r="L5" s="7">
        <v>45560</v>
      </c>
      <c r="M5" s="1" t="s">
        <v>7455</v>
      </c>
    </row>
    <row r="6" spans="1:13" x14ac:dyDescent="0.3">
      <c r="A6" s="1">
        <v>5</v>
      </c>
      <c r="B6" s="1" t="str">
        <f>_xlfn.CONCAT(D6,"-",VLOOKUP(D6,t_objeto!B:D,3,FALSE),"-",A6)</f>
        <v>USER-PERCCO-5</v>
      </c>
      <c r="C6" s="1" t="s">
        <v>7211</v>
      </c>
      <c r="D6" s="1" t="s">
        <v>7351</v>
      </c>
      <c r="E6" s="1" t="str">
        <f>VLOOKUP(D6,t_objeto!B:C,2,FALSE)</f>
        <v>USUARIO</v>
      </c>
      <c r="F6" s="1" t="s">
        <v>7224</v>
      </c>
      <c r="G6" s="1" t="s">
        <v>7211</v>
      </c>
      <c r="H6" s="1">
        <v>8</v>
      </c>
      <c r="I6" s="1" t="str">
        <f>VLOOKUP(H6,t_entry_status!A:B,2,FALSE)</f>
        <v>PENDING</v>
      </c>
      <c r="J6" s="7">
        <v>45560</v>
      </c>
      <c r="K6" s="1" t="s">
        <v>7455</v>
      </c>
      <c r="L6" s="7">
        <v>45560</v>
      </c>
      <c r="M6" s="1" t="s">
        <v>7455</v>
      </c>
    </row>
    <row r="7" spans="1:13" x14ac:dyDescent="0.3">
      <c r="A7" s="1">
        <v>6</v>
      </c>
      <c r="B7" s="1" t="str">
        <f>_xlfn.CONCAT(D7,"-",VLOOKUP(D7,t_objeto!B:D,3,FALSE),"-",A7)</f>
        <v>USER-PERCCO-6</v>
      </c>
      <c r="C7" s="1" t="s">
        <v>7212</v>
      </c>
      <c r="D7" s="1" t="s">
        <v>7351</v>
      </c>
      <c r="E7" s="1" t="str">
        <f>VLOOKUP(D7,t_objeto!B:C,2,FALSE)</f>
        <v>USUARIO</v>
      </c>
      <c r="F7" s="1" t="s">
        <v>7225</v>
      </c>
      <c r="G7" s="1" t="s">
        <v>7212</v>
      </c>
      <c r="H7" s="1">
        <v>8</v>
      </c>
      <c r="I7" s="1" t="str">
        <f>VLOOKUP(H7,t_entry_status!A:B,2,FALSE)</f>
        <v>PENDING</v>
      </c>
      <c r="J7" s="7">
        <v>45560</v>
      </c>
      <c r="K7" s="1" t="s">
        <v>7455</v>
      </c>
      <c r="L7" s="7">
        <v>45560</v>
      </c>
      <c r="M7" s="1" t="s">
        <v>7455</v>
      </c>
    </row>
    <row r="8" spans="1:13" x14ac:dyDescent="0.3">
      <c r="A8" s="1">
        <v>7</v>
      </c>
      <c r="B8" s="1" t="str">
        <f>_xlfn.CONCAT(D8,"-",VLOOKUP(D8,t_objeto!B:D,3,FALSE),"-",A8)</f>
        <v>USER-PERCCO-7</v>
      </c>
      <c r="C8" s="1" t="s">
        <v>7213</v>
      </c>
      <c r="D8" s="1" t="s">
        <v>7351</v>
      </c>
      <c r="E8" s="1" t="str">
        <f>VLOOKUP(D8,t_objeto!B:C,2,FALSE)</f>
        <v>USUARIO</v>
      </c>
      <c r="F8" s="1" t="s">
        <v>7226</v>
      </c>
      <c r="G8" s="1" t="s">
        <v>7213</v>
      </c>
      <c r="H8" s="1">
        <v>8</v>
      </c>
      <c r="I8" s="1" t="str">
        <f>VLOOKUP(H8,t_entry_status!A:B,2,FALSE)</f>
        <v>PENDING</v>
      </c>
      <c r="J8" s="7">
        <v>45560</v>
      </c>
      <c r="K8" s="1" t="s">
        <v>7455</v>
      </c>
      <c r="L8" s="7">
        <v>45560</v>
      </c>
      <c r="M8" s="1" t="s">
        <v>7455</v>
      </c>
    </row>
    <row r="9" spans="1:13" x14ac:dyDescent="0.3">
      <c r="A9" s="1">
        <v>8</v>
      </c>
      <c r="B9" s="1" t="str">
        <f>_xlfn.CONCAT(D9,"-",VLOOKUP(D9,t_objeto!B:D,3,FALSE),"-",A9)</f>
        <v>USER-PERCCO-8</v>
      </c>
      <c r="C9" s="1" t="s">
        <v>7214</v>
      </c>
      <c r="D9" s="1" t="s">
        <v>7351</v>
      </c>
      <c r="E9" s="1" t="str">
        <f>VLOOKUP(D9,t_objeto!B:C,2,FALSE)</f>
        <v>USUARIO</v>
      </c>
      <c r="F9" s="1" t="s">
        <v>7227</v>
      </c>
      <c r="G9" s="1" t="s">
        <v>7214</v>
      </c>
      <c r="H9" s="1">
        <v>8</v>
      </c>
      <c r="I9" s="1" t="str">
        <f>VLOOKUP(H9,t_entry_status!A:B,2,FALSE)</f>
        <v>PENDING</v>
      </c>
      <c r="J9" s="7">
        <v>45560</v>
      </c>
      <c r="K9" s="1" t="s">
        <v>7455</v>
      </c>
      <c r="L9" s="7">
        <v>45560</v>
      </c>
      <c r="M9" s="1" t="s">
        <v>7455</v>
      </c>
    </row>
    <row r="10" spans="1:13" x14ac:dyDescent="0.3">
      <c r="A10" s="1">
        <v>9</v>
      </c>
      <c r="B10" s="1" t="str">
        <f>_xlfn.CONCAT(D10,"-",VLOOKUP(D10,t_objeto!B:D,3,FALSE),"-",A10)</f>
        <v>USER-PERCCO-9</v>
      </c>
      <c r="C10" s="1" t="s">
        <v>7215</v>
      </c>
      <c r="D10" s="1" t="s">
        <v>7351</v>
      </c>
      <c r="E10" s="1" t="str">
        <f>VLOOKUP(D10,t_objeto!B:C,2,FALSE)</f>
        <v>USUARIO</v>
      </c>
      <c r="F10" s="1" t="s">
        <v>7228</v>
      </c>
      <c r="G10" s="1" t="s">
        <v>7215</v>
      </c>
      <c r="H10" s="1">
        <v>8</v>
      </c>
      <c r="I10" s="1" t="str">
        <f>VLOOKUP(H10,t_entry_status!A:B,2,FALSE)</f>
        <v>PENDING</v>
      </c>
      <c r="J10" s="7">
        <v>45560</v>
      </c>
      <c r="K10" s="1" t="s">
        <v>7455</v>
      </c>
      <c r="L10" s="7">
        <v>45560</v>
      </c>
      <c r="M10" s="1" t="s">
        <v>7455</v>
      </c>
    </row>
    <row r="11" spans="1:13" x14ac:dyDescent="0.3">
      <c r="A11" s="1">
        <v>10</v>
      </c>
      <c r="B11" s="1" t="str">
        <f>_xlfn.CONCAT(D11,"-",VLOOKUP(D11,t_objeto!B:D,3,FALSE),"-",A11)</f>
        <v>USER-PERCCO-10</v>
      </c>
      <c r="C11" s="1" t="s">
        <v>7216</v>
      </c>
      <c r="D11" s="1" t="s">
        <v>7351</v>
      </c>
      <c r="E11" s="1" t="str">
        <f>VLOOKUP(D11,t_objeto!B:C,2,FALSE)</f>
        <v>USUARIO</v>
      </c>
      <c r="F11" s="1" t="s">
        <v>7229</v>
      </c>
      <c r="G11" s="1" t="s">
        <v>7216</v>
      </c>
      <c r="H11" s="1">
        <v>8</v>
      </c>
      <c r="I11" s="1" t="str">
        <f>VLOOKUP(H11,t_entry_status!A:B,2,FALSE)</f>
        <v>PENDING</v>
      </c>
      <c r="J11" s="7">
        <v>45560</v>
      </c>
      <c r="K11" s="1" t="s">
        <v>7455</v>
      </c>
      <c r="L11" s="7">
        <v>45560</v>
      </c>
      <c r="M11" s="1" t="s">
        <v>7455</v>
      </c>
    </row>
    <row r="12" spans="1:13" x14ac:dyDescent="0.3">
      <c r="A12" s="1">
        <v>11</v>
      </c>
      <c r="B12" s="1" t="str">
        <f>_xlfn.CONCAT(D12,"-",VLOOKUP(D12,t_objeto!B:D,3,FALSE),"-",A12)</f>
        <v>USER-PERCCO-11</v>
      </c>
      <c r="C12" s="1" t="s">
        <v>7217</v>
      </c>
      <c r="D12" s="1" t="s">
        <v>7351</v>
      </c>
      <c r="E12" s="1" t="str">
        <f>VLOOKUP(D12,t_objeto!B:C,2,FALSE)</f>
        <v>USUARIO</v>
      </c>
      <c r="F12" s="1" t="s">
        <v>7230</v>
      </c>
      <c r="G12" s="1" t="s">
        <v>7233</v>
      </c>
      <c r="H12" s="1">
        <v>8</v>
      </c>
      <c r="I12" s="1" t="str">
        <f>VLOOKUP(H12,t_entry_status!A:B,2,FALSE)</f>
        <v>PENDING</v>
      </c>
      <c r="J12" s="7">
        <v>45560</v>
      </c>
      <c r="K12" s="1" t="s">
        <v>7455</v>
      </c>
      <c r="L12" s="7">
        <v>45560</v>
      </c>
      <c r="M12" s="1" t="s">
        <v>7455</v>
      </c>
    </row>
    <row r="13" spans="1:13" x14ac:dyDescent="0.3">
      <c r="A13" s="1">
        <v>12</v>
      </c>
      <c r="B13" s="1" t="str">
        <f>_xlfn.CONCAT(D13,"-",VLOOKUP(D13,t_objeto!B:D,3,FALSE),"-",A13)</f>
        <v>USER-PERCCO-12</v>
      </c>
      <c r="C13" s="1" t="s">
        <v>7218</v>
      </c>
      <c r="D13" s="1" t="s">
        <v>7351</v>
      </c>
      <c r="E13" s="1" t="str">
        <f>VLOOKUP(D13,t_objeto!B:C,2,FALSE)</f>
        <v>USUARIO</v>
      </c>
      <c r="F13" s="1" t="s">
        <v>7231</v>
      </c>
      <c r="G13" s="1" t="s">
        <v>7260</v>
      </c>
      <c r="H13" s="1">
        <v>8</v>
      </c>
      <c r="I13" s="1" t="str">
        <f>VLOOKUP(H13,t_entry_status!A:B,2,FALSE)</f>
        <v>PENDING</v>
      </c>
      <c r="J13" s="7">
        <v>45560</v>
      </c>
      <c r="K13" s="1" t="s">
        <v>7455</v>
      </c>
      <c r="L13" s="7">
        <v>45560</v>
      </c>
      <c r="M13" s="1" t="s">
        <v>7455</v>
      </c>
    </row>
    <row r="18" spans="6:6" x14ac:dyDescent="0.3">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8671875" defaultRowHeight="14.4" x14ac:dyDescent="0.3"/>
  <cols>
    <col min="1" max="1" width="8.88671875" style="1"/>
    <col min="2" max="2" width="15.21875" style="1" bestFit="1" customWidth="1"/>
    <col min="3" max="3" width="21.77734375" style="1" customWidth="1"/>
    <col min="4" max="4" width="8.21875" style="1" bestFit="1" customWidth="1"/>
    <col min="5" max="5" width="19.44140625" style="1" bestFit="1" customWidth="1"/>
    <col min="6" max="6" width="13.109375" style="1" bestFit="1" customWidth="1"/>
    <col min="7" max="7" width="22.21875" style="1" bestFit="1" customWidth="1"/>
    <col min="8" max="8" width="15.5546875" style="1" bestFit="1" customWidth="1"/>
    <col min="9" max="9" width="14" style="1" bestFit="1" customWidth="1"/>
    <col min="10" max="10" width="15.5546875" style="1" bestFit="1" customWidth="1"/>
    <col min="11" max="11" width="14" style="1" bestFit="1" customWidth="1"/>
    <col min="12" max="16384" width="8.88671875" style="1"/>
  </cols>
  <sheetData>
    <row r="1" spans="1:11" x14ac:dyDescent="0.3">
      <c r="A1" s="5" t="s">
        <v>7288</v>
      </c>
      <c r="B1" s="5" t="s">
        <v>7219</v>
      </c>
      <c r="C1" s="5" t="s">
        <v>7289</v>
      </c>
      <c r="D1" s="5" t="s">
        <v>7335</v>
      </c>
      <c r="E1" s="5" t="s">
        <v>7289</v>
      </c>
      <c r="F1" s="5" t="s">
        <v>24</v>
      </c>
      <c r="G1" s="5" t="s">
        <v>43</v>
      </c>
      <c r="H1" s="5" t="s">
        <v>44</v>
      </c>
      <c r="I1" s="5" t="s">
        <v>45</v>
      </c>
      <c r="J1" s="5" t="s">
        <v>46</v>
      </c>
      <c r="K1" s="5" t="s">
        <v>47</v>
      </c>
    </row>
    <row r="2" spans="1:11" x14ac:dyDescent="0.3">
      <c r="A2" s="1">
        <v>1</v>
      </c>
      <c r="B2" s="1" t="s">
        <v>7220</v>
      </c>
      <c r="C2" s="1" t="s">
        <v>7207</v>
      </c>
      <c r="D2" s="1" t="s">
        <v>7339</v>
      </c>
      <c r="E2" s="1" t="str">
        <f>VLOOKUP(D2,t_objeto!B:C,2,FALSE)</f>
        <v>AREA</v>
      </c>
      <c r="F2" s="1">
        <v>8</v>
      </c>
      <c r="G2" s="1" t="str">
        <f>VLOOKUP(F2,t_entry_status!A:B,2,FALSE)</f>
        <v>PENDING</v>
      </c>
      <c r="H2" s="7">
        <v>45560</v>
      </c>
      <c r="I2" s="1" t="s">
        <v>7455</v>
      </c>
      <c r="J2" s="7">
        <v>45560</v>
      </c>
      <c r="K2" s="1" t="s">
        <v>7455</v>
      </c>
    </row>
    <row r="3" spans="1:11" x14ac:dyDescent="0.3">
      <c r="A3" s="1">
        <v>2</v>
      </c>
      <c r="B3" s="1" t="s">
        <v>7221</v>
      </c>
      <c r="C3" s="1" t="s">
        <v>7208</v>
      </c>
      <c r="D3" s="1" t="s">
        <v>7339</v>
      </c>
      <c r="E3" s="1" t="str">
        <f>VLOOKUP(D3,t_objeto!B:C,2,FALSE)</f>
        <v>AREA</v>
      </c>
      <c r="F3" s="1">
        <v>8</v>
      </c>
      <c r="G3" s="1" t="str">
        <f>VLOOKUP(F3,t_entry_status!A:B,2,FALSE)</f>
        <v>PENDING</v>
      </c>
      <c r="H3" s="7">
        <v>45560</v>
      </c>
      <c r="I3" s="1" t="s">
        <v>7455</v>
      </c>
      <c r="J3" s="7">
        <v>45560</v>
      </c>
      <c r="K3" s="1" t="s">
        <v>7455</v>
      </c>
    </row>
    <row r="4" spans="1:11" x14ac:dyDescent="0.3">
      <c r="A4" s="1">
        <v>3</v>
      </c>
      <c r="B4" s="1" t="s">
        <v>7222</v>
      </c>
      <c r="C4" s="1" t="s">
        <v>7209</v>
      </c>
      <c r="D4" s="1" t="s">
        <v>7339</v>
      </c>
      <c r="E4" s="1" t="str">
        <f>VLOOKUP(D4,t_objeto!B:C,2,FALSE)</f>
        <v>AREA</v>
      </c>
      <c r="F4" s="1">
        <v>8</v>
      </c>
      <c r="G4" s="1" t="str">
        <f>VLOOKUP(F4,t_entry_status!A:B,2,FALSE)</f>
        <v>PENDING</v>
      </c>
      <c r="H4" s="7">
        <v>45560</v>
      </c>
      <c r="I4" s="1" t="s">
        <v>7455</v>
      </c>
      <c r="J4" s="7">
        <v>45560</v>
      </c>
      <c r="K4" s="1" t="s">
        <v>7455</v>
      </c>
    </row>
    <row r="5" spans="1:11" x14ac:dyDescent="0.3">
      <c r="A5" s="1">
        <v>4</v>
      </c>
      <c r="B5" s="1" t="s">
        <v>7223</v>
      </c>
      <c r="C5" s="1" t="s">
        <v>7210</v>
      </c>
      <c r="D5" s="1" t="s">
        <v>7339</v>
      </c>
      <c r="E5" s="1" t="str">
        <f>VLOOKUP(D5,t_objeto!B:C,2,FALSE)</f>
        <v>AREA</v>
      </c>
      <c r="F5" s="1">
        <v>8</v>
      </c>
      <c r="G5" s="1" t="str">
        <f>VLOOKUP(F5,t_entry_status!A:B,2,FALSE)</f>
        <v>PENDING</v>
      </c>
      <c r="H5" s="7">
        <v>45560</v>
      </c>
      <c r="I5" s="1" t="s">
        <v>7455</v>
      </c>
      <c r="J5" s="7">
        <v>45560</v>
      </c>
      <c r="K5" s="1" t="s">
        <v>7455</v>
      </c>
    </row>
    <row r="6" spans="1:11" x14ac:dyDescent="0.3">
      <c r="A6" s="1">
        <v>5</v>
      </c>
      <c r="B6" s="1" t="s">
        <v>7224</v>
      </c>
      <c r="C6" s="1" t="s">
        <v>7211</v>
      </c>
      <c r="D6" s="1" t="s">
        <v>7339</v>
      </c>
      <c r="E6" s="1" t="str">
        <f>VLOOKUP(D6,t_objeto!B:C,2,FALSE)</f>
        <v>AREA</v>
      </c>
      <c r="F6" s="1">
        <v>8</v>
      </c>
      <c r="G6" s="1" t="str">
        <f>VLOOKUP(F6,t_entry_status!A:B,2,FALSE)</f>
        <v>PENDING</v>
      </c>
      <c r="H6" s="7">
        <v>45560</v>
      </c>
      <c r="I6" s="1" t="s">
        <v>7455</v>
      </c>
      <c r="J6" s="7">
        <v>45560</v>
      </c>
      <c r="K6" s="1" t="s">
        <v>7455</v>
      </c>
    </row>
    <row r="7" spans="1:11" x14ac:dyDescent="0.3">
      <c r="A7" s="1">
        <v>6</v>
      </c>
      <c r="B7" s="1" t="s">
        <v>7225</v>
      </c>
      <c r="C7" s="1" t="s">
        <v>7212</v>
      </c>
      <c r="D7" s="1" t="s">
        <v>7339</v>
      </c>
      <c r="E7" s="1" t="str">
        <f>VLOOKUP(D7,t_objeto!B:C,2,FALSE)</f>
        <v>AREA</v>
      </c>
      <c r="F7" s="1">
        <v>8</v>
      </c>
      <c r="G7" s="1" t="str">
        <f>VLOOKUP(F7,t_entry_status!A:B,2,FALSE)</f>
        <v>PENDING</v>
      </c>
      <c r="H7" s="7">
        <v>45560</v>
      </c>
      <c r="I7" s="1" t="s">
        <v>7455</v>
      </c>
      <c r="J7" s="7">
        <v>45560</v>
      </c>
      <c r="K7" s="1" t="s">
        <v>7455</v>
      </c>
    </row>
    <row r="8" spans="1:11" x14ac:dyDescent="0.3">
      <c r="A8" s="1">
        <v>7</v>
      </c>
      <c r="B8" s="1" t="s">
        <v>7226</v>
      </c>
      <c r="C8" s="1" t="s">
        <v>7213</v>
      </c>
      <c r="D8" s="1" t="s">
        <v>7339</v>
      </c>
      <c r="E8" s="1" t="str">
        <f>VLOOKUP(D8,t_objeto!B:C,2,FALSE)</f>
        <v>AREA</v>
      </c>
      <c r="F8" s="1">
        <v>8</v>
      </c>
      <c r="G8" s="1" t="str">
        <f>VLOOKUP(F8,t_entry_status!A:B,2,FALSE)</f>
        <v>PENDING</v>
      </c>
      <c r="H8" s="7">
        <v>45560</v>
      </c>
      <c r="I8" s="1" t="s">
        <v>7455</v>
      </c>
      <c r="J8" s="7">
        <v>45560</v>
      </c>
      <c r="K8" s="1" t="s">
        <v>7455</v>
      </c>
    </row>
    <row r="9" spans="1:11" x14ac:dyDescent="0.3">
      <c r="A9" s="1">
        <v>8</v>
      </c>
      <c r="B9" s="1" t="s">
        <v>7227</v>
      </c>
      <c r="C9" s="1" t="s">
        <v>7214</v>
      </c>
      <c r="D9" s="1" t="s">
        <v>7339</v>
      </c>
      <c r="E9" s="1" t="str">
        <f>VLOOKUP(D9,t_objeto!B:C,2,FALSE)</f>
        <v>AREA</v>
      </c>
      <c r="F9" s="1">
        <v>8</v>
      </c>
      <c r="G9" s="1" t="str">
        <f>VLOOKUP(F9,t_entry_status!A:B,2,FALSE)</f>
        <v>PENDING</v>
      </c>
      <c r="H9" s="7">
        <v>45560</v>
      </c>
      <c r="I9" s="1" t="s">
        <v>7455</v>
      </c>
      <c r="J9" s="7">
        <v>45560</v>
      </c>
      <c r="K9" s="1" t="s">
        <v>7455</v>
      </c>
    </row>
    <row r="10" spans="1:11" x14ac:dyDescent="0.3">
      <c r="A10" s="1">
        <v>9</v>
      </c>
      <c r="B10" s="1" t="s">
        <v>7228</v>
      </c>
      <c r="C10" s="1" t="s">
        <v>7215</v>
      </c>
      <c r="D10" s="1" t="s">
        <v>7339</v>
      </c>
      <c r="E10" s="1" t="str">
        <f>VLOOKUP(D10,t_objeto!B:C,2,FALSE)</f>
        <v>AREA</v>
      </c>
      <c r="F10" s="1">
        <v>8</v>
      </c>
      <c r="G10" s="1" t="str">
        <f>VLOOKUP(F10,t_entry_status!A:B,2,FALSE)</f>
        <v>PENDING</v>
      </c>
      <c r="H10" s="7">
        <v>45560</v>
      </c>
      <c r="I10" s="1" t="s">
        <v>7455</v>
      </c>
      <c r="J10" s="7">
        <v>45560</v>
      </c>
      <c r="K10" s="1" t="s">
        <v>7455</v>
      </c>
    </row>
    <row r="11" spans="1:11" x14ac:dyDescent="0.3">
      <c r="A11" s="1">
        <v>10</v>
      </c>
      <c r="B11" s="1" t="s">
        <v>7229</v>
      </c>
      <c r="C11" s="1" t="s">
        <v>7216</v>
      </c>
      <c r="D11" s="1" t="s">
        <v>7339</v>
      </c>
      <c r="E11" s="1" t="str">
        <f>VLOOKUP(D11,t_objeto!B:C,2,FALSE)</f>
        <v>AREA</v>
      </c>
      <c r="F11" s="1">
        <v>8</v>
      </c>
      <c r="G11" s="1" t="str">
        <f>VLOOKUP(F11,t_entry_status!A:B,2,FALSE)</f>
        <v>PENDING</v>
      </c>
      <c r="H11" s="7">
        <v>45560</v>
      </c>
      <c r="I11" s="1" t="s">
        <v>7455</v>
      </c>
      <c r="J11" s="7">
        <v>45560</v>
      </c>
      <c r="K11" s="1" t="s">
        <v>7455</v>
      </c>
    </row>
    <row r="12" spans="1:11" x14ac:dyDescent="0.3">
      <c r="A12" s="1">
        <v>11</v>
      </c>
      <c r="B12" s="1" t="s">
        <v>7230</v>
      </c>
      <c r="C12" s="1" t="s">
        <v>7233</v>
      </c>
      <c r="D12" s="1" t="s">
        <v>7339</v>
      </c>
      <c r="E12" s="1" t="str">
        <f>VLOOKUP(D12,t_objeto!B:C,2,FALSE)</f>
        <v>AREA</v>
      </c>
      <c r="F12" s="1">
        <v>8</v>
      </c>
      <c r="G12" s="1" t="str">
        <f>VLOOKUP(F12,t_entry_status!A:B,2,FALSE)</f>
        <v>PENDING</v>
      </c>
      <c r="H12" s="7">
        <v>45560</v>
      </c>
      <c r="I12" s="1" t="s">
        <v>7455</v>
      </c>
      <c r="J12" s="7">
        <v>45560</v>
      </c>
      <c r="K12" s="1" t="s">
        <v>7455</v>
      </c>
    </row>
    <row r="13" spans="1:11" x14ac:dyDescent="0.3">
      <c r="A13" s="1">
        <v>12</v>
      </c>
      <c r="B13" s="1" t="s">
        <v>7231</v>
      </c>
      <c r="C13" s="1" t="s">
        <v>7260</v>
      </c>
      <c r="D13" s="1" t="s">
        <v>7339</v>
      </c>
      <c r="E13" s="1" t="str">
        <f>VLOOKUP(D13,t_objeto!B:C,2,FALSE)</f>
        <v>AREA</v>
      </c>
      <c r="F13" s="1">
        <v>8</v>
      </c>
      <c r="G13" s="1" t="str">
        <f>VLOOKUP(F13,t_entry_status!A:B,2,FALSE)</f>
        <v>PENDING</v>
      </c>
      <c r="H13" s="7">
        <v>45560</v>
      </c>
      <c r="I13" s="1" t="s">
        <v>7455</v>
      </c>
      <c r="J13" s="7">
        <v>45560</v>
      </c>
      <c r="K13" s="1" t="s">
        <v>7455</v>
      </c>
    </row>
    <row r="14" spans="1:11" x14ac:dyDescent="0.3">
      <c r="A14" s="1">
        <v>13</v>
      </c>
      <c r="B14" s="1" t="s">
        <v>7232</v>
      </c>
      <c r="C14" s="1" t="s">
        <v>7234</v>
      </c>
      <c r="D14" s="1" t="s">
        <v>7339</v>
      </c>
      <c r="E14" s="1" t="str">
        <f>VLOOKUP(D14,t_objeto!B:C,2,FALSE)</f>
        <v>AREA</v>
      </c>
      <c r="F14" s="1">
        <v>8</v>
      </c>
      <c r="G14" s="1" t="str">
        <f>VLOOKUP(F14,t_entry_status!A:B,2,FALSE)</f>
        <v>PENDING</v>
      </c>
      <c r="H14" s="7">
        <v>45560</v>
      </c>
      <c r="I14" s="1" t="s">
        <v>7455</v>
      </c>
      <c r="J14" s="7">
        <v>45560</v>
      </c>
      <c r="K14" s="1" t="s">
        <v>7455</v>
      </c>
    </row>
    <row r="15" spans="1:11" x14ac:dyDescent="0.3">
      <c r="A15" s="1">
        <v>14</v>
      </c>
      <c r="B15" s="1" t="s">
        <v>7236</v>
      </c>
      <c r="C15" s="1" t="s">
        <v>7235</v>
      </c>
      <c r="D15" s="1" t="s">
        <v>7339</v>
      </c>
      <c r="E15" s="1" t="str">
        <f>VLOOKUP(D15,t_objeto!B:C,2,FALSE)</f>
        <v>AREA</v>
      </c>
      <c r="F15" s="1">
        <v>8</v>
      </c>
      <c r="G15" s="1" t="str">
        <f>VLOOKUP(F15,t_entry_status!A:B,2,FALSE)</f>
        <v>PENDING</v>
      </c>
      <c r="H15" s="7">
        <v>45560</v>
      </c>
      <c r="I15" s="1" t="s">
        <v>7455</v>
      </c>
      <c r="J15" s="7">
        <v>45560</v>
      </c>
      <c r="K15" s="1" t="s">
        <v>7455</v>
      </c>
    </row>
    <row r="16" spans="1:11" x14ac:dyDescent="0.3">
      <c r="A16" s="1">
        <v>15</v>
      </c>
      <c r="B16" s="1" t="s">
        <v>7237</v>
      </c>
      <c r="C16" s="1" t="s">
        <v>7217</v>
      </c>
      <c r="D16" s="1" t="s">
        <v>7339</v>
      </c>
      <c r="E16" s="1" t="str">
        <f>VLOOKUP(D16,t_objeto!B:C,2,FALSE)</f>
        <v>AREA</v>
      </c>
      <c r="F16" s="1">
        <v>8</v>
      </c>
      <c r="G16" s="1" t="str">
        <f>VLOOKUP(F16,t_entry_status!A:B,2,FALSE)</f>
        <v>PENDING</v>
      </c>
      <c r="H16" s="7">
        <v>45560</v>
      </c>
      <c r="I16" s="1" t="s">
        <v>7455</v>
      </c>
      <c r="J16" s="7">
        <v>45560</v>
      </c>
      <c r="K16" s="1" t="s">
        <v>7455</v>
      </c>
    </row>
    <row r="17" spans="1:11" x14ac:dyDescent="0.3">
      <c r="A17" s="1">
        <v>16</v>
      </c>
      <c r="B17" s="1" t="s">
        <v>7238</v>
      </c>
      <c r="C17" s="1" t="s">
        <v>7218</v>
      </c>
      <c r="D17" s="1" t="s">
        <v>7339</v>
      </c>
      <c r="E17" s="1" t="str">
        <f>VLOOKUP(D17,t_objeto!B:C,2,FALSE)</f>
        <v>AREA</v>
      </c>
      <c r="F17" s="1">
        <v>8</v>
      </c>
      <c r="G17" s="1" t="str">
        <f>VLOOKUP(F17,t_entry_status!A:B,2,FALSE)</f>
        <v>PENDING</v>
      </c>
      <c r="H17" s="7">
        <v>45560</v>
      </c>
      <c r="I17" s="1" t="s">
        <v>7455</v>
      </c>
      <c r="J17" s="7">
        <v>45560</v>
      </c>
      <c r="K17" s="1" t="s">
        <v>7455</v>
      </c>
    </row>
    <row r="18" spans="1:11" x14ac:dyDescent="0.3">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8671875" defaultRowHeight="14.4" x14ac:dyDescent="0.3"/>
  <cols>
    <col min="1" max="1" width="8.88671875" style="1"/>
    <col min="2" max="2" width="15.21875" style="1" bestFit="1" customWidth="1"/>
    <col min="3" max="3" width="21.5546875" style="1" bestFit="1" customWidth="1"/>
    <col min="4" max="4" width="8.21875" style="1" bestFit="1" customWidth="1"/>
    <col min="5" max="5" width="19.44140625" style="1" bestFit="1" customWidth="1"/>
    <col min="6" max="6" width="11.5546875" style="1" customWidth="1"/>
    <col min="7" max="7" width="21.5546875" style="1" customWidth="1"/>
    <col min="8" max="8" width="13.109375" style="1" bestFit="1" customWidth="1"/>
    <col min="9" max="9" width="22.21875" style="1" bestFit="1" customWidth="1"/>
    <col min="10" max="10" width="15.5546875" style="1" bestFit="1" customWidth="1"/>
    <col min="11" max="11" width="14" style="1" bestFit="1" customWidth="1"/>
    <col min="12" max="12" width="15.5546875" style="1" bestFit="1" customWidth="1"/>
    <col min="13" max="13" width="14" style="1" bestFit="1" customWidth="1"/>
    <col min="14" max="16384" width="8.88671875" style="1"/>
  </cols>
  <sheetData>
    <row r="1" spans="1:13" x14ac:dyDescent="0.3">
      <c r="A1" s="5" t="s">
        <v>7288</v>
      </c>
      <c r="B1" s="5" t="s">
        <v>7261</v>
      </c>
      <c r="C1" s="5" t="s">
        <v>7289</v>
      </c>
      <c r="D1" s="5" t="s">
        <v>7335</v>
      </c>
      <c r="E1" s="5" t="s">
        <v>7289</v>
      </c>
      <c r="F1" s="5" t="s">
        <v>7219</v>
      </c>
      <c r="G1" s="5" t="s">
        <v>7240</v>
      </c>
      <c r="H1" s="5" t="s">
        <v>24</v>
      </c>
      <c r="I1" s="5" t="s">
        <v>43</v>
      </c>
      <c r="J1" s="5" t="s">
        <v>44</v>
      </c>
      <c r="K1" s="5" t="s">
        <v>45</v>
      </c>
      <c r="L1" s="5" t="s">
        <v>46</v>
      </c>
      <c r="M1" s="5" t="s">
        <v>47</v>
      </c>
    </row>
    <row r="2" spans="1:13" x14ac:dyDescent="0.3">
      <c r="A2" s="1">
        <v>1</v>
      </c>
      <c r="B2" s="1" t="str">
        <f>_xlfn.CONCAT(D2,"-",VLOOKUP(D2,t_objeto!B:D,3,FALSE),"-",A2)</f>
        <v>PROC-PERCCO-1</v>
      </c>
      <c r="C2" s="1" t="s">
        <v>7262</v>
      </c>
      <c r="D2" s="1" t="s">
        <v>7352</v>
      </c>
      <c r="E2" s="1" t="str">
        <f>VLOOKUP(D2,t_objeto!B:C,2,FALSE)</f>
        <v>PROCESO</v>
      </c>
      <c r="F2" s="1" t="s">
        <v>7228</v>
      </c>
      <c r="G2" s="1" t="str">
        <f>VLOOKUP(F2,t_area!B:C,2,FALSE)</f>
        <v>Produccion_Metalicos</v>
      </c>
      <c r="H2" s="1">
        <v>8</v>
      </c>
      <c r="I2" s="1" t="str">
        <f>VLOOKUP(H2,t_entry_status!A:B,2,FALSE)</f>
        <v>PENDING</v>
      </c>
      <c r="J2" s="7">
        <v>45560</v>
      </c>
      <c r="K2" s="1" t="s">
        <v>7455</v>
      </c>
      <c r="L2" s="7">
        <v>45560</v>
      </c>
      <c r="M2" s="1" t="s">
        <v>7455</v>
      </c>
    </row>
    <row r="3" spans="1:13" x14ac:dyDescent="0.3">
      <c r="A3" s="1">
        <v>2</v>
      </c>
      <c r="B3" s="1" t="str">
        <f>_xlfn.CONCAT(D3,"-",VLOOKUP(D3,t_objeto!B:D,3,FALSE),"-",A3)</f>
        <v>PROC-PERCCO-2</v>
      </c>
      <c r="C3" s="1" t="s">
        <v>7448</v>
      </c>
      <c r="D3" s="1" t="s">
        <v>7352</v>
      </c>
      <c r="E3" s="1" t="str">
        <f>VLOOKUP(D3,t_objeto!B:C,2,FALSE)</f>
        <v>PROCESO</v>
      </c>
      <c r="F3" s="1" t="s">
        <v>7228</v>
      </c>
      <c r="G3" s="1" t="str">
        <f>VLOOKUP(F3,t_area!B:C,2,FALSE)</f>
        <v>Produccion_Metalicos</v>
      </c>
      <c r="H3" s="1">
        <v>8</v>
      </c>
      <c r="I3" s="1" t="str">
        <f>VLOOKUP(H3,t_entry_status!A:B,2,FALSE)</f>
        <v>PENDING</v>
      </c>
      <c r="J3" s="7">
        <v>45560</v>
      </c>
      <c r="K3" s="1" t="s">
        <v>7455</v>
      </c>
      <c r="L3" s="7">
        <v>45560</v>
      </c>
      <c r="M3" s="1" t="s">
        <v>7455</v>
      </c>
    </row>
    <row r="4" spans="1:13" x14ac:dyDescent="0.3">
      <c r="A4" s="1">
        <v>3</v>
      </c>
      <c r="B4" s="1" t="str">
        <f>_xlfn.CONCAT(D4,"-",VLOOKUP(D4,t_objeto!B:D,3,FALSE),"-",A4)</f>
        <v>PROC-PERCCO-3</v>
      </c>
      <c r="C4" s="1" t="s">
        <v>7263</v>
      </c>
      <c r="D4" s="1" t="s">
        <v>7352</v>
      </c>
      <c r="E4" s="1" t="str">
        <f>VLOOKUP(D4,t_objeto!B:C,2,FALSE)</f>
        <v>PROCESO</v>
      </c>
      <c r="F4" s="1" t="s">
        <v>7228</v>
      </c>
      <c r="G4" s="1" t="str">
        <f>VLOOKUP(F4,t_area!B:C,2,FALSE)</f>
        <v>Produccion_Metalicos</v>
      </c>
      <c r="H4" s="1">
        <v>8</v>
      </c>
      <c r="I4" s="1" t="str">
        <f>VLOOKUP(H4,t_entry_status!A:B,2,FALSE)</f>
        <v>PENDING</v>
      </c>
      <c r="J4" s="7">
        <v>45560</v>
      </c>
      <c r="K4" s="1" t="s">
        <v>7455</v>
      </c>
      <c r="L4" s="7">
        <v>45560</v>
      </c>
      <c r="M4" s="1" t="s">
        <v>7455</v>
      </c>
    </row>
    <row r="5" spans="1:13" x14ac:dyDescent="0.3">
      <c r="A5" s="1">
        <v>4</v>
      </c>
      <c r="B5" s="1" t="str">
        <f>_xlfn.CONCAT(D5,"-",VLOOKUP(D5,t_objeto!B:D,3,FALSE),"-",A5)</f>
        <v>PROC-PERCCO-4</v>
      </c>
      <c r="C5" s="1" t="s">
        <v>7264</v>
      </c>
      <c r="D5" s="1" t="s">
        <v>7352</v>
      </c>
      <c r="E5" s="1" t="str">
        <f>VLOOKUP(D5,t_objeto!B:C,2,FALSE)</f>
        <v>PROCESO</v>
      </c>
      <c r="F5" s="1" t="s">
        <v>7228</v>
      </c>
      <c r="G5" s="1" t="str">
        <f>VLOOKUP(F5,t_area!B:C,2,FALSE)</f>
        <v>Produccion_Metalicos</v>
      </c>
      <c r="H5" s="1">
        <v>8</v>
      </c>
      <c r="I5" s="1" t="str">
        <f>VLOOKUP(H5,t_entry_status!A:B,2,FALSE)</f>
        <v>PENDING</v>
      </c>
      <c r="J5" s="7">
        <v>45560</v>
      </c>
      <c r="K5" s="1" t="s">
        <v>7455</v>
      </c>
      <c r="L5" s="7">
        <v>45560</v>
      </c>
      <c r="M5" s="1" t="s">
        <v>7455</v>
      </c>
    </row>
    <row r="6" spans="1:13" x14ac:dyDescent="0.3">
      <c r="A6" s="1">
        <v>5</v>
      </c>
      <c r="B6" s="1" t="str">
        <f>_xlfn.CONCAT(D6,"-",VLOOKUP(D6,t_objeto!B:D,3,FALSE),"-",A6)</f>
        <v>PROC-PERCCO-5</v>
      </c>
      <c r="C6" s="1" t="s">
        <v>7265</v>
      </c>
      <c r="D6" s="1" t="s">
        <v>7352</v>
      </c>
      <c r="E6" s="1" t="str">
        <f>VLOOKUP(D6,t_objeto!B:C,2,FALSE)</f>
        <v>PROCESO</v>
      </c>
      <c r="F6" s="1" t="s">
        <v>7228</v>
      </c>
      <c r="G6" s="1" t="str">
        <f>VLOOKUP(F6,t_area!B:C,2,FALSE)</f>
        <v>Produccion_Metalicos</v>
      </c>
      <c r="H6" s="1">
        <v>8</v>
      </c>
      <c r="I6" s="1" t="str">
        <f>VLOOKUP(H6,t_entry_status!A:B,2,FALSE)</f>
        <v>PENDING</v>
      </c>
      <c r="J6" s="7">
        <v>45560</v>
      </c>
      <c r="K6" s="1" t="s">
        <v>7455</v>
      </c>
      <c r="L6" s="7">
        <v>45560</v>
      </c>
      <c r="M6" s="1" t="s">
        <v>7455</v>
      </c>
    </row>
    <row r="7" spans="1:13" x14ac:dyDescent="0.3">
      <c r="A7" s="1">
        <v>6</v>
      </c>
      <c r="B7" s="1" t="str">
        <f>_xlfn.CONCAT(D7,"-",VLOOKUP(D7,t_objeto!B:D,3,FALSE),"-",A7)</f>
        <v>PROC-PERCCO-6</v>
      </c>
      <c r="C7" s="1" t="s">
        <v>7276</v>
      </c>
      <c r="D7" s="1" t="s">
        <v>7352</v>
      </c>
      <c r="E7" s="1" t="str">
        <f>VLOOKUP(D7,t_objeto!B:C,2,FALSE)</f>
        <v>PROCESO</v>
      </c>
      <c r="F7" s="1" t="s">
        <v>7228</v>
      </c>
      <c r="G7" s="1" t="str">
        <f>VLOOKUP(F7,t_area!B:C,2,FALSE)</f>
        <v>Produccion_Metalicos</v>
      </c>
      <c r="H7" s="1">
        <v>8</v>
      </c>
      <c r="I7" s="1" t="str">
        <f>VLOOKUP(H7,t_entry_status!A:B,2,FALSE)</f>
        <v>PENDING</v>
      </c>
      <c r="J7" s="7">
        <v>45560</v>
      </c>
      <c r="K7" s="1" t="s">
        <v>7455</v>
      </c>
      <c r="L7" s="7">
        <v>45560</v>
      </c>
      <c r="M7" s="1" t="s">
        <v>7455</v>
      </c>
    </row>
    <row r="8" spans="1:13" x14ac:dyDescent="0.3">
      <c r="A8" s="1">
        <v>7</v>
      </c>
      <c r="B8" s="1" t="str">
        <f>_xlfn.CONCAT(D8,"-",VLOOKUP(D8,t_objeto!B:D,3,FALSE),"-",A8)</f>
        <v>PROC-PERCCO-7</v>
      </c>
      <c r="C8" s="1" t="s">
        <v>7277</v>
      </c>
      <c r="D8" s="1" t="s">
        <v>7352</v>
      </c>
      <c r="E8" s="1" t="str">
        <f>VLOOKUP(D8,t_objeto!B:C,2,FALSE)</f>
        <v>PROCESO</v>
      </c>
      <c r="F8" s="1" t="s">
        <v>7228</v>
      </c>
      <c r="G8" s="1" t="str">
        <f>VLOOKUP(F8,t_area!B:C,2,FALSE)</f>
        <v>Produccion_Metalicos</v>
      </c>
      <c r="H8" s="1">
        <v>8</v>
      </c>
      <c r="I8" s="1" t="str">
        <f>VLOOKUP(H8,t_entry_status!A:B,2,FALSE)</f>
        <v>PENDING</v>
      </c>
      <c r="J8" s="7">
        <v>45560</v>
      </c>
      <c r="K8" s="1" t="s">
        <v>7455</v>
      </c>
      <c r="L8" s="7">
        <v>45560</v>
      </c>
      <c r="M8" s="1" t="s">
        <v>7455</v>
      </c>
    </row>
    <row r="9" spans="1:13" x14ac:dyDescent="0.3">
      <c r="A9" s="1">
        <v>8</v>
      </c>
      <c r="B9" s="1" t="str">
        <f>_xlfn.CONCAT(D9,"-",VLOOKUP(D9,t_objeto!B:D,3,FALSE),"-",A9)</f>
        <v>PROC-PERCCO-8</v>
      </c>
      <c r="C9" s="1" t="s">
        <v>7284</v>
      </c>
      <c r="D9" s="1" t="s">
        <v>7352</v>
      </c>
      <c r="E9" s="1" t="str">
        <f>VLOOKUP(D9,t_objeto!B:C,2,FALSE)</f>
        <v>PROCESO</v>
      </c>
      <c r="F9" s="1" t="s">
        <v>7228</v>
      </c>
      <c r="G9" s="1" t="str">
        <f>VLOOKUP(F9,t_area!B:C,2,FALSE)</f>
        <v>Produccion_Metalicos</v>
      </c>
      <c r="H9" s="1">
        <v>8</v>
      </c>
      <c r="I9" s="1" t="str">
        <f>VLOOKUP(H9,t_entry_status!A:B,2,FALSE)</f>
        <v>PENDING</v>
      </c>
      <c r="J9" s="7">
        <v>45560</v>
      </c>
      <c r="K9" s="1" t="s">
        <v>7455</v>
      </c>
      <c r="L9" s="7">
        <v>45560</v>
      </c>
      <c r="M9" s="1" t="s">
        <v>7455</v>
      </c>
    </row>
    <row r="10" spans="1:13" x14ac:dyDescent="0.3">
      <c r="A10" s="1">
        <v>9</v>
      </c>
      <c r="B10" s="1" t="str">
        <f>_xlfn.CONCAT(D10,"-",VLOOKUP(D10,t_objeto!B:D,3,FALSE),"-",A10)</f>
        <v>PROC-PERCCO-9</v>
      </c>
      <c r="C10" s="1" t="s">
        <v>7344</v>
      </c>
      <c r="D10" s="1" t="s">
        <v>7352</v>
      </c>
      <c r="E10" s="1" t="str">
        <f>VLOOKUP(D10,t_objeto!B:C,2,FALSE)</f>
        <v>PROCESO</v>
      </c>
      <c r="F10" s="1" t="s">
        <v>7228</v>
      </c>
      <c r="G10" s="1" t="str">
        <f>VLOOKUP(F10,t_area!B:C,2,FALSE)</f>
        <v>Produccion_Metalicos</v>
      </c>
      <c r="H10" s="1">
        <v>8</v>
      </c>
      <c r="I10" s="1" t="str">
        <f>VLOOKUP(H10,t_entry_status!A:B,2,FALSE)</f>
        <v>PENDING</v>
      </c>
      <c r="J10" s="7">
        <v>45560</v>
      </c>
      <c r="K10" s="1" t="s">
        <v>7455</v>
      </c>
      <c r="L10" s="7">
        <v>45560</v>
      </c>
      <c r="M10" s="1" t="s">
        <v>7455</v>
      </c>
    </row>
    <row r="11" spans="1:13" x14ac:dyDescent="0.3">
      <c r="A11" s="1">
        <v>10</v>
      </c>
      <c r="B11" s="1" t="str">
        <f>_xlfn.CONCAT(D11,"-",VLOOKUP(D11,t_objeto!B:D,3,FALSE),"-",A11)</f>
        <v>PROC-PERCCO-10</v>
      </c>
      <c r="C11" s="1" t="s">
        <v>7278</v>
      </c>
      <c r="D11" s="1" t="s">
        <v>7352</v>
      </c>
      <c r="E11" s="1" t="str">
        <f>VLOOKUP(D11,t_objeto!B:C,2,FALSE)</f>
        <v>PROCESO</v>
      </c>
      <c r="F11" s="1" t="s">
        <v>7229</v>
      </c>
      <c r="G11" s="1" t="str">
        <f>VLOOKUP(F11,t_area!B:C,2,FALSE)</f>
        <v>Produccion_Parrillas</v>
      </c>
      <c r="H11" s="1">
        <v>8</v>
      </c>
      <c r="I11" s="1" t="str">
        <f>VLOOKUP(H11,t_entry_status!A:B,2,FALSE)</f>
        <v>PENDING</v>
      </c>
      <c r="J11" s="7">
        <v>45560</v>
      </c>
      <c r="K11" s="1" t="s">
        <v>7455</v>
      </c>
      <c r="L11" s="7">
        <v>45560</v>
      </c>
      <c r="M11" s="1" t="s">
        <v>7455</v>
      </c>
    </row>
    <row r="12" spans="1:13" x14ac:dyDescent="0.3">
      <c r="A12" s="1">
        <v>11</v>
      </c>
      <c r="B12" s="1" t="str">
        <f>_xlfn.CONCAT(D12,"-",VLOOKUP(D12,t_objeto!B:D,3,FALSE),"-",A12)</f>
        <v>PROC-PERCCO-11</v>
      </c>
      <c r="C12" s="1" t="s">
        <v>7347</v>
      </c>
      <c r="D12" s="1" t="s">
        <v>7352</v>
      </c>
      <c r="E12" s="1" t="str">
        <f>VLOOKUP(D12,t_objeto!B:C,2,FALSE)</f>
        <v>PROCESO</v>
      </c>
      <c r="F12" s="1" t="s">
        <v>7229</v>
      </c>
      <c r="G12" s="1" t="str">
        <f>VLOOKUP(F12,t_area!B:C,2,FALSE)</f>
        <v>Produccion_Parrillas</v>
      </c>
      <c r="H12" s="1">
        <v>8</v>
      </c>
      <c r="I12" s="1" t="str">
        <f>VLOOKUP(H12,t_entry_status!A:B,2,FALSE)</f>
        <v>PENDING</v>
      </c>
      <c r="J12" s="7">
        <v>45560</v>
      </c>
      <c r="K12" s="1" t="s">
        <v>7455</v>
      </c>
      <c r="L12" s="7">
        <v>45560</v>
      </c>
      <c r="M12" s="1" t="s">
        <v>7455</v>
      </c>
    </row>
    <row r="13" spans="1:13" x14ac:dyDescent="0.3">
      <c r="A13" s="1">
        <v>12</v>
      </c>
      <c r="B13" s="1" t="str">
        <f>_xlfn.CONCAT(D13,"-",VLOOKUP(D13,t_objeto!B:D,3,FALSE),"-",A13)</f>
        <v>PROC-PERCCO-12</v>
      </c>
      <c r="C13" s="1" t="s">
        <v>7266</v>
      </c>
      <c r="D13" s="1" t="s">
        <v>7352</v>
      </c>
      <c r="E13" s="1" t="str">
        <f>VLOOKUP(D13,t_objeto!B:C,2,FALSE)</f>
        <v>PROCESO</v>
      </c>
      <c r="F13" s="1" t="s">
        <v>7229</v>
      </c>
      <c r="G13" s="1" t="str">
        <f>VLOOKUP(F13,t_area!B:C,2,FALSE)</f>
        <v>Produccion_Parrillas</v>
      </c>
      <c r="H13" s="1">
        <v>8</v>
      </c>
      <c r="I13" s="1" t="str">
        <f>VLOOKUP(H13,t_entry_status!A:B,2,FALSE)</f>
        <v>PENDING</v>
      </c>
      <c r="J13" s="7">
        <v>45560</v>
      </c>
      <c r="K13" s="1" t="s">
        <v>7455</v>
      </c>
      <c r="L13" s="7">
        <v>45560</v>
      </c>
      <c r="M13" s="1" t="s">
        <v>7455</v>
      </c>
    </row>
    <row r="14" spans="1:13" x14ac:dyDescent="0.3">
      <c r="A14" s="1">
        <v>13</v>
      </c>
      <c r="B14" s="1" t="str">
        <f>_xlfn.CONCAT(D14,"-",VLOOKUP(D14,t_objeto!B:D,3,FALSE),"-",A14)</f>
        <v>PROC-PERCCO-13</v>
      </c>
      <c r="C14" s="1" t="s">
        <v>7267</v>
      </c>
      <c r="D14" s="1" t="s">
        <v>7352</v>
      </c>
      <c r="E14" s="1" t="str">
        <f>VLOOKUP(D14,t_objeto!B:C,2,FALSE)</f>
        <v>PROCESO</v>
      </c>
      <c r="F14" s="1" t="s">
        <v>7229</v>
      </c>
      <c r="G14" s="1" t="str">
        <f>VLOOKUP(F14,t_area!B:C,2,FALSE)</f>
        <v>Produccion_Parrillas</v>
      </c>
      <c r="H14" s="1">
        <v>8</v>
      </c>
      <c r="I14" s="1" t="str">
        <f>VLOOKUP(H14,t_entry_status!A:B,2,FALSE)</f>
        <v>PENDING</v>
      </c>
      <c r="J14" s="7">
        <v>45560</v>
      </c>
      <c r="K14" s="1" t="s">
        <v>7455</v>
      </c>
      <c r="L14" s="7">
        <v>45560</v>
      </c>
      <c r="M14" s="1" t="s">
        <v>7455</v>
      </c>
    </row>
    <row r="15" spans="1:13" x14ac:dyDescent="0.3">
      <c r="A15" s="1">
        <v>14</v>
      </c>
      <c r="B15" s="1" t="str">
        <f>_xlfn.CONCAT(D15,"-",VLOOKUP(D15,t_objeto!B:D,3,FALSE),"-",A15)</f>
        <v>PROC-PERCCO-14</v>
      </c>
      <c r="C15" s="1" t="s">
        <v>7282</v>
      </c>
      <c r="D15" s="1" t="s">
        <v>7352</v>
      </c>
      <c r="E15" s="1" t="str">
        <f>VLOOKUP(D15,t_objeto!B:C,2,FALSE)</f>
        <v>PROCESO</v>
      </c>
      <c r="F15" s="1" t="s">
        <v>7229</v>
      </c>
      <c r="G15" s="1" t="str">
        <f>VLOOKUP(F15,t_area!B:C,2,FALSE)</f>
        <v>Produccion_Parrillas</v>
      </c>
      <c r="H15" s="1">
        <v>8</v>
      </c>
      <c r="I15" s="1" t="str">
        <f>VLOOKUP(H15,t_entry_status!A:B,2,FALSE)</f>
        <v>PENDING</v>
      </c>
      <c r="J15" s="7">
        <v>45560</v>
      </c>
      <c r="K15" s="1" t="s">
        <v>7455</v>
      </c>
      <c r="L15" s="7">
        <v>45560</v>
      </c>
      <c r="M15" s="1" t="s">
        <v>7455</v>
      </c>
    </row>
    <row r="16" spans="1:13" x14ac:dyDescent="0.3">
      <c r="A16" s="1">
        <v>15</v>
      </c>
      <c r="B16" s="1" t="str">
        <f>_xlfn.CONCAT(D16,"-",VLOOKUP(D16,t_objeto!B:D,3,FALSE),"-",A16)</f>
        <v>PROC-PERCCO-15</v>
      </c>
      <c r="C16" s="1" t="s">
        <v>7285</v>
      </c>
      <c r="D16" s="1" t="s">
        <v>7352</v>
      </c>
      <c r="E16" s="1" t="str">
        <f>VLOOKUP(D16,t_objeto!B:C,2,FALSE)</f>
        <v>PROCESO</v>
      </c>
      <c r="F16" s="1" t="s">
        <v>7229</v>
      </c>
      <c r="G16" s="1" t="str">
        <f>VLOOKUP(F16,t_area!B:C,2,FALSE)</f>
        <v>Produccion_Parrillas</v>
      </c>
      <c r="H16" s="1">
        <v>8</v>
      </c>
      <c r="I16" s="1" t="str">
        <f>VLOOKUP(H16,t_entry_status!A:B,2,FALSE)</f>
        <v>PENDING</v>
      </c>
      <c r="J16" s="7">
        <v>45560</v>
      </c>
      <c r="K16" s="1" t="s">
        <v>7455</v>
      </c>
      <c r="L16" s="7">
        <v>45560</v>
      </c>
      <c r="M16" s="1" t="s">
        <v>7455</v>
      </c>
    </row>
    <row r="17" spans="1:13" x14ac:dyDescent="0.3">
      <c r="A17" s="1">
        <v>16</v>
      </c>
      <c r="B17" s="1" t="str">
        <f>_xlfn.CONCAT(D17,"-",VLOOKUP(D17,t_objeto!B:D,3,FALSE),"-",A17)</f>
        <v>PROC-PERCCO-16</v>
      </c>
      <c r="C17" s="1" t="s">
        <v>7345</v>
      </c>
      <c r="D17" s="1" t="s">
        <v>7352</v>
      </c>
      <c r="E17" s="1" t="str">
        <f>VLOOKUP(D17,t_objeto!B:C,2,FALSE)</f>
        <v>PROCESO</v>
      </c>
      <c r="F17" s="1" t="s">
        <v>7229</v>
      </c>
      <c r="G17" s="1" t="str">
        <f>VLOOKUP(F17,t_area!B:C,2,FALSE)</f>
        <v>Produccion_Parrillas</v>
      </c>
      <c r="H17" s="1">
        <v>8</v>
      </c>
      <c r="I17" s="1" t="str">
        <f>VLOOKUP(H17,t_entry_status!A:B,2,FALSE)</f>
        <v>PENDING</v>
      </c>
      <c r="J17" s="7">
        <v>45560</v>
      </c>
      <c r="K17" s="1" t="s">
        <v>7455</v>
      </c>
      <c r="L17" s="7">
        <v>45560</v>
      </c>
      <c r="M17" s="1" t="s">
        <v>7455</v>
      </c>
    </row>
    <row r="18" spans="1:13" x14ac:dyDescent="0.3">
      <c r="A18" s="1">
        <v>17</v>
      </c>
      <c r="B18" s="1" t="str">
        <f>_xlfn.CONCAT(D18,"-",VLOOKUP(D18,t_objeto!B:D,3,FALSE),"-",A18)</f>
        <v>PROC-PERCCO-17</v>
      </c>
      <c r="C18" s="1" t="s">
        <v>7279</v>
      </c>
      <c r="D18" s="1" t="s">
        <v>7352</v>
      </c>
      <c r="E18" s="1" t="str">
        <f>VLOOKUP(D18,t_objeto!B:C,2,FALSE)</f>
        <v>PROCESO</v>
      </c>
      <c r="F18" s="1" t="s">
        <v>7231</v>
      </c>
      <c r="G18" s="1" t="str">
        <f>VLOOKUP(F18,t_area!B:C,2,FALSE)</f>
        <v>Produccion_Maquinado</v>
      </c>
      <c r="H18" s="1">
        <v>8</v>
      </c>
      <c r="I18" s="1" t="str">
        <f>VLOOKUP(H18,t_entry_status!A:B,2,FALSE)</f>
        <v>PENDING</v>
      </c>
      <c r="J18" s="7">
        <v>45560</v>
      </c>
      <c r="K18" s="1" t="s">
        <v>7455</v>
      </c>
      <c r="L18" s="7">
        <v>45560</v>
      </c>
      <c r="M18" s="1" t="s">
        <v>7455</v>
      </c>
    </row>
    <row r="19" spans="1:13" x14ac:dyDescent="0.3">
      <c r="A19" s="1">
        <v>18</v>
      </c>
      <c r="B19" s="1" t="str">
        <f>_xlfn.CONCAT(D19,"-",VLOOKUP(D19,t_objeto!B:D,3,FALSE),"-",A19)</f>
        <v>PROC-PERCCO-18</v>
      </c>
      <c r="C19" s="1" t="s">
        <v>7280</v>
      </c>
      <c r="D19" s="1" t="s">
        <v>7352</v>
      </c>
      <c r="E19" s="1" t="str">
        <f>VLOOKUP(D19,t_objeto!B:C,2,FALSE)</f>
        <v>PROCESO</v>
      </c>
      <c r="F19" s="1" t="s">
        <v>7232</v>
      </c>
      <c r="G19" s="1" t="str">
        <f>VLOOKUP(F19,t_area!B:C,2,FALSE)</f>
        <v>Produccion_Galvanizado</v>
      </c>
      <c r="H19" s="1">
        <v>8</v>
      </c>
      <c r="I19" s="1" t="str">
        <f>VLOOKUP(H19,t_entry_status!A:B,2,FALSE)</f>
        <v>PENDING</v>
      </c>
      <c r="J19" s="7">
        <v>45560</v>
      </c>
      <c r="K19" s="1" t="s">
        <v>7455</v>
      </c>
      <c r="L19" s="7">
        <v>45560</v>
      </c>
      <c r="M19" s="1" t="s">
        <v>7455</v>
      </c>
    </row>
    <row r="20" spans="1:13" x14ac:dyDescent="0.3">
      <c r="A20" s="1">
        <v>19</v>
      </c>
      <c r="B20" s="1" t="str">
        <f>_xlfn.CONCAT(D20,"-",VLOOKUP(D20,t_objeto!B:D,3,FALSE),"-",A20)</f>
        <v>PROC-PERCCO-19</v>
      </c>
      <c r="C20" s="1" t="s">
        <v>7450</v>
      </c>
      <c r="D20" s="1" t="s">
        <v>7352</v>
      </c>
      <c r="E20" s="1" t="str">
        <f>VLOOKUP(D20,t_objeto!B:C,2,FALSE)</f>
        <v>PROCESO</v>
      </c>
      <c r="F20" s="1" t="s">
        <v>7230</v>
      </c>
      <c r="G20" s="1" t="str">
        <f>VLOOKUP(F20,t_area!B:C,2,FALSE)</f>
        <v>Produccion_Pintura</v>
      </c>
      <c r="H20" s="1">
        <v>8</v>
      </c>
      <c r="I20" s="1" t="str">
        <f>VLOOKUP(H20,t_entry_status!A:B,2,FALSE)</f>
        <v>PENDING</v>
      </c>
      <c r="J20" s="7">
        <v>45560</v>
      </c>
      <c r="K20" s="1" t="s">
        <v>7455</v>
      </c>
      <c r="L20" s="7">
        <v>45560</v>
      </c>
      <c r="M20" s="1" t="s">
        <v>7455</v>
      </c>
    </row>
    <row r="21" spans="1:13" x14ac:dyDescent="0.3">
      <c r="A21" s="1">
        <v>20</v>
      </c>
      <c r="B21" s="1" t="str">
        <f>_xlfn.CONCAT(D21,"-",VLOOKUP(D21,t_objeto!B:D,3,FALSE),"-",A21)</f>
        <v>PROC-PERCCO-20</v>
      </c>
      <c r="C21" s="1" t="s">
        <v>7281</v>
      </c>
      <c r="D21" s="1" t="s">
        <v>7352</v>
      </c>
      <c r="E21" s="1" t="str">
        <f>VLOOKUP(D21,t_objeto!B:C,2,FALSE)</f>
        <v>PROCESO</v>
      </c>
      <c r="F21" s="1" t="s">
        <v>7236</v>
      </c>
      <c r="G21" s="1" t="str">
        <f>VLOOKUP(F21,t_area!B:C,2,FALSE)</f>
        <v>Produccion_Instalacion</v>
      </c>
      <c r="H21" s="1">
        <v>8</v>
      </c>
      <c r="I21" s="1" t="str">
        <f>VLOOKUP(H21,t_entry_status!A:B,2,FALSE)</f>
        <v>PENDING</v>
      </c>
      <c r="J21" s="7">
        <v>45560</v>
      </c>
      <c r="K21" s="1" t="s">
        <v>7455</v>
      </c>
      <c r="L21" s="7">
        <v>45560</v>
      </c>
      <c r="M21" s="1" t="s">
        <v>7455</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topLeftCell="C1" workbookViewId="0">
      <selection activeCell="M2" sqref="M2:M3"/>
    </sheetView>
  </sheetViews>
  <sheetFormatPr baseColWidth="10" defaultColWidth="8.88671875" defaultRowHeight="14.4" x14ac:dyDescent="0.3"/>
  <cols>
    <col min="1" max="1" width="8.88671875" style="1"/>
    <col min="2" max="2" width="20.21875" style="1" customWidth="1"/>
    <col min="3" max="3" width="23.6640625" style="1" bestFit="1" customWidth="1"/>
    <col min="4" max="4" width="8.21875" style="1" bestFit="1" customWidth="1"/>
    <col min="5" max="5" width="19.44140625" style="1" bestFit="1" customWidth="1"/>
    <col min="6" max="6" width="15.5546875" style="1" customWidth="1"/>
    <col min="7" max="7" width="23.6640625" style="1" customWidth="1"/>
    <col min="8" max="8" width="11.5546875" style="1" customWidth="1"/>
    <col min="9" max="9" width="21.5546875" style="1" customWidth="1"/>
    <col min="10" max="10" width="13.109375" style="1" bestFit="1" customWidth="1"/>
    <col min="11" max="11" width="22.21875" style="1" bestFit="1" customWidth="1"/>
    <col min="12" max="12" width="15.5546875" style="1" bestFit="1" customWidth="1"/>
    <col min="13" max="13" width="14" style="1" bestFit="1" customWidth="1"/>
    <col min="14" max="14" width="15.5546875" style="1" bestFit="1" customWidth="1"/>
    <col min="15" max="15" width="14" style="1" bestFit="1" customWidth="1"/>
    <col min="16" max="16384" width="8.88671875" style="1"/>
  </cols>
  <sheetData>
    <row r="1" spans="1:15" x14ac:dyDescent="0.3">
      <c r="A1" s="5" t="s">
        <v>7288</v>
      </c>
      <c r="B1" s="5" t="s">
        <v>7239</v>
      </c>
      <c r="C1" s="5" t="s">
        <v>7289</v>
      </c>
      <c r="D1" s="5" t="s">
        <v>7335</v>
      </c>
      <c r="E1" s="5" t="s">
        <v>7289</v>
      </c>
      <c r="F1" s="5" t="s">
        <v>7261</v>
      </c>
      <c r="G1" s="5" t="s">
        <v>7268</v>
      </c>
      <c r="H1" s="5" t="s">
        <v>7219</v>
      </c>
      <c r="I1" s="5" t="s">
        <v>7240</v>
      </c>
      <c r="J1" s="5" t="s">
        <v>24</v>
      </c>
      <c r="K1" s="5" t="s">
        <v>43</v>
      </c>
      <c r="L1" s="5" t="s">
        <v>44</v>
      </c>
      <c r="M1" s="5" t="s">
        <v>45</v>
      </c>
      <c r="N1" s="5" t="s">
        <v>46</v>
      </c>
      <c r="O1" s="5" t="s">
        <v>47</v>
      </c>
    </row>
    <row r="2" spans="1:15" x14ac:dyDescent="0.3">
      <c r="A2" s="1">
        <v>1</v>
      </c>
      <c r="B2" s="1" t="str">
        <f>_xlfn.CONCAT(D2,"-",VLOOKUP(D2,t_objeto!B:D,3,FALSE),"-",A2)</f>
        <v>EQUI-PERCCO-1</v>
      </c>
      <c r="C2" s="1" t="s">
        <v>7241</v>
      </c>
      <c r="D2" s="1" t="s">
        <v>7353</v>
      </c>
      <c r="E2" s="1" t="str">
        <f>VLOOKUP(D2,t_objeto!B:C,2,FALSE)</f>
        <v>EQUIPO</v>
      </c>
      <c r="F2" s="1" t="s">
        <v>7443</v>
      </c>
      <c r="G2" s="1" t="str">
        <f>VLOOKUP(F2,t_proceso!B:C,2,FALSE)</f>
        <v>CORTE LASER</v>
      </c>
      <c r="H2" s="1">
        <v>9</v>
      </c>
      <c r="I2" s="1" t="str">
        <f>VLOOKUP(H2,t_area!A:C,3,FALSE)</f>
        <v>Produccion_Metalicos</v>
      </c>
      <c r="J2" s="1">
        <v>8</v>
      </c>
      <c r="K2" s="1" t="str">
        <f>VLOOKUP(J2,t_entry_status!A:B,2,FALSE)</f>
        <v>PENDING</v>
      </c>
      <c r="L2" s="7">
        <v>45560</v>
      </c>
      <c r="M2" s="1" t="s">
        <v>7455</v>
      </c>
      <c r="N2" s="7">
        <v>45560</v>
      </c>
      <c r="O2" s="1" t="s">
        <v>7455</v>
      </c>
    </row>
    <row r="3" spans="1:15" x14ac:dyDescent="0.3">
      <c r="A3" s="1">
        <v>2</v>
      </c>
      <c r="B3" s="1" t="str">
        <f>_xlfn.CONCAT(D3,"-",VLOOKUP(D3,t_objeto!B:D,3,FALSE),"-",A3)</f>
        <v>EQUI-PERCCO-2</v>
      </c>
      <c r="C3" s="1" t="s">
        <v>7274</v>
      </c>
      <c r="D3" s="1" t="s">
        <v>7353</v>
      </c>
      <c r="E3" s="1" t="str">
        <f>VLOOKUP(D3,t_objeto!B:C,2,FALSE)</f>
        <v>EQUIPO</v>
      </c>
      <c r="F3" s="1" t="s">
        <v>7444</v>
      </c>
      <c r="G3" s="1" t="str">
        <f>VLOOKUP(F3,t_proceso!B:C,2,FALSE)</f>
        <v>DOBLADO</v>
      </c>
      <c r="H3" s="1">
        <v>9</v>
      </c>
      <c r="I3" s="1" t="str">
        <f>VLOOKUP(H3,t_area!A:C,3,FALSE)</f>
        <v>Produccion_Metalicos</v>
      </c>
      <c r="J3" s="1">
        <v>8</v>
      </c>
      <c r="K3" s="1" t="str">
        <f>VLOOKUP(J3,t_entry_status!A:B,2,FALSE)</f>
        <v>PENDING</v>
      </c>
      <c r="L3" s="7">
        <v>45560</v>
      </c>
      <c r="M3" s="1" t="s">
        <v>7455</v>
      </c>
      <c r="N3" s="7">
        <v>45560</v>
      </c>
      <c r="O3" s="1" t="s">
        <v>7455</v>
      </c>
    </row>
    <row r="4" spans="1:15" x14ac:dyDescent="0.3">
      <c r="A4" s="1">
        <v>3</v>
      </c>
      <c r="B4" s="1" t="str">
        <f>_xlfn.CONCAT(D4,"-",VLOOKUP(D4,t_objeto!B:D,3,FALSE),"-",A4)</f>
        <v>EQUI-PERCCO-3</v>
      </c>
      <c r="C4" s="1" t="s">
        <v>7275</v>
      </c>
      <c r="D4" s="1" t="s">
        <v>7353</v>
      </c>
      <c r="E4" s="1" t="str">
        <f>VLOOKUP(D4,t_objeto!B:C,2,FALSE)</f>
        <v>EQUIPO</v>
      </c>
      <c r="F4" s="1" t="s">
        <v>7444</v>
      </c>
      <c r="G4" s="1" t="str">
        <f>VLOOKUP(F4,t_proceso!B:C,2,FALSE)</f>
        <v>DOBLADO</v>
      </c>
      <c r="H4" s="1">
        <v>9</v>
      </c>
      <c r="I4" s="1" t="str">
        <f>VLOOKUP(H4,t_area!A:C,3,FALSE)</f>
        <v>Produccion_Metalicos</v>
      </c>
      <c r="J4" s="1">
        <v>8</v>
      </c>
      <c r="K4" s="1" t="str">
        <f>VLOOKUP(J4,t_entry_status!A:B,2,FALSE)</f>
        <v>PENDING</v>
      </c>
      <c r="L4" s="7">
        <v>45560</v>
      </c>
      <c r="M4" s="1" t="s">
        <v>7455</v>
      </c>
      <c r="N4" s="7">
        <v>45560</v>
      </c>
      <c r="O4" s="1" t="s">
        <v>7455</v>
      </c>
    </row>
    <row r="5" spans="1:15" x14ac:dyDescent="0.3">
      <c r="A5" s="1">
        <v>4</v>
      </c>
      <c r="B5" s="1" t="str">
        <f>_xlfn.CONCAT(D5,"-",VLOOKUP(D5,t_objeto!B:D,3,FALSE),"-",A5)</f>
        <v>EQUI-PERCCO-4</v>
      </c>
      <c r="C5" s="1" t="s">
        <v>7454</v>
      </c>
      <c r="D5" s="1" t="s">
        <v>7353</v>
      </c>
      <c r="E5" s="1" t="str">
        <f>VLOOKUP(D5,t_objeto!B:C,2,FALSE)</f>
        <v>EQUIPO</v>
      </c>
      <c r="F5" s="1" t="s">
        <v>7445</v>
      </c>
      <c r="G5" s="1" t="str">
        <f>VLOOKUP(F5,t_proceso!B:C,2,FALSE)</f>
        <v>CIZALLADO</v>
      </c>
      <c r="H5" s="1">
        <v>9</v>
      </c>
      <c r="I5" s="1" t="str">
        <f>VLOOKUP(H5,t_area!A:C,3,FALSE)</f>
        <v>Produccion_Metalicos</v>
      </c>
      <c r="J5" s="1">
        <v>8</v>
      </c>
      <c r="K5" s="1" t="str">
        <f>VLOOKUP(J5,t_entry_status!A:B,2,FALSE)</f>
        <v>PENDING</v>
      </c>
      <c r="L5" s="7">
        <v>45560</v>
      </c>
      <c r="M5" s="1" t="s">
        <v>7455</v>
      </c>
      <c r="N5" s="7">
        <v>45560</v>
      </c>
      <c r="O5" s="1" t="s">
        <v>7455</v>
      </c>
    </row>
    <row r="6" spans="1:15" x14ac:dyDescent="0.3">
      <c r="A6" s="1">
        <v>5</v>
      </c>
      <c r="B6" s="1" t="str">
        <f>_xlfn.CONCAT(D6,"-",VLOOKUP(D6,t_objeto!B:D,3,FALSE),"-",A6)</f>
        <v>EQUI-PERCCO-5</v>
      </c>
      <c r="C6" s="1" t="s">
        <v>7242</v>
      </c>
      <c r="D6" s="1" t="s">
        <v>7353</v>
      </c>
      <c r="E6" s="1" t="str">
        <f>VLOOKUP(D6,t_objeto!B:C,2,FALSE)</f>
        <v>EQUIPO</v>
      </c>
      <c r="F6" s="1" t="s">
        <v>7446</v>
      </c>
      <c r="G6" s="1" t="str">
        <f>VLOOKUP(F6,t_proceso!B:C,2,FALSE)</f>
        <v>PUNZONADO</v>
      </c>
      <c r="H6" s="1">
        <v>9</v>
      </c>
      <c r="I6" s="1" t="str">
        <f>VLOOKUP(H6,t_area!A:C,3,FALSE)</f>
        <v>Produccion_Metalicos</v>
      </c>
      <c r="J6" s="1">
        <v>8</v>
      </c>
      <c r="K6" s="1" t="str">
        <f>VLOOKUP(J6,t_entry_status!A:B,2,FALSE)</f>
        <v>PENDING</v>
      </c>
      <c r="L6" s="7">
        <v>45560</v>
      </c>
      <c r="M6" s="1" t="s">
        <v>7455</v>
      </c>
      <c r="N6" s="7">
        <v>45560</v>
      </c>
      <c r="O6" s="1" t="s">
        <v>7455</v>
      </c>
    </row>
    <row r="7" spans="1:15" x14ac:dyDescent="0.3">
      <c r="A7" s="1">
        <v>6</v>
      </c>
      <c r="B7" s="1" t="str">
        <f>_xlfn.CONCAT(D7,"-",VLOOKUP(D7,t_objeto!B:D,3,FALSE),"-",A7)</f>
        <v>EQUI-PERCCO-6</v>
      </c>
      <c r="C7" s="1" t="s">
        <v>7452</v>
      </c>
      <c r="D7" s="1" t="s">
        <v>7353</v>
      </c>
      <c r="E7" s="1" t="str">
        <f>VLOOKUP(D7,t_objeto!B:C,2,FALSE)</f>
        <v>EQUIPO</v>
      </c>
      <c r="F7" s="1" t="s">
        <v>7447</v>
      </c>
      <c r="G7" s="1" t="str">
        <f>VLOOKUP(F7,t_proceso!B:C,2,FALSE)</f>
        <v>TROQUELADO</v>
      </c>
      <c r="H7" s="1">
        <v>9</v>
      </c>
      <c r="I7" s="1" t="str">
        <f>VLOOKUP(H7,t_area!A:C,3,FALSE)</f>
        <v>Produccion_Metalicos</v>
      </c>
      <c r="J7" s="1">
        <v>8</v>
      </c>
      <c r="K7" s="1" t="str">
        <f>VLOOKUP(J7,t_entry_status!A:B,2,FALSE)</f>
        <v>PENDING</v>
      </c>
      <c r="L7" s="7">
        <v>45560</v>
      </c>
      <c r="M7" s="1" t="s">
        <v>7455</v>
      </c>
      <c r="N7" s="7">
        <v>45560</v>
      </c>
      <c r="O7" s="1" t="s">
        <v>7455</v>
      </c>
    </row>
    <row r="8" spans="1:15" x14ac:dyDescent="0.3">
      <c r="A8" s="1">
        <v>7</v>
      </c>
      <c r="B8" s="1" t="str">
        <f>_xlfn.CONCAT(D8,"-",VLOOKUP(D8,t_objeto!B:D,3,FALSE),"-",A8)</f>
        <v>EQUI-PERCCO-7</v>
      </c>
      <c r="C8" s="1" t="s">
        <v>7453</v>
      </c>
      <c r="D8" s="1" t="s">
        <v>7353</v>
      </c>
      <c r="E8" s="1" t="str">
        <f>VLOOKUP(D8,t_objeto!B:C,2,FALSE)</f>
        <v>EQUIPO</v>
      </c>
      <c r="F8" s="1" t="s">
        <v>7447</v>
      </c>
      <c r="G8" s="1" t="str">
        <f>VLOOKUP(F8,t_proceso!B:C,2,FALSE)</f>
        <v>TROQUELADO</v>
      </c>
      <c r="H8" s="1">
        <v>9</v>
      </c>
      <c r="I8" s="1" t="str">
        <f>VLOOKUP(H8,t_area!A:C,3,FALSE)</f>
        <v>Produccion_Metalicos</v>
      </c>
      <c r="J8" s="1">
        <v>8</v>
      </c>
      <c r="K8" s="1" t="str">
        <f>VLOOKUP(J8,t_entry_status!A:B,2,FALSE)</f>
        <v>PENDING</v>
      </c>
      <c r="L8" s="7">
        <v>45560</v>
      </c>
      <c r="M8" s="1" t="s">
        <v>7455</v>
      </c>
      <c r="N8" s="7">
        <v>45560</v>
      </c>
      <c r="O8" s="1" t="s">
        <v>7455</v>
      </c>
    </row>
    <row r="9" spans="1:15" x14ac:dyDescent="0.3">
      <c r="A9" s="1">
        <v>8</v>
      </c>
      <c r="B9" s="1" t="str">
        <f>_xlfn.CONCAT(D9,"-",VLOOKUP(D9,t_objeto!B:D,3,FALSE),"-",A9)</f>
        <v>EQUI-PERCCO-8</v>
      </c>
      <c r="C9" s="1" t="s">
        <v>7243</v>
      </c>
      <c r="D9" s="1" t="s">
        <v>7353</v>
      </c>
      <c r="E9" s="1" t="str">
        <f>VLOOKUP(D9,t_objeto!B:C,2,FALSE)</f>
        <v>EQUIPO</v>
      </c>
      <c r="F9" s="1" t="s">
        <v>7447</v>
      </c>
      <c r="G9" s="1" t="str">
        <f>VLOOKUP(F9,t_proceso!B:C,2,FALSE)</f>
        <v>TROQUELADO</v>
      </c>
      <c r="H9" s="1">
        <v>9</v>
      </c>
      <c r="I9" s="1" t="str">
        <f>VLOOKUP(H9,t_area!A:C,3,FALSE)</f>
        <v>Produccion_Metalicos</v>
      </c>
      <c r="J9" s="1">
        <v>8</v>
      </c>
      <c r="K9" s="1" t="str">
        <f>VLOOKUP(J9,t_entry_status!A:B,2,FALSE)</f>
        <v>PENDING</v>
      </c>
      <c r="L9" s="7">
        <v>45560</v>
      </c>
      <c r="M9" s="1" t="s">
        <v>7455</v>
      </c>
      <c r="N9" s="7">
        <v>45560</v>
      </c>
      <c r="O9" s="1" t="s">
        <v>7455</v>
      </c>
    </row>
    <row r="10" spans="1:15" x14ac:dyDescent="0.3">
      <c r="A10" s="1">
        <v>9</v>
      </c>
      <c r="B10" s="1" t="str">
        <f>_xlfn.CONCAT(D10,"-",VLOOKUP(D10,t_objeto!B:D,3,FALSE),"-",A10)</f>
        <v>EQUI-PERCCO-9</v>
      </c>
      <c r="C10" s="1" t="s">
        <v>7259</v>
      </c>
      <c r="D10" s="1" t="s">
        <v>7353</v>
      </c>
      <c r="E10" s="1" t="str">
        <f>VLOOKUP(D10,t_objeto!B:C,2,FALSE)</f>
        <v>EQUIPO</v>
      </c>
      <c r="F10" s="1" t="s">
        <v>7449</v>
      </c>
      <c r="G10" s="1" t="str">
        <f>VLOOKUP(F10,t_proceso!B:C,2,FALSE)</f>
        <v>ROLADO</v>
      </c>
      <c r="H10" s="1">
        <v>9</v>
      </c>
      <c r="I10" s="1" t="str">
        <f>VLOOKUP(H10,t_area!A:C,3,FALSE)</f>
        <v>Produccion_Metalicos</v>
      </c>
      <c r="J10" s="1">
        <v>8</v>
      </c>
      <c r="K10" s="1" t="str">
        <f>VLOOKUP(J10,t_entry_status!A:B,2,FALSE)</f>
        <v>PENDING</v>
      </c>
      <c r="L10" s="7">
        <v>45560</v>
      </c>
      <c r="M10" s="1" t="s">
        <v>7455</v>
      </c>
      <c r="N10" s="7">
        <v>45560</v>
      </c>
      <c r="O10" s="1" t="s">
        <v>7455</v>
      </c>
    </row>
    <row r="11" spans="1:15" x14ac:dyDescent="0.3">
      <c r="A11" s="1">
        <v>10</v>
      </c>
      <c r="B11" s="1" t="str">
        <f>_xlfn.CONCAT(D11,"-",VLOOKUP(D11,t_objeto!B:D,3,FALSE),"-",A11)</f>
        <v>EQUI-PERCCO-10</v>
      </c>
      <c r="C11" s="1" t="s">
        <v>7245</v>
      </c>
      <c r="D11" s="1" t="s">
        <v>7353</v>
      </c>
      <c r="E11" s="1" t="str">
        <f>VLOOKUP(D11,t_objeto!B:C,2,FALSE)</f>
        <v>EQUIPO</v>
      </c>
      <c r="F11" s="1" t="s">
        <v>7270</v>
      </c>
      <c r="G11" s="1" t="str">
        <f>VLOOKUP(F11,t_proceso!B:C,2,FALSE)</f>
        <v>PUNTEADO</v>
      </c>
      <c r="H11" s="1">
        <v>10</v>
      </c>
      <c r="I11" s="1" t="str">
        <f>VLOOKUP(H11,t_area!A:C,3,FALSE)</f>
        <v>Produccion_Parrillas</v>
      </c>
      <c r="J11" s="1">
        <v>8</v>
      </c>
      <c r="K11" s="1" t="str">
        <f>VLOOKUP(J11,t_entry_status!A:B,2,FALSE)</f>
        <v>PENDING</v>
      </c>
      <c r="L11" s="7">
        <v>45560</v>
      </c>
      <c r="M11" s="1" t="s">
        <v>7455</v>
      </c>
      <c r="N11" s="7">
        <v>45560</v>
      </c>
      <c r="O11" s="1" t="s">
        <v>7455</v>
      </c>
    </row>
    <row r="12" spans="1:15" x14ac:dyDescent="0.3">
      <c r="A12" s="1">
        <v>11</v>
      </c>
      <c r="B12" s="1" t="str">
        <f>_xlfn.CONCAT(D12,"-",VLOOKUP(D12,t_objeto!B:D,3,FALSE),"-",A12)</f>
        <v>EQUI-PERCCO-11</v>
      </c>
      <c r="C12" s="1" t="s">
        <v>7246</v>
      </c>
      <c r="D12" s="1" t="s">
        <v>7353</v>
      </c>
      <c r="E12" s="1" t="str">
        <f>VLOOKUP(D12,t_objeto!B:C,2,FALSE)</f>
        <v>EQUIPO</v>
      </c>
      <c r="F12" s="1" t="s">
        <v>7270</v>
      </c>
      <c r="G12" s="1" t="str">
        <f>VLOOKUP(F12,t_proceso!B:C,2,FALSE)</f>
        <v>PUNTEADO</v>
      </c>
      <c r="H12" s="1">
        <v>10</v>
      </c>
      <c r="I12" s="1" t="str">
        <f>VLOOKUP(H12,t_area!A:C,3,FALSE)</f>
        <v>Produccion_Parrillas</v>
      </c>
      <c r="J12" s="1">
        <v>8</v>
      </c>
      <c r="K12" s="1" t="str">
        <f>VLOOKUP(J12,t_entry_status!A:B,2,FALSE)</f>
        <v>PENDING</v>
      </c>
      <c r="L12" s="7">
        <v>45560</v>
      </c>
      <c r="M12" s="1" t="s">
        <v>7455</v>
      </c>
      <c r="N12" s="7">
        <v>45560</v>
      </c>
      <c r="O12" s="1" t="s">
        <v>7455</v>
      </c>
    </row>
    <row r="13" spans="1:15" x14ac:dyDescent="0.3">
      <c r="A13" s="1">
        <v>12</v>
      </c>
      <c r="B13" s="1" t="str">
        <f>_xlfn.CONCAT(D13,"-",VLOOKUP(D13,t_objeto!B:D,3,FALSE),"-",A13)</f>
        <v>EQUI-PERCCO-12</v>
      </c>
      <c r="C13" s="1" t="s">
        <v>7247</v>
      </c>
      <c r="D13" s="1" t="s">
        <v>7353</v>
      </c>
      <c r="E13" s="1" t="str">
        <f>VLOOKUP(D13,t_objeto!B:C,2,FALSE)</f>
        <v>EQUIPO</v>
      </c>
      <c r="F13" s="1" t="s">
        <v>7270</v>
      </c>
      <c r="G13" s="1" t="str">
        <f>VLOOKUP(F13,t_proceso!B:C,2,FALSE)</f>
        <v>PUNTEADO</v>
      </c>
      <c r="H13" s="1">
        <v>10</v>
      </c>
      <c r="I13" s="1" t="str">
        <f>VLOOKUP(H13,t_area!A:C,3,FALSE)</f>
        <v>Produccion_Parrillas</v>
      </c>
      <c r="J13" s="1">
        <v>8</v>
      </c>
      <c r="K13" s="1" t="str">
        <f>VLOOKUP(J13,t_entry_status!A:B,2,FALSE)</f>
        <v>PENDING</v>
      </c>
      <c r="L13" s="7">
        <v>45560</v>
      </c>
      <c r="M13" s="1" t="s">
        <v>7455</v>
      </c>
      <c r="N13" s="7">
        <v>45560</v>
      </c>
      <c r="O13" s="1" t="s">
        <v>7455</v>
      </c>
    </row>
    <row r="14" spans="1:15" x14ac:dyDescent="0.3">
      <c r="A14" s="1">
        <v>13</v>
      </c>
      <c r="B14" s="1" t="str">
        <f>_xlfn.CONCAT(D14,"-",VLOOKUP(D14,t_objeto!B:D,3,FALSE),"-",A14)</f>
        <v>EQUI-PERCCO-13</v>
      </c>
      <c r="C14" s="1" t="s">
        <v>7248</v>
      </c>
      <c r="D14" s="1" t="s">
        <v>7353</v>
      </c>
      <c r="E14" s="1" t="str">
        <f>VLOOKUP(D14,t_objeto!B:C,2,FALSE)</f>
        <v>EQUIPO</v>
      </c>
      <c r="F14" s="1" t="s">
        <v>7270</v>
      </c>
      <c r="G14" s="1" t="str">
        <f>VLOOKUP(F14,t_proceso!B:C,2,FALSE)</f>
        <v>PUNTEADO</v>
      </c>
      <c r="H14" s="1">
        <v>10</v>
      </c>
      <c r="I14" s="1" t="str">
        <f>VLOOKUP(H14,t_area!A:C,3,FALSE)</f>
        <v>Produccion_Parrillas</v>
      </c>
      <c r="J14" s="1">
        <v>8</v>
      </c>
      <c r="K14" s="1" t="str">
        <f>VLOOKUP(J14,t_entry_status!A:B,2,FALSE)</f>
        <v>PENDING</v>
      </c>
      <c r="L14" s="7">
        <v>45560</v>
      </c>
      <c r="M14" s="1" t="s">
        <v>7455</v>
      </c>
      <c r="N14" s="7">
        <v>45560</v>
      </c>
      <c r="O14" s="1" t="s">
        <v>7455</v>
      </c>
    </row>
    <row r="15" spans="1:15" x14ac:dyDescent="0.3">
      <c r="A15" s="1">
        <v>14</v>
      </c>
      <c r="B15" s="1" t="str">
        <f>_xlfn.CONCAT(D15,"-",VLOOKUP(D15,t_objeto!B:D,3,FALSE),"-",A15)</f>
        <v>EQUI-PERCCO-14</v>
      </c>
      <c r="C15" s="1" t="s">
        <v>7249</v>
      </c>
      <c r="D15" s="1" t="s">
        <v>7353</v>
      </c>
      <c r="E15" s="1" t="str">
        <f>VLOOKUP(D15,t_objeto!B:C,2,FALSE)</f>
        <v>EQUIPO</v>
      </c>
      <c r="F15" s="1" t="s">
        <v>7270</v>
      </c>
      <c r="G15" s="1" t="str">
        <f>VLOOKUP(F15,t_proceso!B:C,2,FALSE)</f>
        <v>PUNTEADO</v>
      </c>
      <c r="H15" s="1">
        <v>10</v>
      </c>
      <c r="I15" s="1" t="str">
        <f>VLOOKUP(H15,t_area!A:C,3,FALSE)</f>
        <v>Produccion_Parrillas</v>
      </c>
      <c r="J15" s="1">
        <v>8</v>
      </c>
      <c r="K15" s="1" t="str">
        <f>VLOOKUP(J15,t_entry_status!A:B,2,FALSE)</f>
        <v>PENDING</v>
      </c>
      <c r="L15" s="7">
        <v>45560</v>
      </c>
      <c r="M15" s="1" t="s">
        <v>7455</v>
      </c>
      <c r="N15" s="7">
        <v>45560</v>
      </c>
      <c r="O15" s="1" t="s">
        <v>7455</v>
      </c>
    </row>
    <row r="16" spans="1:15" x14ac:dyDescent="0.3">
      <c r="A16" s="1">
        <v>15</v>
      </c>
      <c r="B16" s="1" t="str">
        <f>_xlfn.CONCAT(D16,"-",VLOOKUP(D16,t_objeto!B:D,3,FALSE),"-",A16)</f>
        <v>EQUI-PERCCO-15</v>
      </c>
      <c r="C16" s="1" t="s">
        <v>7250</v>
      </c>
      <c r="D16" s="1" t="s">
        <v>7353</v>
      </c>
      <c r="E16" s="1" t="str">
        <f>VLOOKUP(D16,t_objeto!B:C,2,FALSE)</f>
        <v>EQUIPO</v>
      </c>
      <c r="F16" s="1" t="s">
        <v>7270</v>
      </c>
      <c r="G16" s="1" t="str">
        <f>VLOOKUP(F16,t_proceso!B:C,2,FALSE)</f>
        <v>PUNTEADO</v>
      </c>
      <c r="H16" s="1">
        <v>10</v>
      </c>
      <c r="I16" s="1" t="str">
        <f>VLOOKUP(H16,t_area!A:C,3,FALSE)</f>
        <v>Produccion_Parrillas</v>
      </c>
      <c r="J16" s="1">
        <v>8</v>
      </c>
      <c r="K16" s="1" t="str">
        <f>VLOOKUP(J16,t_entry_status!A:B,2,FALSE)</f>
        <v>PENDING</v>
      </c>
      <c r="L16" s="7">
        <v>45560</v>
      </c>
      <c r="M16" s="1" t="s">
        <v>7455</v>
      </c>
      <c r="N16" s="7">
        <v>45560</v>
      </c>
      <c r="O16" s="1" t="s">
        <v>7455</v>
      </c>
    </row>
    <row r="17" spans="1:15" x14ac:dyDescent="0.3">
      <c r="A17" s="1">
        <v>16</v>
      </c>
      <c r="B17" s="1" t="str">
        <f>_xlfn.CONCAT(D17,"-",VLOOKUP(D17,t_objeto!B:D,3,FALSE),"-",A17)</f>
        <v>EQUI-PERCCO-16</v>
      </c>
      <c r="C17" s="1" t="s">
        <v>7251</v>
      </c>
      <c r="D17" s="1" t="s">
        <v>7353</v>
      </c>
      <c r="E17" s="1" t="str">
        <f>VLOOKUP(D17,t_objeto!B:C,2,FALSE)</f>
        <v>EQUIPO</v>
      </c>
      <c r="F17" s="1" t="s">
        <v>7269</v>
      </c>
      <c r="G17" s="1" t="str">
        <f>VLOOKUP(F17,t_proceso!B:C,2,FALSE)</f>
        <v>ENDEREZADO</v>
      </c>
      <c r="H17" s="1">
        <v>10</v>
      </c>
      <c r="I17" s="1" t="str">
        <f>VLOOKUP(H17,t_area!A:C,3,FALSE)</f>
        <v>Produccion_Parrillas</v>
      </c>
      <c r="J17" s="1">
        <v>8</v>
      </c>
      <c r="K17" s="1" t="str">
        <f>VLOOKUP(J17,t_entry_status!A:B,2,FALSE)</f>
        <v>PENDING</v>
      </c>
      <c r="L17" s="7">
        <v>45560</v>
      </c>
      <c r="M17" s="1" t="s">
        <v>7455</v>
      </c>
      <c r="N17" s="7">
        <v>45560</v>
      </c>
      <c r="O17" s="1" t="s">
        <v>7455</v>
      </c>
    </row>
    <row r="18" spans="1:15" x14ac:dyDescent="0.3">
      <c r="A18" s="1">
        <v>17</v>
      </c>
      <c r="B18" s="1" t="str">
        <f>_xlfn.CONCAT(D18,"-",VLOOKUP(D18,t_objeto!B:D,3,FALSE),"-",A18)</f>
        <v>EQUI-PERCCO-17</v>
      </c>
      <c r="C18" s="1" t="s">
        <v>7252</v>
      </c>
      <c r="D18" s="1" t="s">
        <v>7353</v>
      </c>
      <c r="E18" s="1" t="str">
        <f>VLOOKUP(D18,t_objeto!B:C,2,FALSE)</f>
        <v>EQUIPO</v>
      </c>
      <c r="F18" s="1" t="s">
        <v>7269</v>
      </c>
      <c r="G18" s="1" t="str">
        <f>VLOOKUP(F18,t_proceso!B:C,2,FALSE)</f>
        <v>ENDEREZADO</v>
      </c>
      <c r="H18" s="1">
        <v>10</v>
      </c>
      <c r="I18" s="1" t="str">
        <f>VLOOKUP(H18,t_area!A:C,3,FALSE)</f>
        <v>Produccion_Parrillas</v>
      </c>
      <c r="J18" s="1">
        <v>8</v>
      </c>
      <c r="K18" s="1" t="str">
        <f>VLOOKUP(J18,t_entry_status!A:B,2,FALSE)</f>
        <v>PENDING</v>
      </c>
      <c r="L18" s="7">
        <v>45560</v>
      </c>
      <c r="M18" s="1" t="s">
        <v>7455</v>
      </c>
      <c r="N18" s="7">
        <v>45560</v>
      </c>
      <c r="O18" s="1" t="s">
        <v>7455</v>
      </c>
    </row>
    <row r="19" spans="1:15" x14ac:dyDescent="0.3">
      <c r="A19" s="1">
        <v>18</v>
      </c>
      <c r="B19" s="1" t="str">
        <f>_xlfn.CONCAT(D19,"-",VLOOKUP(D19,t_objeto!B:D,3,FALSE),"-",A19)</f>
        <v>EQUI-PERCCO-18</v>
      </c>
      <c r="C19" s="1" t="s">
        <v>7253</v>
      </c>
      <c r="D19" s="1" t="s">
        <v>7353</v>
      </c>
      <c r="E19" s="1" t="str">
        <f>VLOOKUP(D19,t_objeto!B:C,2,FALSE)</f>
        <v>EQUIPO</v>
      </c>
      <c r="F19" s="1" t="s">
        <v>7269</v>
      </c>
      <c r="G19" s="1" t="str">
        <f>VLOOKUP(F19,t_proceso!B:C,2,FALSE)</f>
        <v>ENDEREZADO</v>
      </c>
      <c r="H19" s="1">
        <v>10</v>
      </c>
      <c r="I19" s="1" t="str">
        <f>VLOOKUP(H19,t_area!A:C,3,FALSE)</f>
        <v>Produccion_Parrillas</v>
      </c>
      <c r="J19" s="1">
        <v>8</v>
      </c>
      <c r="K19" s="1" t="str">
        <f>VLOOKUP(J19,t_entry_status!A:B,2,FALSE)</f>
        <v>PENDING</v>
      </c>
      <c r="L19" s="7">
        <v>45560</v>
      </c>
      <c r="M19" s="1" t="s">
        <v>7455</v>
      </c>
      <c r="N19" s="7">
        <v>45560</v>
      </c>
      <c r="O19" s="1" t="s">
        <v>7455</v>
      </c>
    </row>
    <row r="20" spans="1:15" x14ac:dyDescent="0.3">
      <c r="A20" s="1">
        <v>19</v>
      </c>
      <c r="B20" s="1" t="str">
        <f>_xlfn.CONCAT(D20,"-",VLOOKUP(D20,t_objeto!B:D,3,FALSE),"-",A20)</f>
        <v>EQUI-PERCCO-19</v>
      </c>
      <c r="C20" s="1" t="s">
        <v>7254</v>
      </c>
      <c r="D20" s="1" t="s">
        <v>7353</v>
      </c>
      <c r="E20" s="1" t="str">
        <f>VLOOKUP(D20,t_objeto!B:C,2,FALSE)</f>
        <v>EQUIPO</v>
      </c>
      <c r="F20" s="1" t="s">
        <v>7272</v>
      </c>
      <c r="G20" s="1" t="str">
        <f>VLOOKUP(F20,t_proceso!B:C,2,FALSE)</f>
        <v>DESBARBADO</v>
      </c>
      <c r="H20" s="1">
        <v>10</v>
      </c>
      <c r="I20" s="1" t="str">
        <f>VLOOKUP(H20,t_area!A:C,3,FALSE)</f>
        <v>Produccion_Parrillas</v>
      </c>
      <c r="J20" s="1">
        <v>8</v>
      </c>
      <c r="K20" s="1" t="str">
        <f>VLOOKUP(J20,t_entry_status!A:B,2,FALSE)</f>
        <v>PENDING</v>
      </c>
      <c r="L20" s="7">
        <v>45560</v>
      </c>
      <c r="M20" s="1" t="s">
        <v>7455</v>
      </c>
      <c r="N20" s="7">
        <v>45560</v>
      </c>
      <c r="O20" s="1" t="s">
        <v>7455</v>
      </c>
    </row>
    <row r="21" spans="1:15" x14ac:dyDescent="0.3">
      <c r="A21" s="1">
        <v>20</v>
      </c>
      <c r="B21" s="1" t="str">
        <f>_xlfn.CONCAT(D21,"-",VLOOKUP(D21,t_objeto!B:D,3,FALSE),"-",A21)</f>
        <v>EQUI-PERCCO-20</v>
      </c>
      <c r="C21" s="1" t="s">
        <v>7255</v>
      </c>
      <c r="D21" s="1" t="s">
        <v>7353</v>
      </c>
      <c r="E21" s="1" t="str">
        <f>VLOOKUP(D21,t_objeto!B:C,2,FALSE)</f>
        <v>EQUIPO</v>
      </c>
      <c r="F21" s="1" t="s">
        <v>7271</v>
      </c>
      <c r="G21" s="1" t="str">
        <f>VLOOKUP(F21,t_proceso!B:C,2,FALSE)</f>
        <v>SOLDADURA</v>
      </c>
      <c r="H21" s="1">
        <v>10</v>
      </c>
      <c r="I21" s="1" t="str">
        <f>VLOOKUP(H21,t_area!A:C,3,FALSE)</f>
        <v>Produccion_Parrillas</v>
      </c>
      <c r="J21" s="1">
        <v>8</v>
      </c>
      <c r="K21" s="1" t="str">
        <f>VLOOKUP(J21,t_entry_status!A:B,2,FALSE)</f>
        <v>PENDING</v>
      </c>
      <c r="L21" s="7">
        <v>45560</v>
      </c>
      <c r="M21" s="1" t="s">
        <v>7455</v>
      </c>
      <c r="N21" s="7">
        <v>45560</v>
      </c>
      <c r="O21" s="1" t="s">
        <v>7455</v>
      </c>
    </row>
    <row r="22" spans="1:15" x14ac:dyDescent="0.3">
      <c r="A22" s="1">
        <v>21</v>
      </c>
      <c r="B22" s="1" t="str">
        <f>_xlfn.CONCAT(D22,"-",VLOOKUP(D22,t_objeto!B:D,3,FALSE),"-",A22)</f>
        <v>EQUI-PERCCO-21</v>
      </c>
      <c r="C22" s="1" t="s">
        <v>7256</v>
      </c>
      <c r="D22" s="1" t="s">
        <v>7353</v>
      </c>
      <c r="E22" s="1" t="str">
        <f>VLOOKUP(D22,t_objeto!B:C,2,FALSE)</f>
        <v>EQUIPO</v>
      </c>
      <c r="F22" s="1" t="s">
        <v>7271</v>
      </c>
      <c r="G22" s="1" t="str">
        <f>VLOOKUP(F22,t_proceso!B:C,2,FALSE)</f>
        <v>SOLDADURA</v>
      </c>
      <c r="H22" s="1">
        <v>10</v>
      </c>
      <c r="I22" s="1" t="str">
        <f>VLOOKUP(H22,t_area!A:C,3,FALSE)</f>
        <v>Produccion_Parrillas</v>
      </c>
      <c r="J22" s="1">
        <v>8</v>
      </c>
      <c r="K22" s="1" t="str">
        <f>VLOOKUP(J22,t_entry_status!A:B,2,FALSE)</f>
        <v>PENDING</v>
      </c>
      <c r="L22" s="7">
        <v>45560</v>
      </c>
      <c r="M22" s="1" t="s">
        <v>7455</v>
      </c>
      <c r="N22" s="7">
        <v>45560</v>
      </c>
      <c r="O22" s="1" t="s">
        <v>7455</v>
      </c>
    </row>
    <row r="23" spans="1:15" x14ac:dyDescent="0.3">
      <c r="A23" s="1">
        <v>22</v>
      </c>
      <c r="B23" s="1" t="str">
        <f>_xlfn.CONCAT(D23,"-",VLOOKUP(D23,t_objeto!B:D,3,FALSE),"-",A23)</f>
        <v>EQUI-PERCCO-22</v>
      </c>
      <c r="C23" s="1" t="s">
        <v>7257</v>
      </c>
      <c r="D23" s="1" t="s">
        <v>7353</v>
      </c>
      <c r="E23" s="1" t="str">
        <f>VLOOKUP(D23,t_objeto!B:C,2,FALSE)</f>
        <v>EQUIPO</v>
      </c>
      <c r="F23" s="1" t="s">
        <v>7271</v>
      </c>
      <c r="G23" s="1" t="str">
        <f>VLOOKUP(F23,t_proceso!B:C,2,FALSE)</f>
        <v>SOLDADURA</v>
      </c>
      <c r="H23" s="1">
        <v>10</v>
      </c>
      <c r="I23" s="1" t="str">
        <f>VLOOKUP(H23,t_area!A:C,3,FALSE)</f>
        <v>Produccion_Parrillas</v>
      </c>
      <c r="J23" s="1">
        <v>8</v>
      </c>
      <c r="K23" s="1" t="str">
        <f>VLOOKUP(J23,t_entry_status!A:B,2,FALSE)</f>
        <v>PENDING</v>
      </c>
      <c r="L23" s="7">
        <v>45560</v>
      </c>
      <c r="M23" s="1" t="s">
        <v>7455</v>
      </c>
      <c r="N23" s="7">
        <v>45560</v>
      </c>
      <c r="O23" s="1" t="s">
        <v>7455</v>
      </c>
    </row>
    <row r="24" spans="1:15" x14ac:dyDescent="0.3">
      <c r="A24" s="1">
        <v>23</v>
      </c>
      <c r="B24" s="1" t="str">
        <f>_xlfn.CONCAT(D24,"-",VLOOKUP(D24,t_objeto!B:D,3,FALSE),"-",A24)</f>
        <v>EQUI-PERCCO-23</v>
      </c>
      <c r="C24" s="1" t="s">
        <v>7258</v>
      </c>
      <c r="D24" s="1" t="s">
        <v>7353</v>
      </c>
      <c r="E24" s="1" t="str">
        <f>VLOOKUP(D24,t_objeto!B:C,2,FALSE)</f>
        <v>EQUIPO</v>
      </c>
      <c r="F24" s="1" t="s">
        <v>7271</v>
      </c>
      <c r="G24" s="1" t="str">
        <f>VLOOKUP(F24,t_proceso!B:C,2,FALSE)</f>
        <v>SOLDADURA</v>
      </c>
      <c r="H24" s="1">
        <v>10</v>
      </c>
      <c r="I24" s="1" t="str">
        <f>VLOOKUP(H24,t_area!A:C,3,FALSE)</f>
        <v>Produccion_Parrillas</v>
      </c>
      <c r="J24" s="1">
        <v>8</v>
      </c>
      <c r="K24" s="1" t="str">
        <f>VLOOKUP(J24,t_entry_status!A:B,2,FALSE)</f>
        <v>PENDING</v>
      </c>
      <c r="L24" s="7">
        <v>45560</v>
      </c>
      <c r="M24" s="1" t="s">
        <v>7455</v>
      </c>
      <c r="N24" s="7">
        <v>45560</v>
      </c>
      <c r="O24" s="1" t="s">
        <v>7455</v>
      </c>
    </row>
    <row r="25" spans="1:15" x14ac:dyDescent="0.3">
      <c r="A25" s="1">
        <v>24</v>
      </c>
      <c r="B25" s="1" t="str">
        <f>_xlfn.CONCAT(D25,"-",VLOOKUP(D25,t_objeto!B:D,3,FALSE),"-",A25)</f>
        <v>EQUI-PERCCO-24</v>
      </c>
      <c r="C25" s="1" t="s">
        <v>7451</v>
      </c>
      <c r="D25" s="1" t="s">
        <v>7353</v>
      </c>
      <c r="E25" s="1" t="str">
        <f>VLOOKUP(D25,t_objeto!B:C,2,FALSE)</f>
        <v>EQUIPO</v>
      </c>
      <c r="F25" s="1" t="s">
        <v>7273</v>
      </c>
      <c r="G25" s="1" t="str">
        <f>VLOOKUP(F25,t_proceso!B:C,2,FALSE)</f>
        <v>MAQUINADO</v>
      </c>
      <c r="H25" s="1">
        <v>12</v>
      </c>
      <c r="I25" s="1" t="str">
        <f>VLOOKUP(H25,t_area!A:C,3,FALSE)</f>
        <v>Produccion_Maquinado</v>
      </c>
      <c r="J25" s="1">
        <v>8</v>
      </c>
      <c r="K25" s="1" t="str">
        <f>VLOOKUP(J25,t_entry_status!A:B,2,FALSE)</f>
        <v>PENDING</v>
      </c>
      <c r="L25" s="7">
        <v>45560</v>
      </c>
      <c r="M25" s="1" t="s">
        <v>7455</v>
      </c>
      <c r="N25" s="7">
        <v>45560</v>
      </c>
      <c r="O25" s="1" t="s">
        <v>7455</v>
      </c>
    </row>
    <row r="26" spans="1:15" x14ac:dyDescent="0.3">
      <c r="A26" s="1">
        <v>25</v>
      </c>
      <c r="B26" s="1" t="str">
        <f>_xlfn.CONCAT(D26,"-",VLOOKUP(D26,t_objeto!B:D,3,FALSE),"-",A26)</f>
        <v>EQUI-PERCCO-25</v>
      </c>
      <c r="C26" s="1" t="s">
        <v>7283</v>
      </c>
      <c r="D26" s="1" t="s">
        <v>7353</v>
      </c>
      <c r="E26" s="1" t="str">
        <f>VLOOKUP(D26,t_objeto!B:C,2,FALSE)</f>
        <v>EQUIPO</v>
      </c>
      <c r="F26" s="1" t="s">
        <v>7346</v>
      </c>
      <c r="G26" s="1" t="str">
        <f>VLOOKUP(F26,t_proceso!B:C,2,FALSE)</f>
        <v>GALVANIZADO</v>
      </c>
      <c r="H26" s="1">
        <v>13</v>
      </c>
      <c r="I26" s="1" t="str">
        <f>VLOOKUP(H26,t_area!A:C,3,FALSE)</f>
        <v>Produccion_Galvanizado</v>
      </c>
      <c r="J26" s="1">
        <v>8</v>
      </c>
      <c r="K26" s="1" t="str">
        <f>VLOOKUP(J26,t_entry_status!A:B,2,FALSE)</f>
        <v>PENDING</v>
      </c>
      <c r="L26" s="7">
        <v>45560</v>
      </c>
      <c r="M26" s="1" t="s">
        <v>7455</v>
      </c>
      <c r="N26" s="7">
        <v>45560</v>
      </c>
      <c r="O26" s="1" t="s">
        <v>7455</v>
      </c>
    </row>
    <row r="27" spans="1:15" x14ac:dyDescent="0.3">
      <c r="A27" s="1">
        <v>26</v>
      </c>
      <c r="B27" s="1" t="str">
        <f>_xlfn.CONCAT(D27,"-",VLOOKUP(D27,t_objeto!B:D,3,FALSE),"-",A27)</f>
        <v>EQUI-PERCCO-26</v>
      </c>
      <c r="C27" s="1" t="s">
        <v>7244</v>
      </c>
      <c r="D27" s="1" t="s">
        <v>7353</v>
      </c>
      <c r="E27" s="1" t="str">
        <f>VLOOKUP(D27,t_objeto!B:C,2,FALSE)</f>
        <v>EQUIPO</v>
      </c>
      <c r="F27" s="1" t="s">
        <v>7348</v>
      </c>
      <c r="G27" s="1" t="str">
        <f>VLOOKUP(F27,t_proceso!B:C,2,FALSE)</f>
        <v>PINTADO</v>
      </c>
      <c r="H27" s="1">
        <v>11</v>
      </c>
      <c r="I27" s="1" t="str">
        <f>VLOOKUP(H27,t_area!A:C,3,FALSE)</f>
        <v>Produccion_Pintura</v>
      </c>
      <c r="J27" s="1">
        <v>8</v>
      </c>
      <c r="K27" s="1" t="str">
        <f>VLOOKUP(J27,t_entry_status!A:B,2,FALSE)</f>
        <v>PENDING</v>
      </c>
      <c r="L27" s="7">
        <v>45560</v>
      </c>
      <c r="M27" s="1" t="s">
        <v>7455</v>
      </c>
      <c r="N27" s="7">
        <v>45560</v>
      </c>
      <c r="O27" s="1" t="s">
        <v>7455</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A04DD48A-9B27-4864-9FC5-7B7AB8F4CF9E}">
          <x14:formula1>
            <xm:f>t_objeto!$B:$B</xm:f>
          </x14:formula1>
          <xm:sqref>D2:D27</xm:sqref>
        </x14:dataValidation>
        <x14:dataValidation type="list" allowBlank="1" showInputMessage="1" showErrorMessage="1" xr:uid="{3DF83D37-2251-40D9-8ABE-2EDD09D82052}">
          <x14:formula1>
            <xm:f>t_proceso!$B:$B</xm:f>
          </x14:formula1>
          <xm:sqref>F2:F27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13"/>
  <sheetViews>
    <sheetView workbookViewId="0">
      <selection activeCell="J2" sqref="J2:J3"/>
    </sheetView>
  </sheetViews>
  <sheetFormatPr baseColWidth="10" defaultColWidth="8.88671875" defaultRowHeight="14.4" x14ac:dyDescent="0.3"/>
  <cols>
    <col min="1" max="1" width="3" style="1" bestFit="1" customWidth="1"/>
    <col min="2" max="2" width="8.21875" style="1" bestFit="1" customWidth="1"/>
    <col min="3" max="3" width="20" style="1" bestFit="1" customWidth="1"/>
    <col min="4" max="4" width="9.88671875" style="1" bestFit="1" customWidth="1"/>
    <col min="5" max="5" width="13.109375" style="1" bestFit="1" customWidth="1"/>
    <col min="6" max="6" width="22.21875" style="1" bestFit="1" customWidth="1"/>
    <col min="7" max="7" width="15.5546875" style="1" bestFit="1" customWidth="1"/>
    <col min="8" max="8" width="14" style="1" bestFit="1" customWidth="1"/>
    <col min="9" max="9" width="15.5546875" style="1" bestFit="1" customWidth="1"/>
    <col min="10" max="10" width="14" style="1" bestFit="1" customWidth="1"/>
    <col min="11" max="16384" width="8.88671875" style="1"/>
  </cols>
  <sheetData>
    <row r="1" spans="1:10" x14ac:dyDescent="0.3">
      <c r="A1" s="5" t="s">
        <v>7288</v>
      </c>
      <c r="B1" s="5" t="s">
        <v>7335</v>
      </c>
      <c r="C1" s="5" t="s">
        <v>7289</v>
      </c>
      <c r="D1" s="5" t="s">
        <v>7286</v>
      </c>
      <c r="E1" s="5" t="s">
        <v>24</v>
      </c>
      <c r="F1" s="5" t="s">
        <v>43</v>
      </c>
      <c r="G1" s="5" t="s">
        <v>44</v>
      </c>
      <c r="H1" s="5" t="s">
        <v>45</v>
      </c>
      <c r="I1" s="5" t="s">
        <v>46</v>
      </c>
      <c r="J1" s="5" t="s">
        <v>47</v>
      </c>
    </row>
    <row r="2" spans="1:10" x14ac:dyDescent="0.3">
      <c r="A2" s="1">
        <v>1</v>
      </c>
      <c r="B2" s="1" t="s">
        <v>7349</v>
      </c>
      <c r="C2" s="1" t="s">
        <v>7337</v>
      </c>
      <c r="D2" s="2" t="s">
        <v>7287</v>
      </c>
      <c r="E2" s="1">
        <v>8</v>
      </c>
      <c r="F2" s="1" t="str">
        <f>VLOOKUP(E2,t_entry_status!A:B,2,FALSE)</f>
        <v>PENDING</v>
      </c>
      <c r="G2" s="7">
        <v>45560</v>
      </c>
      <c r="H2" s="1" t="s">
        <v>7455</v>
      </c>
      <c r="I2" s="7">
        <v>45560</v>
      </c>
      <c r="J2" s="1" t="s">
        <v>7455</v>
      </c>
    </row>
    <row r="3" spans="1:10" x14ac:dyDescent="0.3">
      <c r="A3" s="1">
        <v>2</v>
      </c>
      <c r="B3" s="1" t="s">
        <v>7350</v>
      </c>
      <c r="C3" s="1" t="s">
        <v>7338</v>
      </c>
      <c r="D3" s="2" t="s">
        <v>7287</v>
      </c>
      <c r="E3" s="1">
        <v>8</v>
      </c>
      <c r="F3" s="1" t="str">
        <f>VLOOKUP(E3,t_entry_status!A:B,2,FALSE)</f>
        <v>PENDING</v>
      </c>
      <c r="G3" s="7">
        <v>45560</v>
      </c>
      <c r="H3" s="1" t="s">
        <v>7455</v>
      </c>
      <c r="I3" s="7">
        <v>45560</v>
      </c>
      <c r="J3" s="1" t="s">
        <v>7455</v>
      </c>
    </row>
    <row r="4" spans="1:10" x14ac:dyDescent="0.3">
      <c r="A4" s="1">
        <v>3</v>
      </c>
      <c r="B4" s="1" t="s">
        <v>7351</v>
      </c>
      <c r="C4" s="1" t="s">
        <v>7336</v>
      </c>
      <c r="D4" s="2" t="s">
        <v>7287</v>
      </c>
      <c r="E4" s="1">
        <v>8</v>
      </c>
      <c r="F4" s="1" t="str">
        <f>VLOOKUP(E4,t_entry_status!A:B,2,FALSE)</f>
        <v>PENDING</v>
      </c>
      <c r="G4" s="7">
        <v>45560</v>
      </c>
      <c r="H4" s="1" t="s">
        <v>7455</v>
      </c>
      <c r="I4" s="7">
        <v>45560</v>
      </c>
      <c r="J4" s="1" t="s">
        <v>7455</v>
      </c>
    </row>
    <row r="5" spans="1:10" x14ac:dyDescent="0.3">
      <c r="A5" s="1">
        <v>4</v>
      </c>
      <c r="B5" s="1" t="s">
        <v>7339</v>
      </c>
      <c r="C5" s="1" t="s">
        <v>7339</v>
      </c>
      <c r="D5" s="2" t="s">
        <v>7287</v>
      </c>
      <c r="E5" s="1">
        <v>8</v>
      </c>
      <c r="F5" s="1" t="str">
        <f>VLOOKUP(E5,t_entry_status!A:B,2,FALSE)</f>
        <v>PENDING</v>
      </c>
      <c r="G5" s="7">
        <v>45560</v>
      </c>
      <c r="H5" s="1" t="s">
        <v>7455</v>
      </c>
      <c r="I5" s="7">
        <v>45560</v>
      </c>
      <c r="J5" s="1" t="s">
        <v>7455</v>
      </c>
    </row>
    <row r="6" spans="1:10" x14ac:dyDescent="0.3">
      <c r="A6" s="1">
        <v>5</v>
      </c>
      <c r="B6" s="1" t="s">
        <v>7352</v>
      </c>
      <c r="C6" s="1" t="s">
        <v>7340</v>
      </c>
      <c r="D6" s="2" t="s">
        <v>7287</v>
      </c>
      <c r="E6" s="1">
        <v>8</v>
      </c>
      <c r="F6" s="1" t="str">
        <f>VLOOKUP(E6,t_entry_status!A:B,2,FALSE)</f>
        <v>PENDING</v>
      </c>
      <c r="G6" s="7">
        <v>45560</v>
      </c>
      <c r="H6" s="1" t="s">
        <v>7455</v>
      </c>
      <c r="I6" s="7">
        <v>45560</v>
      </c>
      <c r="J6" s="1" t="s">
        <v>7455</v>
      </c>
    </row>
    <row r="7" spans="1:10" x14ac:dyDescent="0.3">
      <c r="A7" s="1">
        <v>6</v>
      </c>
      <c r="B7" s="1" t="s">
        <v>7353</v>
      </c>
      <c r="C7" s="1" t="s">
        <v>7341</v>
      </c>
      <c r="D7" s="2" t="s">
        <v>7287</v>
      </c>
      <c r="E7" s="1">
        <v>8</v>
      </c>
      <c r="F7" s="1" t="str">
        <f>VLOOKUP(E7,t_entry_status!A:B,2,FALSE)</f>
        <v>PENDING</v>
      </c>
      <c r="G7" s="7">
        <v>45560</v>
      </c>
      <c r="H7" s="1" t="s">
        <v>7455</v>
      </c>
      <c r="I7" s="7">
        <v>45560</v>
      </c>
      <c r="J7" s="1" t="s">
        <v>7455</v>
      </c>
    </row>
    <row r="8" spans="1:10" x14ac:dyDescent="0.3">
      <c r="A8" s="1">
        <v>7</v>
      </c>
      <c r="B8" s="1" t="s">
        <v>7354</v>
      </c>
      <c r="C8" s="1" t="s">
        <v>7342</v>
      </c>
      <c r="D8" s="2" t="s">
        <v>7287</v>
      </c>
      <c r="E8" s="1">
        <v>8</v>
      </c>
      <c r="F8" s="1" t="str">
        <f>VLOOKUP(E8,t_entry_status!A:B,2,FALSE)</f>
        <v>PENDING</v>
      </c>
      <c r="G8" s="7">
        <v>45560</v>
      </c>
      <c r="H8" s="1" t="s">
        <v>7455</v>
      </c>
      <c r="I8" s="7">
        <v>45560</v>
      </c>
      <c r="J8" s="1" t="s">
        <v>7455</v>
      </c>
    </row>
    <row r="9" spans="1:10" x14ac:dyDescent="0.3">
      <c r="A9" s="1">
        <v>8</v>
      </c>
      <c r="B9" s="1" t="s">
        <v>7355</v>
      </c>
      <c r="C9" s="1" t="s">
        <v>7343</v>
      </c>
      <c r="D9" s="2" t="s">
        <v>7287</v>
      </c>
      <c r="E9" s="1">
        <v>8</v>
      </c>
      <c r="F9" s="1" t="str">
        <f>VLOOKUP(E9,t_entry_status!A:B,2,FALSE)</f>
        <v>PENDING</v>
      </c>
      <c r="G9" s="7">
        <v>45560</v>
      </c>
      <c r="H9" s="1" t="s">
        <v>7455</v>
      </c>
      <c r="I9" s="7">
        <v>45560</v>
      </c>
      <c r="J9" s="1" t="s">
        <v>7455</v>
      </c>
    </row>
    <row r="10" spans="1:10" x14ac:dyDescent="0.3">
      <c r="A10" s="1">
        <v>9</v>
      </c>
      <c r="B10" s="1" t="s">
        <v>7356</v>
      </c>
      <c r="C10" s="1" t="s">
        <v>7357</v>
      </c>
      <c r="D10" s="2" t="s">
        <v>7287</v>
      </c>
      <c r="E10" s="1">
        <v>8</v>
      </c>
      <c r="F10" s="1" t="str">
        <f>VLOOKUP(E10,t_entry_status!A:B,2,FALSE)</f>
        <v>PENDING</v>
      </c>
      <c r="G10" s="7">
        <v>45560</v>
      </c>
      <c r="H10" s="1" t="s">
        <v>7455</v>
      </c>
      <c r="I10" s="7">
        <v>45560</v>
      </c>
      <c r="J10" s="1" t="s">
        <v>7455</v>
      </c>
    </row>
    <row r="11" spans="1:10" x14ac:dyDescent="0.3">
      <c r="A11" s="1">
        <v>10</v>
      </c>
      <c r="B11" s="1" t="s">
        <v>7360</v>
      </c>
      <c r="C11" s="1" t="s">
        <v>7358</v>
      </c>
      <c r="D11" s="2" t="s">
        <v>7287</v>
      </c>
      <c r="E11" s="1">
        <v>8</v>
      </c>
      <c r="F11" s="1" t="str">
        <f>VLOOKUP(E11,t_entry_status!A:B,2,FALSE)</f>
        <v>PENDING</v>
      </c>
      <c r="G11" s="7">
        <v>45560</v>
      </c>
      <c r="H11" s="1" t="s">
        <v>7455</v>
      </c>
      <c r="I11" s="7">
        <v>45560</v>
      </c>
      <c r="J11" s="1" t="s">
        <v>7455</v>
      </c>
    </row>
    <row r="12" spans="1:10" x14ac:dyDescent="0.3">
      <c r="A12" s="1">
        <v>11</v>
      </c>
      <c r="B12" s="1" t="s">
        <v>7361</v>
      </c>
      <c r="C12" s="1" t="s">
        <v>7359</v>
      </c>
      <c r="D12" s="2" t="s">
        <v>7287</v>
      </c>
      <c r="E12" s="1">
        <v>8</v>
      </c>
      <c r="F12" s="1" t="str">
        <f>VLOOKUP(E12,t_entry_status!A:B,2,FALSE)</f>
        <v>PENDING</v>
      </c>
      <c r="G12" s="7">
        <v>45560</v>
      </c>
      <c r="H12" s="1" t="s">
        <v>7455</v>
      </c>
      <c r="I12" s="7">
        <v>45560</v>
      </c>
      <c r="J12" s="1" t="s">
        <v>7455</v>
      </c>
    </row>
    <row r="13" spans="1:10" x14ac:dyDescent="0.3">
      <c r="A13" s="1">
        <v>12</v>
      </c>
      <c r="B13" s="1" t="s">
        <v>7438</v>
      </c>
      <c r="C13" s="1" t="s">
        <v>7439</v>
      </c>
      <c r="D13" s="2" t="s">
        <v>7287</v>
      </c>
      <c r="E13" s="1">
        <v>8</v>
      </c>
      <c r="F13" s="1" t="str">
        <f>VLOOKUP(E13,t_entry_status!A:B,2,FALSE)</f>
        <v>PENDING</v>
      </c>
      <c r="G13" s="7">
        <v>45560</v>
      </c>
      <c r="H13" s="1" t="s">
        <v>7455</v>
      </c>
      <c r="I13" s="7">
        <v>45560</v>
      </c>
      <c r="J13" s="1" t="s">
        <v>7455</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C8F2EC4-4175-4F6C-940B-E1E287D1868B}">
          <x14:formula1>
            <xm:f>t_entry_status!$A:$A</xm:f>
          </x14:formula1>
          <xm:sqref>E2:E13</xm:sqref>
        </x14:dataValidation>
        <x14:dataValidation type="list" allowBlank="1" showInputMessage="1" showErrorMessage="1" xr:uid="{3219AE60-9C8D-42F5-B7D0-700E98C7DB6F}">
          <x14:formula1>
            <xm:f>t_empresa!$B:$B</xm:f>
          </x14:formula1>
          <xm:sqref>D2:D13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J2" sqref="AJ2:AJ3"/>
    </sheetView>
  </sheetViews>
  <sheetFormatPr baseColWidth="10" defaultRowHeight="14.4" x14ac:dyDescent="0.3"/>
  <cols>
    <col min="1" max="1" width="11.44140625" style="14" customWidth="1"/>
    <col min="2" max="2" width="21.21875" style="14" bestFit="1" customWidth="1"/>
    <col min="3" max="3" width="43.5546875" style="14" bestFit="1" customWidth="1"/>
    <col min="4" max="4" width="27.88671875" style="14" bestFit="1" customWidth="1"/>
    <col min="5" max="5" width="27.21875" style="14" bestFit="1" customWidth="1"/>
    <col min="6" max="6" width="26.44140625" style="14" customWidth="1"/>
    <col min="7" max="7" width="19.33203125" style="14" bestFit="1" customWidth="1"/>
    <col min="8" max="8" width="19.5546875" style="15" customWidth="1"/>
    <col min="9" max="10" width="17.5546875" style="15" customWidth="1"/>
    <col min="11" max="11" width="13.6640625" style="16" customWidth="1"/>
    <col min="12" max="14" width="11.5546875" style="23" customWidth="1"/>
    <col min="15" max="15" width="16.109375" style="23" customWidth="1"/>
    <col min="16" max="16" width="22.44140625" style="23" customWidth="1"/>
    <col min="17" max="17" width="11.5546875" style="19" customWidth="1"/>
    <col min="18" max="19" width="13.6640625" style="17" customWidth="1"/>
    <col min="20" max="21" width="13.6640625" style="16" customWidth="1"/>
    <col min="22" max="22" width="21.77734375" style="18" customWidth="1"/>
    <col min="23" max="23" width="26.5546875" style="18" customWidth="1"/>
    <col min="24" max="24" width="17" style="18" customWidth="1"/>
    <col min="25" max="25" width="19.109375" style="18" customWidth="1"/>
    <col min="26" max="26" width="22.88671875" style="18" customWidth="1"/>
    <col min="27" max="29" width="18.5546875" style="14" customWidth="1"/>
    <col min="30" max="30" width="20.6640625" style="19" customWidth="1"/>
    <col min="31" max="31" width="14.88671875" style="1" bestFit="1" customWidth="1"/>
    <col min="32" max="32" width="19.44140625" style="1" bestFit="1" customWidth="1"/>
    <col min="33" max="33" width="13.109375" style="1" bestFit="1" customWidth="1"/>
    <col min="34" max="34" width="22.21875" style="1" bestFit="1" customWidth="1"/>
    <col min="35" max="35" width="16.88671875" style="1" bestFit="1" customWidth="1"/>
    <col min="36" max="36" width="14" style="1" bestFit="1" customWidth="1"/>
    <col min="37" max="37" width="15.5546875" style="1" bestFit="1" customWidth="1"/>
    <col min="38" max="38" width="14" style="1" bestFit="1" customWidth="1"/>
    <col min="39" max="16384" width="11.5546875" style="19"/>
  </cols>
  <sheetData>
    <row r="1" spans="1:38" s="5" customFormat="1" x14ac:dyDescent="0.3">
      <c r="A1" s="5" t="s">
        <v>7288</v>
      </c>
      <c r="B1" s="5" t="s">
        <v>7442</v>
      </c>
      <c r="C1" s="5" t="s">
        <v>7410</v>
      </c>
      <c r="D1" s="5" t="s">
        <v>7411</v>
      </c>
      <c r="E1" s="5" t="s">
        <v>7413</v>
      </c>
      <c r="F1" s="5" t="s">
        <v>7414</v>
      </c>
      <c r="G1" s="5" t="s">
        <v>7415</v>
      </c>
      <c r="H1" s="5" t="s">
        <v>7362</v>
      </c>
      <c r="I1" s="5" t="s">
        <v>7363</v>
      </c>
      <c r="J1" s="5" t="s">
        <v>7364</v>
      </c>
      <c r="K1" s="5" t="s">
        <v>7365</v>
      </c>
      <c r="L1" s="5" t="s">
        <v>7366</v>
      </c>
      <c r="M1" s="5" t="s">
        <v>7367</v>
      </c>
      <c r="N1" s="5" t="s">
        <v>7368</v>
      </c>
      <c r="O1" s="5" t="s">
        <v>7369</v>
      </c>
      <c r="P1" s="5" t="s">
        <v>7370</v>
      </c>
      <c r="Q1" s="5" t="s">
        <v>7371</v>
      </c>
      <c r="R1" s="5" t="s">
        <v>7372</v>
      </c>
      <c r="S1" s="5" t="s">
        <v>7373</v>
      </c>
      <c r="T1" s="5" t="s">
        <v>7374</v>
      </c>
      <c r="U1" s="5" t="s">
        <v>7375</v>
      </c>
      <c r="V1" s="5" t="s">
        <v>7376</v>
      </c>
      <c r="W1" s="5" t="s">
        <v>7377</v>
      </c>
      <c r="X1" s="5" t="s">
        <v>7378</v>
      </c>
      <c r="Y1" s="5" t="s">
        <v>7379</v>
      </c>
      <c r="Z1" s="5" t="s">
        <v>7380</v>
      </c>
      <c r="AA1" s="5" t="s">
        <v>7381</v>
      </c>
      <c r="AB1" s="5" t="s">
        <v>7382</v>
      </c>
      <c r="AC1" s="5" t="s">
        <v>7383</v>
      </c>
      <c r="AD1" s="5" t="s">
        <v>7384</v>
      </c>
      <c r="AE1" s="5" t="s">
        <v>7335</v>
      </c>
      <c r="AF1" s="5" t="s">
        <v>7289</v>
      </c>
      <c r="AG1" s="5" t="s">
        <v>24</v>
      </c>
      <c r="AH1" s="5" t="s">
        <v>43</v>
      </c>
      <c r="AI1" s="5" t="s">
        <v>44</v>
      </c>
      <c r="AJ1" s="5" t="s">
        <v>45</v>
      </c>
      <c r="AK1" s="5" t="s">
        <v>46</v>
      </c>
      <c r="AL1" s="5" t="s">
        <v>47</v>
      </c>
    </row>
    <row r="2" spans="1:38" s="20" customFormat="1" x14ac:dyDescent="0.3">
      <c r="A2" s="14">
        <v>1</v>
      </c>
      <c r="B2" s="14" t="str">
        <f>_xlfn.CONCAT(AE2,"-",VLOOKUP(AE2,t_objeto!B:D,3,FALSE),"-",A2)</f>
        <v>RMAT-PERCCO-1</v>
      </c>
      <c r="C2" s="22" t="str">
        <f>_xlfn.CONCAT(D2,"_","_",E2,"_",F2,"_",R2,"'","X",S2,"'","_",H2)</f>
        <v>LAMINA_LISA__ACERO_GALVANIZADA_3'X8'_10</v>
      </c>
      <c r="D2" s="14" t="s">
        <v>7412</v>
      </c>
      <c r="E2" s="14" t="s">
        <v>7385</v>
      </c>
      <c r="F2" s="21" t="s">
        <v>7386</v>
      </c>
      <c r="G2" s="22" t="s">
        <v>7387</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7356</v>
      </c>
      <c r="AF2" s="1" t="str">
        <f>VLOOKUP(AE2,t_objeto!B:C,2,FALSE)</f>
        <v>RAW_MATERIAL</v>
      </c>
      <c r="AG2" s="1">
        <v>8</v>
      </c>
      <c r="AH2" s="1" t="str">
        <f>VLOOKUP(AG2,t_entry_status!A:AE,2,FALSE)</f>
        <v>PENDING</v>
      </c>
      <c r="AI2" s="7">
        <v>45560</v>
      </c>
      <c r="AJ2" s="1" t="s">
        <v>7455</v>
      </c>
      <c r="AK2" s="7">
        <v>45560</v>
      </c>
      <c r="AL2" s="1" t="s">
        <v>7455</v>
      </c>
    </row>
    <row r="3" spans="1:38" s="20" customFormat="1" x14ac:dyDescent="0.3">
      <c r="A3" s="14">
        <v>2</v>
      </c>
      <c r="B3" s="14" t="str">
        <f>_xlfn.CONCAT(AE3,"-",VLOOKUP(AE3,t_objeto!B:D,3,FALSE),"-",A3)</f>
        <v>RMAT-PERCCO-2</v>
      </c>
      <c r="C3" s="22" t="str">
        <f t="shared" ref="C3:C66" si="9">_xlfn.CONCAT(D3,"_","_",E3,"_",F3,"_",R3,"'","X",S3,"'","_",H3)</f>
        <v>LAMINA_LISA__ACERO_GALVANIZADA_3'X8'_11</v>
      </c>
      <c r="D3" s="14" t="s">
        <v>7412</v>
      </c>
      <c r="E3" s="14" t="s">
        <v>7385</v>
      </c>
      <c r="F3" s="21" t="s">
        <v>7386</v>
      </c>
      <c r="G3" s="22" t="s">
        <v>7387</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7356</v>
      </c>
      <c r="AF3" s="1" t="str">
        <f>VLOOKUP(AE3,t_objeto!B:C,2,FALSE)</f>
        <v>RAW_MATERIAL</v>
      </c>
      <c r="AG3" s="1">
        <v>8</v>
      </c>
      <c r="AH3" s="1" t="str">
        <f>VLOOKUP(AG3,t_entry_status!A:AE,2,FALSE)</f>
        <v>PENDING</v>
      </c>
      <c r="AI3" s="7">
        <v>45560</v>
      </c>
      <c r="AJ3" s="1" t="s">
        <v>7455</v>
      </c>
      <c r="AK3" s="7">
        <v>45560</v>
      </c>
      <c r="AL3" s="1" t="s">
        <v>7455</v>
      </c>
    </row>
    <row r="4" spans="1:38" s="20" customFormat="1" x14ac:dyDescent="0.3">
      <c r="A4" s="14">
        <v>3</v>
      </c>
      <c r="B4" s="14" t="str">
        <f>_xlfn.CONCAT(AE4,"-",VLOOKUP(AE4,t_objeto!B:D,3,FALSE),"-",A4)</f>
        <v>RMAT-PERCCO-3</v>
      </c>
      <c r="C4" s="22" t="str">
        <f t="shared" si="9"/>
        <v>LAMINA_LISA__ACERO_GALVANIZADA_3'X8'_12</v>
      </c>
      <c r="D4" s="14" t="s">
        <v>7412</v>
      </c>
      <c r="E4" s="14" t="s">
        <v>7385</v>
      </c>
      <c r="F4" s="21" t="s">
        <v>7386</v>
      </c>
      <c r="G4" s="22" t="s">
        <v>7387</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7356</v>
      </c>
      <c r="AF4" s="1" t="str">
        <f>VLOOKUP(AE4,t_objeto!B:C,2,FALSE)</f>
        <v>RAW_MATERIAL</v>
      </c>
      <c r="AG4" s="1">
        <v>8</v>
      </c>
      <c r="AH4" s="1" t="str">
        <f>VLOOKUP(AG4,t_entry_status!A:AE,2,FALSE)</f>
        <v>PENDING</v>
      </c>
      <c r="AI4" s="7">
        <v>45560</v>
      </c>
      <c r="AJ4" s="1" t="s">
        <v>7455</v>
      </c>
      <c r="AK4" s="7">
        <v>45560</v>
      </c>
      <c r="AL4" s="1" t="s">
        <v>7455</v>
      </c>
    </row>
    <row r="5" spans="1:38" s="20" customFormat="1" x14ac:dyDescent="0.3">
      <c r="A5" s="14">
        <v>4</v>
      </c>
      <c r="B5" s="14" t="str">
        <f>_xlfn.CONCAT(AE5,"-",VLOOKUP(AE5,t_objeto!B:D,3,FALSE),"-",A5)</f>
        <v>RMAT-PERCCO-4</v>
      </c>
      <c r="C5" s="22" t="str">
        <f t="shared" si="9"/>
        <v>LAMINA_LISA__ACERO_GALVANIZADA_3'X8'_13</v>
      </c>
      <c r="D5" s="14" t="s">
        <v>7412</v>
      </c>
      <c r="E5" s="14" t="s">
        <v>7385</v>
      </c>
      <c r="F5" s="21" t="s">
        <v>7386</v>
      </c>
      <c r="G5" s="22" t="s">
        <v>7387</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7356</v>
      </c>
      <c r="AF5" s="1" t="str">
        <f>VLOOKUP(AE5,t_objeto!B:C,2,FALSE)</f>
        <v>RAW_MATERIAL</v>
      </c>
      <c r="AG5" s="1">
        <v>8</v>
      </c>
      <c r="AH5" s="1" t="str">
        <f>VLOOKUP(AG5,t_entry_status!A:AE,2,FALSE)</f>
        <v>PENDING</v>
      </c>
      <c r="AI5" s="7">
        <v>45560</v>
      </c>
      <c r="AJ5" s="1" t="s">
        <v>7455</v>
      </c>
      <c r="AK5" s="7">
        <v>45560</v>
      </c>
      <c r="AL5" s="1" t="s">
        <v>7455</v>
      </c>
    </row>
    <row r="6" spans="1:38" s="20" customFormat="1" ht="18" x14ac:dyDescent="0.35">
      <c r="A6" s="14">
        <v>5</v>
      </c>
      <c r="B6" s="14" t="str">
        <f>_xlfn.CONCAT(AE6,"-",VLOOKUP(AE6,t_objeto!B:D,3,FALSE),"-",A6)</f>
        <v>RMAT-PERCCO-5</v>
      </c>
      <c r="C6" s="22" t="str">
        <f t="shared" si="9"/>
        <v>LAMINA_LISA__ACERO_GALVANIZADA_3'X8'_14</v>
      </c>
      <c r="D6" s="14" t="s">
        <v>7412</v>
      </c>
      <c r="E6" s="14" t="s">
        <v>7385</v>
      </c>
      <c r="F6" s="21" t="s">
        <v>7386</v>
      </c>
      <c r="G6" s="22" t="s">
        <v>7387</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7356</v>
      </c>
      <c r="AF6" s="1" t="str">
        <f>VLOOKUP(AE6,t_objeto!B:C,2,FALSE)</f>
        <v>RAW_MATERIAL</v>
      </c>
      <c r="AG6" s="1">
        <v>8</v>
      </c>
      <c r="AH6" s="1" t="str">
        <f>VLOOKUP(AG6,t_entry_status!A:AE,2,FALSE)</f>
        <v>PENDING</v>
      </c>
      <c r="AI6" s="7">
        <v>45560</v>
      </c>
      <c r="AJ6" s="1" t="s">
        <v>7455</v>
      </c>
      <c r="AK6" s="7">
        <v>45560</v>
      </c>
      <c r="AL6" s="1" t="s">
        <v>7455</v>
      </c>
    </row>
    <row r="7" spans="1:38" s="20" customFormat="1" x14ac:dyDescent="0.3">
      <c r="A7" s="14">
        <v>6</v>
      </c>
      <c r="B7" s="14" t="str">
        <f>_xlfn.CONCAT(AE7,"-",VLOOKUP(AE7,t_objeto!B:D,3,FALSE),"-",A7)</f>
        <v>RMAT-PERCCO-6</v>
      </c>
      <c r="C7" s="22" t="str">
        <f t="shared" si="9"/>
        <v>LAMINA_LISA__ACERO_GALVANIZADA_3'X8'_15</v>
      </c>
      <c r="D7" s="14" t="s">
        <v>7412</v>
      </c>
      <c r="E7" s="14" t="s">
        <v>7385</v>
      </c>
      <c r="F7" s="21" t="s">
        <v>7386</v>
      </c>
      <c r="G7" s="22" t="s">
        <v>7387</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7356</v>
      </c>
      <c r="AF7" s="1" t="str">
        <f>VLOOKUP(AE7,t_objeto!B:C,2,FALSE)</f>
        <v>RAW_MATERIAL</v>
      </c>
      <c r="AG7" s="1">
        <v>8</v>
      </c>
      <c r="AH7" s="1" t="str">
        <f>VLOOKUP(AG7,t_entry_status!A:AE,2,FALSE)</f>
        <v>PENDING</v>
      </c>
      <c r="AI7" s="7">
        <v>45560</v>
      </c>
      <c r="AJ7" s="1" t="s">
        <v>7455</v>
      </c>
      <c r="AK7" s="7">
        <v>45560</v>
      </c>
      <c r="AL7" s="1" t="s">
        <v>7455</v>
      </c>
    </row>
    <row r="8" spans="1:38" s="20" customFormat="1" x14ac:dyDescent="0.3">
      <c r="A8" s="14">
        <v>7</v>
      </c>
      <c r="B8" s="14" t="str">
        <f>_xlfn.CONCAT(AE8,"-",VLOOKUP(AE8,t_objeto!B:D,3,FALSE),"-",A8)</f>
        <v>RMAT-PERCCO-7</v>
      </c>
      <c r="C8" s="22" t="str">
        <f t="shared" si="9"/>
        <v>LAMINA_LISA__ACERO_GALVANIZADA_3'X8'_16</v>
      </c>
      <c r="D8" s="14" t="s">
        <v>7412</v>
      </c>
      <c r="E8" s="14" t="s">
        <v>7385</v>
      </c>
      <c r="F8" s="21" t="s">
        <v>7386</v>
      </c>
      <c r="G8" s="22" t="s">
        <v>7387</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7356</v>
      </c>
      <c r="AF8" s="1" t="str">
        <f>VLOOKUP(AE8,t_objeto!B:C,2,FALSE)</f>
        <v>RAW_MATERIAL</v>
      </c>
      <c r="AG8" s="1">
        <v>8</v>
      </c>
      <c r="AH8" s="1" t="str">
        <f>VLOOKUP(AG8,t_entry_status!A:AE,2,FALSE)</f>
        <v>PENDING</v>
      </c>
      <c r="AI8" s="7">
        <v>45560</v>
      </c>
      <c r="AJ8" s="1" t="s">
        <v>7455</v>
      </c>
      <c r="AK8" s="7">
        <v>45560</v>
      </c>
      <c r="AL8" s="1" t="s">
        <v>7455</v>
      </c>
    </row>
    <row r="9" spans="1:38" s="20" customFormat="1" x14ac:dyDescent="0.3">
      <c r="A9" s="14">
        <v>8</v>
      </c>
      <c r="B9" s="14" t="str">
        <f>_xlfn.CONCAT(AE9,"-",VLOOKUP(AE9,t_objeto!B:D,3,FALSE),"-",A9)</f>
        <v>RMAT-PERCCO-8</v>
      </c>
      <c r="C9" s="22" t="str">
        <f t="shared" si="9"/>
        <v>LAMINA_LISA__ACERO_GALVANIZADA_3'X8'_17</v>
      </c>
      <c r="D9" s="14" t="s">
        <v>7412</v>
      </c>
      <c r="E9" s="14" t="s">
        <v>7385</v>
      </c>
      <c r="F9" s="21" t="s">
        <v>7386</v>
      </c>
      <c r="G9" s="22" t="s">
        <v>7387</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7356</v>
      </c>
      <c r="AF9" s="1" t="str">
        <f>VLOOKUP(AE9,t_objeto!B:C,2,FALSE)</f>
        <v>RAW_MATERIAL</v>
      </c>
      <c r="AG9" s="1">
        <v>8</v>
      </c>
      <c r="AH9" s="1" t="str">
        <f>VLOOKUP(AG9,t_entry_status!A:AE,2,FALSE)</f>
        <v>PENDING</v>
      </c>
      <c r="AI9" s="7">
        <v>45560</v>
      </c>
      <c r="AJ9" s="1" t="s">
        <v>7455</v>
      </c>
      <c r="AK9" s="7">
        <v>45560</v>
      </c>
      <c r="AL9" s="1" t="s">
        <v>7455</v>
      </c>
    </row>
    <row r="10" spans="1:38" s="20" customFormat="1" x14ac:dyDescent="0.3">
      <c r="A10" s="14">
        <v>9</v>
      </c>
      <c r="B10" s="14" t="str">
        <f>_xlfn.CONCAT(AE10,"-",VLOOKUP(AE10,t_objeto!B:D,3,FALSE),"-",A10)</f>
        <v>RMAT-PERCCO-9</v>
      </c>
      <c r="C10" s="22" t="str">
        <f t="shared" si="9"/>
        <v>LAMINA_LISA__ACERO_GALVANIZADA_3'X8'_18</v>
      </c>
      <c r="D10" s="14" t="s">
        <v>7412</v>
      </c>
      <c r="E10" s="14" t="s">
        <v>7385</v>
      </c>
      <c r="F10" s="21" t="s">
        <v>7386</v>
      </c>
      <c r="G10" s="22" t="s">
        <v>7387</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7356</v>
      </c>
      <c r="AF10" s="1" t="str">
        <f>VLOOKUP(AE10,t_objeto!B:C,2,FALSE)</f>
        <v>RAW_MATERIAL</v>
      </c>
      <c r="AG10" s="1">
        <v>8</v>
      </c>
      <c r="AH10" s="1" t="str">
        <f>VLOOKUP(AG10,t_entry_status!A:AE,2,FALSE)</f>
        <v>PENDING</v>
      </c>
      <c r="AI10" s="7">
        <v>45560</v>
      </c>
      <c r="AJ10" s="1" t="s">
        <v>7455</v>
      </c>
      <c r="AK10" s="7">
        <v>45560</v>
      </c>
      <c r="AL10" s="1" t="s">
        <v>7455</v>
      </c>
    </row>
    <row r="11" spans="1:38" s="20" customFormat="1" x14ac:dyDescent="0.3">
      <c r="A11" s="14">
        <v>10</v>
      </c>
      <c r="B11" s="14" t="str">
        <f>_xlfn.CONCAT(AE11,"-",VLOOKUP(AE11,t_objeto!B:D,3,FALSE),"-",A11)</f>
        <v>RMAT-PERCCO-10</v>
      </c>
      <c r="C11" s="22" t="str">
        <f t="shared" si="9"/>
        <v>LAMINA_LISA__ACERO_GALVANIZADA_3'X8'_19</v>
      </c>
      <c r="D11" s="14" t="s">
        <v>7412</v>
      </c>
      <c r="E11" s="14" t="s">
        <v>7385</v>
      </c>
      <c r="F11" s="21" t="s">
        <v>7386</v>
      </c>
      <c r="G11" s="22" t="s">
        <v>7387</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7356</v>
      </c>
      <c r="AF11" s="1" t="str">
        <f>VLOOKUP(AE11,t_objeto!B:C,2,FALSE)</f>
        <v>RAW_MATERIAL</v>
      </c>
      <c r="AG11" s="1">
        <v>8</v>
      </c>
      <c r="AH11" s="1" t="str">
        <f>VLOOKUP(AG11,t_entry_status!A:AE,2,FALSE)</f>
        <v>PENDING</v>
      </c>
      <c r="AI11" s="7">
        <v>45560</v>
      </c>
      <c r="AJ11" s="1" t="s">
        <v>7455</v>
      </c>
      <c r="AK11" s="7">
        <v>45560</v>
      </c>
      <c r="AL11" s="1" t="s">
        <v>7455</v>
      </c>
    </row>
    <row r="12" spans="1:38" s="20" customFormat="1" x14ac:dyDescent="0.3">
      <c r="A12" s="14">
        <v>11</v>
      </c>
      <c r="B12" s="14" t="str">
        <f>_xlfn.CONCAT(AE12,"-",VLOOKUP(AE12,t_objeto!B:D,3,FALSE),"-",A12)</f>
        <v>RMAT-PERCCO-11</v>
      </c>
      <c r="C12" s="22" t="str">
        <f t="shared" si="9"/>
        <v>LAMINA_LISA__ACERO_GALVANIZADA_3'X8'_20</v>
      </c>
      <c r="D12" s="14" t="s">
        <v>7412</v>
      </c>
      <c r="E12" s="14" t="s">
        <v>7385</v>
      </c>
      <c r="F12" s="21" t="s">
        <v>7386</v>
      </c>
      <c r="G12" s="22" t="s">
        <v>7387</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7356</v>
      </c>
      <c r="AF12" s="1" t="str">
        <f>VLOOKUP(AE12,t_objeto!B:C,2,FALSE)</f>
        <v>RAW_MATERIAL</v>
      </c>
      <c r="AG12" s="1">
        <v>8</v>
      </c>
      <c r="AH12" s="1" t="str">
        <f>VLOOKUP(AG12,t_entry_status!A:AE,2,FALSE)</f>
        <v>PENDING</v>
      </c>
      <c r="AI12" s="7">
        <v>45560</v>
      </c>
      <c r="AJ12" s="1" t="s">
        <v>7455</v>
      </c>
      <c r="AK12" s="7">
        <v>45560</v>
      </c>
      <c r="AL12" s="1" t="s">
        <v>7455</v>
      </c>
    </row>
    <row r="13" spans="1:38" s="20" customFormat="1" x14ac:dyDescent="0.3">
      <c r="A13" s="14">
        <v>12</v>
      </c>
      <c r="B13" s="14" t="str">
        <f>_xlfn.CONCAT(AE13,"-",VLOOKUP(AE13,t_objeto!B:D,3,FALSE),"-",A13)</f>
        <v>RMAT-PERCCO-12</v>
      </c>
      <c r="C13" s="22" t="str">
        <f t="shared" si="9"/>
        <v>LAMINA_LISA__ACERO_GALVANIZADA_3'X8'_21</v>
      </c>
      <c r="D13" s="14" t="s">
        <v>7412</v>
      </c>
      <c r="E13" s="14" t="s">
        <v>7385</v>
      </c>
      <c r="F13" s="21" t="s">
        <v>7386</v>
      </c>
      <c r="G13" s="22" t="s">
        <v>7387</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7356</v>
      </c>
      <c r="AF13" s="1" t="str">
        <f>VLOOKUP(AE13,t_objeto!B:C,2,FALSE)</f>
        <v>RAW_MATERIAL</v>
      </c>
      <c r="AG13" s="1">
        <v>8</v>
      </c>
      <c r="AH13" s="1" t="str">
        <f>VLOOKUP(AG13,t_entry_status!A:AE,2,FALSE)</f>
        <v>PENDING</v>
      </c>
      <c r="AI13" s="7">
        <v>45560</v>
      </c>
      <c r="AJ13" s="1" t="s">
        <v>7455</v>
      </c>
      <c r="AK13" s="7">
        <v>45560</v>
      </c>
      <c r="AL13" s="1" t="s">
        <v>7455</v>
      </c>
    </row>
    <row r="14" spans="1:38" s="20" customFormat="1" x14ac:dyDescent="0.3">
      <c r="A14" s="14">
        <v>13</v>
      </c>
      <c r="B14" s="14" t="str">
        <f>_xlfn.CONCAT(AE14,"-",VLOOKUP(AE14,t_objeto!B:D,3,FALSE),"-",A14)</f>
        <v>RMAT-PERCCO-13</v>
      </c>
      <c r="C14" s="22" t="str">
        <f t="shared" si="9"/>
        <v>LAMINA_LISA__ACERO_GALVANIZADA_3'X8'_22</v>
      </c>
      <c r="D14" s="14" t="s">
        <v>7412</v>
      </c>
      <c r="E14" s="14" t="s">
        <v>7385</v>
      </c>
      <c r="F14" s="21" t="s">
        <v>7386</v>
      </c>
      <c r="G14" s="22" t="s">
        <v>7387</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7356</v>
      </c>
      <c r="AF14" s="1" t="str">
        <f>VLOOKUP(AE14,t_objeto!B:C,2,FALSE)</f>
        <v>RAW_MATERIAL</v>
      </c>
      <c r="AG14" s="1">
        <v>8</v>
      </c>
      <c r="AH14" s="1" t="str">
        <f>VLOOKUP(AG14,t_entry_status!A:AE,2,FALSE)</f>
        <v>PENDING</v>
      </c>
      <c r="AI14" s="7">
        <v>45560</v>
      </c>
      <c r="AJ14" s="1" t="s">
        <v>7455</v>
      </c>
      <c r="AK14" s="7">
        <v>45560</v>
      </c>
      <c r="AL14" s="1" t="s">
        <v>7455</v>
      </c>
    </row>
    <row r="15" spans="1:38" s="20" customFormat="1" x14ac:dyDescent="0.3">
      <c r="A15" s="14">
        <v>14</v>
      </c>
      <c r="B15" s="14" t="str">
        <f>_xlfn.CONCAT(AE15,"-",VLOOKUP(AE15,t_objeto!B:D,3,FALSE),"-",A15)</f>
        <v>RMAT-PERCCO-14</v>
      </c>
      <c r="C15" s="22" t="str">
        <f t="shared" si="9"/>
        <v>LAMINA_LISA__ACERO_GALVANIZADA_3'X8'_23</v>
      </c>
      <c r="D15" s="14" t="s">
        <v>7412</v>
      </c>
      <c r="E15" s="14" t="s">
        <v>7385</v>
      </c>
      <c r="F15" s="21" t="s">
        <v>7386</v>
      </c>
      <c r="G15" s="22" t="s">
        <v>7387</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7356</v>
      </c>
      <c r="AF15" s="1" t="str">
        <f>VLOOKUP(AE15,t_objeto!B:C,2,FALSE)</f>
        <v>RAW_MATERIAL</v>
      </c>
      <c r="AG15" s="1">
        <v>8</v>
      </c>
      <c r="AH15" s="1" t="str">
        <f>VLOOKUP(AG15,t_entry_status!A:AE,2,FALSE)</f>
        <v>PENDING</v>
      </c>
      <c r="AI15" s="7">
        <v>45560</v>
      </c>
      <c r="AJ15" s="1" t="s">
        <v>7455</v>
      </c>
      <c r="AK15" s="7">
        <v>45560</v>
      </c>
      <c r="AL15" s="1" t="s">
        <v>7455</v>
      </c>
    </row>
    <row r="16" spans="1:38" s="20" customFormat="1" x14ac:dyDescent="0.3">
      <c r="A16" s="14">
        <v>15</v>
      </c>
      <c r="B16" s="14" t="str">
        <f>_xlfn.CONCAT(AE16,"-",VLOOKUP(AE16,t_objeto!B:D,3,FALSE),"-",A16)</f>
        <v>RMAT-PERCCO-15</v>
      </c>
      <c r="C16" s="22" t="str">
        <f t="shared" si="9"/>
        <v>LAMINA_LISA__ACERO_GALVANIZADA_3'X8'_24</v>
      </c>
      <c r="D16" s="14" t="s">
        <v>7412</v>
      </c>
      <c r="E16" s="14" t="s">
        <v>7385</v>
      </c>
      <c r="F16" s="21" t="s">
        <v>7386</v>
      </c>
      <c r="G16" s="22" t="s">
        <v>7387</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7356</v>
      </c>
      <c r="AF16" s="1" t="str">
        <f>VLOOKUP(AE16,t_objeto!B:C,2,FALSE)</f>
        <v>RAW_MATERIAL</v>
      </c>
      <c r="AG16" s="1">
        <v>8</v>
      </c>
      <c r="AH16" s="1" t="str">
        <f>VLOOKUP(AG16,t_entry_status!A:AE,2,FALSE)</f>
        <v>PENDING</v>
      </c>
      <c r="AI16" s="7">
        <v>45560</v>
      </c>
      <c r="AJ16" s="1" t="s">
        <v>7455</v>
      </c>
      <c r="AK16" s="7">
        <v>45560</v>
      </c>
      <c r="AL16" s="1" t="s">
        <v>7455</v>
      </c>
    </row>
    <row r="17" spans="1:38" s="20" customFormat="1" x14ac:dyDescent="0.3">
      <c r="A17" s="14">
        <v>16</v>
      </c>
      <c r="B17" s="14" t="str">
        <f>_xlfn.CONCAT(AE17,"-",VLOOKUP(AE17,t_objeto!B:D,3,FALSE),"-",A17)</f>
        <v>RMAT-PERCCO-16</v>
      </c>
      <c r="C17" s="22" t="str">
        <f t="shared" si="9"/>
        <v>LAMINA_LISA__ACERO_GALVANIZADA_3'X8'_25</v>
      </c>
      <c r="D17" s="14" t="s">
        <v>7412</v>
      </c>
      <c r="E17" s="14" t="s">
        <v>7385</v>
      </c>
      <c r="F17" s="21" t="s">
        <v>7386</v>
      </c>
      <c r="G17" s="22" t="s">
        <v>7387</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7356</v>
      </c>
      <c r="AF17" s="1" t="str">
        <f>VLOOKUP(AE17,t_objeto!B:C,2,FALSE)</f>
        <v>RAW_MATERIAL</v>
      </c>
      <c r="AG17" s="1">
        <v>8</v>
      </c>
      <c r="AH17" s="1" t="str">
        <f>VLOOKUP(AG17,t_entry_status!A:AE,2,FALSE)</f>
        <v>PENDING</v>
      </c>
      <c r="AI17" s="7">
        <v>45560</v>
      </c>
      <c r="AJ17" s="1" t="s">
        <v>7455</v>
      </c>
      <c r="AK17" s="7">
        <v>45560</v>
      </c>
      <c r="AL17" s="1" t="s">
        <v>7455</v>
      </c>
    </row>
    <row r="18" spans="1:38" s="20" customFormat="1" x14ac:dyDescent="0.3">
      <c r="A18" s="14">
        <v>17</v>
      </c>
      <c r="B18" s="14" t="str">
        <f>_xlfn.CONCAT(AE18,"-",VLOOKUP(AE18,t_objeto!B:D,3,FALSE),"-",A18)</f>
        <v>RMAT-PERCCO-17</v>
      </c>
      <c r="C18" s="22" t="str">
        <f t="shared" si="9"/>
        <v>LAMINA_LISA__ACERO_GALVANIZADA_3'X8'_26</v>
      </c>
      <c r="D18" s="14" t="s">
        <v>7412</v>
      </c>
      <c r="E18" s="14" t="s">
        <v>7385</v>
      </c>
      <c r="F18" s="21" t="s">
        <v>7386</v>
      </c>
      <c r="G18" s="22" t="s">
        <v>7387</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7356</v>
      </c>
      <c r="AF18" s="1" t="str">
        <f>VLOOKUP(AE18,t_objeto!B:C,2,FALSE)</f>
        <v>RAW_MATERIAL</v>
      </c>
      <c r="AG18" s="1">
        <v>8</v>
      </c>
      <c r="AH18" s="1" t="str">
        <f>VLOOKUP(AG18,t_entry_status!A:AE,2,FALSE)</f>
        <v>PENDING</v>
      </c>
      <c r="AI18" s="7">
        <v>45560</v>
      </c>
      <c r="AJ18" s="1" t="s">
        <v>7455</v>
      </c>
      <c r="AK18" s="7">
        <v>45560</v>
      </c>
      <c r="AL18" s="1" t="s">
        <v>7455</v>
      </c>
    </row>
    <row r="19" spans="1:38" s="20" customFormat="1" x14ac:dyDescent="0.3">
      <c r="A19" s="14">
        <v>18</v>
      </c>
      <c r="B19" s="14" t="str">
        <f>_xlfn.CONCAT(AE19,"-",VLOOKUP(AE19,t_objeto!B:D,3,FALSE),"-",A19)</f>
        <v>RMAT-PERCCO-18</v>
      </c>
      <c r="C19" s="22" t="str">
        <f t="shared" si="9"/>
        <v>LAMINA_LISA__ACERO_GALVANIZADA_3'X8'_27</v>
      </c>
      <c r="D19" s="14" t="s">
        <v>7412</v>
      </c>
      <c r="E19" s="14" t="s">
        <v>7385</v>
      </c>
      <c r="F19" s="21" t="s">
        <v>7386</v>
      </c>
      <c r="G19" s="22" t="s">
        <v>7387</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7356</v>
      </c>
      <c r="AF19" s="1" t="str">
        <f>VLOOKUP(AE19,t_objeto!B:C,2,FALSE)</f>
        <v>RAW_MATERIAL</v>
      </c>
      <c r="AG19" s="1">
        <v>8</v>
      </c>
      <c r="AH19" s="1" t="str">
        <f>VLOOKUP(AG19,t_entry_status!A:AE,2,FALSE)</f>
        <v>PENDING</v>
      </c>
      <c r="AI19" s="7">
        <v>45560</v>
      </c>
      <c r="AJ19" s="1" t="s">
        <v>7455</v>
      </c>
      <c r="AK19" s="7">
        <v>45560</v>
      </c>
      <c r="AL19" s="1" t="s">
        <v>7455</v>
      </c>
    </row>
    <row r="20" spans="1:38" s="20" customFormat="1" x14ac:dyDescent="0.3">
      <c r="A20" s="14">
        <v>19</v>
      </c>
      <c r="B20" s="14" t="str">
        <f>_xlfn.CONCAT(AE20,"-",VLOOKUP(AE20,t_objeto!B:D,3,FALSE),"-",A20)</f>
        <v>RMAT-PERCCO-19</v>
      </c>
      <c r="C20" s="22" t="str">
        <f t="shared" si="9"/>
        <v>LAMINA_LISA__ACERO_GALVANIZADA_3'X8'_28</v>
      </c>
      <c r="D20" s="14" t="s">
        <v>7412</v>
      </c>
      <c r="E20" s="14" t="s">
        <v>7385</v>
      </c>
      <c r="F20" s="21" t="s">
        <v>7386</v>
      </c>
      <c r="G20" s="22" t="s">
        <v>7387</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7356</v>
      </c>
      <c r="AF20" s="1" t="str">
        <f>VLOOKUP(AE20,t_objeto!B:C,2,FALSE)</f>
        <v>RAW_MATERIAL</v>
      </c>
      <c r="AG20" s="1">
        <v>8</v>
      </c>
      <c r="AH20" s="1" t="str">
        <f>VLOOKUP(AG20,t_entry_status!A:AE,2,FALSE)</f>
        <v>PENDING</v>
      </c>
      <c r="AI20" s="7">
        <v>45560</v>
      </c>
      <c r="AJ20" s="1" t="s">
        <v>7455</v>
      </c>
      <c r="AK20" s="7">
        <v>45560</v>
      </c>
      <c r="AL20" s="1" t="s">
        <v>7455</v>
      </c>
    </row>
    <row r="21" spans="1:38" s="20" customFormat="1" x14ac:dyDescent="0.3">
      <c r="A21" s="14">
        <v>20</v>
      </c>
      <c r="B21" s="14" t="str">
        <f>_xlfn.CONCAT(AE21,"-",VLOOKUP(AE21,t_objeto!B:D,3,FALSE),"-",A21)</f>
        <v>RMAT-PERCCO-20</v>
      </c>
      <c r="C21" s="22" t="str">
        <f t="shared" si="9"/>
        <v>LAMINA_LISA__ACERO_GALVANIZADA_3'X8'_29</v>
      </c>
      <c r="D21" s="14" t="s">
        <v>7412</v>
      </c>
      <c r="E21" s="14" t="s">
        <v>7385</v>
      </c>
      <c r="F21" s="21" t="s">
        <v>7386</v>
      </c>
      <c r="G21" s="22" t="s">
        <v>7387</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7356</v>
      </c>
      <c r="AF21" s="1" t="str">
        <f>VLOOKUP(AE21,t_objeto!B:C,2,FALSE)</f>
        <v>RAW_MATERIAL</v>
      </c>
      <c r="AG21" s="1">
        <v>8</v>
      </c>
      <c r="AH21" s="1" t="str">
        <f>VLOOKUP(AG21,t_entry_status!A:AE,2,FALSE)</f>
        <v>PENDING</v>
      </c>
      <c r="AI21" s="7">
        <v>45560</v>
      </c>
      <c r="AJ21" s="1" t="s">
        <v>7455</v>
      </c>
      <c r="AK21" s="7">
        <v>45560</v>
      </c>
      <c r="AL21" s="1" t="s">
        <v>7455</v>
      </c>
    </row>
    <row r="22" spans="1:38" s="20" customFormat="1" x14ac:dyDescent="0.3">
      <c r="A22" s="14">
        <v>21</v>
      </c>
      <c r="B22" s="14" t="str">
        <f>_xlfn.CONCAT(AE22,"-",VLOOKUP(AE22,t_objeto!B:D,3,FALSE),"-",A22)</f>
        <v>RMAT-PERCCO-21</v>
      </c>
      <c r="C22" s="22" t="str">
        <f t="shared" si="9"/>
        <v>LAMINA_LISA__ACERO_GALVANIZADA_3'X8'_30</v>
      </c>
      <c r="D22" s="14" t="s">
        <v>7412</v>
      </c>
      <c r="E22" s="14" t="s">
        <v>7385</v>
      </c>
      <c r="F22" s="21" t="s">
        <v>7386</v>
      </c>
      <c r="G22" s="22" t="s">
        <v>7387</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7356</v>
      </c>
      <c r="AF22" s="1" t="str">
        <f>VLOOKUP(AE22,t_objeto!B:C,2,FALSE)</f>
        <v>RAW_MATERIAL</v>
      </c>
      <c r="AG22" s="1">
        <v>8</v>
      </c>
      <c r="AH22" s="1" t="str">
        <f>VLOOKUP(AG22,t_entry_status!A:AE,2,FALSE)</f>
        <v>PENDING</v>
      </c>
      <c r="AI22" s="7">
        <v>45560</v>
      </c>
      <c r="AJ22" s="1" t="s">
        <v>7455</v>
      </c>
      <c r="AK22" s="7">
        <v>45560</v>
      </c>
      <c r="AL22" s="1" t="s">
        <v>7455</v>
      </c>
    </row>
    <row r="23" spans="1:38" s="20" customFormat="1" x14ac:dyDescent="0.3">
      <c r="A23" s="14">
        <v>22</v>
      </c>
      <c r="B23" s="14" t="str">
        <f>_xlfn.CONCAT(AE23,"-",VLOOKUP(AE23,t_objeto!B:D,3,FALSE),"-",A23)</f>
        <v>RMAT-PERCCO-22</v>
      </c>
      <c r="C23" s="22" t="str">
        <f t="shared" si="9"/>
        <v>LAMINA_LISA__ACERO_PINTRO_3'X6'_10</v>
      </c>
      <c r="D23" s="14" t="s">
        <v>7412</v>
      </c>
      <c r="E23" s="14" t="s">
        <v>7385</v>
      </c>
      <c r="F23" s="21" t="s">
        <v>7388</v>
      </c>
      <c r="G23" s="22" t="s">
        <v>7389</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7356</v>
      </c>
      <c r="AF23" s="1" t="str">
        <f>VLOOKUP(AE23,t_objeto!B:C,2,FALSE)</f>
        <v>RAW_MATERIAL</v>
      </c>
      <c r="AG23" s="1">
        <v>8</v>
      </c>
      <c r="AH23" s="1" t="str">
        <f>VLOOKUP(AG23,t_entry_status!A:AE,2,FALSE)</f>
        <v>PENDING</v>
      </c>
      <c r="AI23" s="7">
        <v>45560</v>
      </c>
      <c r="AJ23" s="1" t="s">
        <v>7455</v>
      </c>
      <c r="AK23" s="7">
        <v>45560</v>
      </c>
      <c r="AL23" s="1" t="s">
        <v>7455</v>
      </c>
    </row>
    <row r="24" spans="1:38" s="20" customFormat="1" x14ac:dyDescent="0.3">
      <c r="A24" s="14">
        <v>23</v>
      </c>
      <c r="B24" s="14" t="str">
        <f>_xlfn.CONCAT(AE24,"-",VLOOKUP(AE24,t_objeto!B:D,3,FALSE),"-",A24)</f>
        <v>RMAT-PERCCO-23</v>
      </c>
      <c r="C24" s="22" t="str">
        <f t="shared" si="9"/>
        <v>LAMINA_LISA__ACERO_PINTRO_3'X6'_11</v>
      </c>
      <c r="D24" s="14" t="s">
        <v>7412</v>
      </c>
      <c r="E24" s="14" t="s">
        <v>7385</v>
      </c>
      <c r="F24" s="21" t="s">
        <v>7388</v>
      </c>
      <c r="G24" s="22" t="s">
        <v>7389</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7356</v>
      </c>
      <c r="AF24" s="1" t="str">
        <f>VLOOKUP(AE24,t_objeto!B:C,2,FALSE)</f>
        <v>RAW_MATERIAL</v>
      </c>
      <c r="AG24" s="1">
        <v>8</v>
      </c>
      <c r="AH24" s="1" t="str">
        <f>VLOOKUP(AG24,t_entry_status!A:AE,2,FALSE)</f>
        <v>PENDING</v>
      </c>
      <c r="AI24" s="7">
        <v>45560</v>
      </c>
      <c r="AJ24" s="1" t="s">
        <v>7455</v>
      </c>
      <c r="AK24" s="7">
        <v>45560</v>
      </c>
      <c r="AL24" s="1" t="s">
        <v>7455</v>
      </c>
    </row>
    <row r="25" spans="1:38" s="20" customFormat="1" x14ac:dyDescent="0.3">
      <c r="A25" s="14">
        <v>24</v>
      </c>
      <c r="B25" s="14" t="str">
        <f>_xlfn.CONCAT(AE25,"-",VLOOKUP(AE25,t_objeto!B:D,3,FALSE),"-",A25)</f>
        <v>RMAT-PERCCO-24</v>
      </c>
      <c r="C25" s="22" t="str">
        <f t="shared" si="9"/>
        <v>LAMINA_LISA__ACERO_PINTRO_3'X6'_12</v>
      </c>
      <c r="D25" s="14" t="s">
        <v>7412</v>
      </c>
      <c r="E25" s="14" t="s">
        <v>7385</v>
      </c>
      <c r="F25" s="21" t="s">
        <v>7388</v>
      </c>
      <c r="G25" s="22" t="s">
        <v>7389</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7356</v>
      </c>
      <c r="AF25" s="1" t="str">
        <f>VLOOKUP(AE25,t_objeto!B:C,2,FALSE)</f>
        <v>RAW_MATERIAL</v>
      </c>
      <c r="AG25" s="1">
        <v>8</v>
      </c>
      <c r="AH25" s="1" t="str">
        <f>VLOOKUP(AG25,t_entry_status!A:AE,2,FALSE)</f>
        <v>PENDING</v>
      </c>
      <c r="AI25" s="7">
        <v>45560</v>
      </c>
      <c r="AJ25" s="1" t="s">
        <v>7455</v>
      </c>
      <c r="AK25" s="7">
        <v>45560</v>
      </c>
      <c r="AL25" s="1" t="s">
        <v>7455</v>
      </c>
    </row>
    <row r="26" spans="1:38" s="20" customFormat="1" x14ac:dyDescent="0.3">
      <c r="A26" s="14">
        <v>25</v>
      </c>
      <c r="B26" s="14" t="str">
        <f>_xlfn.CONCAT(AE26,"-",VLOOKUP(AE26,t_objeto!B:D,3,FALSE),"-",A26)</f>
        <v>RMAT-PERCCO-25</v>
      </c>
      <c r="C26" s="22" t="str">
        <f t="shared" si="9"/>
        <v>LAMINA_LISA__ACERO_PINTRO_3'X6'_13</v>
      </c>
      <c r="D26" s="14" t="s">
        <v>7412</v>
      </c>
      <c r="E26" s="14" t="s">
        <v>7385</v>
      </c>
      <c r="F26" s="21" t="s">
        <v>7388</v>
      </c>
      <c r="G26" s="22" t="s">
        <v>7389</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7356</v>
      </c>
      <c r="AF26" s="1" t="str">
        <f>VLOOKUP(AE26,t_objeto!B:C,2,FALSE)</f>
        <v>RAW_MATERIAL</v>
      </c>
      <c r="AG26" s="1">
        <v>8</v>
      </c>
      <c r="AH26" s="1" t="str">
        <f>VLOOKUP(AG26,t_entry_status!A:AE,2,FALSE)</f>
        <v>PENDING</v>
      </c>
      <c r="AI26" s="7">
        <v>45560</v>
      </c>
      <c r="AJ26" s="1" t="s">
        <v>7455</v>
      </c>
      <c r="AK26" s="7">
        <v>45560</v>
      </c>
      <c r="AL26" s="1" t="s">
        <v>7455</v>
      </c>
    </row>
    <row r="27" spans="1:38" s="20" customFormat="1" ht="18" x14ac:dyDescent="0.35">
      <c r="A27" s="14">
        <v>26</v>
      </c>
      <c r="B27" s="14" t="str">
        <f>_xlfn.CONCAT(AE27,"-",VLOOKUP(AE27,t_objeto!B:D,3,FALSE),"-",A27)</f>
        <v>RMAT-PERCCO-26</v>
      </c>
      <c r="C27" s="22" t="str">
        <f t="shared" si="9"/>
        <v>LAMINA_LISA__ACERO_PINTRO_3'X6'_14</v>
      </c>
      <c r="D27" s="14" t="s">
        <v>7412</v>
      </c>
      <c r="E27" s="14" t="s">
        <v>7385</v>
      </c>
      <c r="F27" s="21" t="s">
        <v>7388</v>
      </c>
      <c r="G27" s="22" t="s">
        <v>7389</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7356</v>
      </c>
      <c r="AF27" s="1" t="str">
        <f>VLOOKUP(AE27,t_objeto!B:C,2,FALSE)</f>
        <v>RAW_MATERIAL</v>
      </c>
      <c r="AG27" s="1">
        <v>8</v>
      </c>
      <c r="AH27" s="1" t="str">
        <f>VLOOKUP(AG27,t_entry_status!A:AE,2,FALSE)</f>
        <v>PENDING</v>
      </c>
      <c r="AI27" s="7">
        <v>45560</v>
      </c>
      <c r="AJ27" s="1" t="s">
        <v>7455</v>
      </c>
      <c r="AK27" s="7">
        <v>45560</v>
      </c>
      <c r="AL27" s="1" t="s">
        <v>7455</v>
      </c>
    </row>
    <row r="28" spans="1:38" s="20" customFormat="1" x14ac:dyDescent="0.3">
      <c r="A28" s="14">
        <v>27</v>
      </c>
      <c r="B28" s="14" t="str">
        <f>_xlfn.CONCAT(AE28,"-",VLOOKUP(AE28,t_objeto!B:D,3,FALSE),"-",A28)</f>
        <v>RMAT-PERCCO-27</v>
      </c>
      <c r="C28" s="22" t="str">
        <f t="shared" si="9"/>
        <v>LAMINA_LISA__ACERO_PINTRO_3'X6'_15</v>
      </c>
      <c r="D28" s="14" t="s">
        <v>7412</v>
      </c>
      <c r="E28" s="14" t="s">
        <v>7385</v>
      </c>
      <c r="F28" s="21" t="s">
        <v>7388</v>
      </c>
      <c r="G28" s="22" t="s">
        <v>7389</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7356</v>
      </c>
      <c r="AF28" s="1" t="str">
        <f>VLOOKUP(AE28,t_objeto!B:C,2,FALSE)</f>
        <v>RAW_MATERIAL</v>
      </c>
      <c r="AG28" s="1">
        <v>8</v>
      </c>
      <c r="AH28" s="1" t="str">
        <f>VLOOKUP(AG28,t_entry_status!A:AE,2,FALSE)</f>
        <v>PENDING</v>
      </c>
      <c r="AI28" s="7">
        <v>45560</v>
      </c>
      <c r="AJ28" s="1" t="s">
        <v>7455</v>
      </c>
      <c r="AK28" s="7">
        <v>45560</v>
      </c>
      <c r="AL28" s="1" t="s">
        <v>7455</v>
      </c>
    </row>
    <row r="29" spans="1:38" s="20" customFormat="1" x14ac:dyDescent="0.3">
      <c r="A29" s="14">
        <v>28</v>
      </c>
      <c r="B29" s="14" t="str">
        <f>_xlfn.CONCAT(AE29,"-",VLOOKUP(AE29,t_objeto!B:D,3,FALSE),"-",A29)</f>
        <v>RMAT-PERCCO-28</v>
      </c>
      <c r="C29" s="22" t="str">
        <f t="shared" si="9"/>
        <v>LAMINA_LISA__ACERO_PINTRO_3'X6'_16</v>
      </c>
      <c r="D29" s="14" t="s">
        <v>7412</v>
      </c>
      <c r="E29" s="14" t="s">
        <v>7385</v>
      </c>
      <c r="F29" s="21" t="s">
        <v>7388</v>
      </c>
      <c r="G29" s="22" t="s">
        <v>7389</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7356</v>
      </c>
      <c r="AF29" s="1" t="str">
        <f>VLOOKUP(AE29,t_objeto!B:C,2,FALSE)</f>
        <v>RAW_MATERIAL</v>
      </c>
      <c r="AG29" s="1">
        <v>8</v>
      </c>
      <c r="AH29" s="1" t="str">
        <f>VLOOKUP(AG29,t_entry_status!A:AE,2,FALSE)</f>
        <v>PENDING</v>
      </c>
      <c r="AI29" s="7">
        <v>45560</v>
      </c>
      <c r="AJ29" s="1" t="s">
        <v>7455</v>
      </c>
      <c r="AK29" s="7">
        <v>45560</v>
      </c>
      <c r="AL29" s="1" t="s">
        <v>7455</v>
      </c>
    </row>
    <row r="30" spans="1:38" s="20" customFormat="1" x14ac:dyDescent="0.3">
      <c r="A30" s="14">
        <v>29</v>
      </c>
      <c r="B30" s="14" t="str">
        <f>_xlfn.CONCAT(AE30,"-",VLOOKUP(AE30,t_objeto!B:D,3,FALSE),"-",A30)</f>
        <v>RMAT-PERCCO-29</v>
      </c>
      <c r="C30" s="22" t="str">
        <f t="shared" si="9"/>
        <v>LAMINA_LISA__ACERO_PINTRO_3'X6'_17</v>
      </c>
      <c r="D30" s="14" t="s">
        <v>7412</v>
      </c>
      <c r="E30" s="14" t="s">
        <v>7385</v>
      </c>
      <c r="F30" s="21" t="s">
        <v>7388</v>
      </c>
      <c r="G30" s="22" t="s">
        <v>7389</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7356</v>
      </c>
      <c r="AF30" s="1" t="str">
        <f>VLOOKUP(AE30,t_objeto!B:C,2,FALSE)</f>
        <v>RAW_MATERIAL</v>
      </c>
      <c r="AG30" s="1">
        <v>8</v>
      </c>
      <c r="AH30" s="1" t="str">
        <f>VLOOKUP(AG30,t_entry_status!A:AE,2,FALSE)</f>
        <v>PENDING</v>
      </c>
      <c r="AI30" s="7">
        <v>45560</v>
      </c>
      <c r="AJ30" s="1" t="s">
        <v>7455</v>
      </c>
      <c r="AK30" s="7">
        <v>45560</v>
      </c>
      <c r="AL30" s="1" t="s">
        <v>7455</v>
      </c>
    </row>
    <row r="31" spans="1:38" s="20" customFormat="1" x14ac:dyDescent="0.3">
      <c r="A31" s="14">
        <v>30</v>
      </c>
      <c r="B31" s="14" t="str">
        <f>_xlfn.CONCAT(AE31,"-",VLOOKUP(AE31,t_objeto!B:D,3,FALSE),"-",A31)</f>
        <v>RMAT-PERCCO-30</v>
      </c>
      <c r="C31" s="22" t="str">
        <f t="shared" si="9"/>
        <v>LAMINA_LISA__ACERO_PINTRO_3'X6'_18</v>
      </c>
      <c r="D31" s="14" t="s">
        <v>7412</v>
      </c>
      <c r="E31" s="14" t="s">
        <v>7385</v>
      </c>
      <c r="F31" s="21" t="s">
        <v>7388</v>
      </c>
      <c r="G31" s="22" t="s">
        <v>7389</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7356</v>
      </c>
      <c r="AF31" s="1" t="str">
        <f>VLOOKUP(AE31,t_objeto!B:C,2,FALSE)</f>
        <v>RAW_MATERIAL</v>
      </c>
      <c r="AG31" s="1">
        <v>8</v>
      </c>
      <c r="AH31" s="1" t="str">
        <f>VLOOKUP(AG31,t_entry_status!A:AE,2,FALSE)</f>
        <v>PENDING</v>
      </c>
      <c r="AI31" s="7">
        <v>45560</v>
      </c>
      <c r="AJ31" s="1" t="s">
        <v>7455</v>
      </c>
      <c r="AK31" s="7">
        <v>45560</v>
      </c>
      <c r="AL31" s="1" t="s">
        <v>7455</v>
      </c>
    </row>
    <row r="32" spans="1:38" s="20" customFormat="1" x14ac:dyDescent="0.3">
      <c r="A32" s="14">
        <v>31</v>
      </c>
      <c r="B32" s="14" t="str">
        <f>_xlfn.CONCAT(AE32,"-",VLOOKUP(AE32,t_objeto!B:D,3,FALSE),"-",A32)</f>
        <v>RMAT-PERCCO-31</v>
      </c>
      <c r="C32" s="22" t="str">
        <f t="shared" si="9"/>
        <v>LAMINA_LISA__ACERO_PINTRO_3'X6'_19</v>
      </c>
      <c r="D32" s="14" t="s">
        <v>7412</v>
      </c>
      <c r="E32" s="14" t="s">
        <v>7385</v>
      </c>
      <c r="F32" s="21" t="s">
        <v>7388</v>
      </c>
      <c r="G32" s="22" t="s">
        <v>7389</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7356</v>
      </c>
      <c r="AF32" s="1" t="str">
        <f>VLOOKUP(AE32,t_objeto!B:C,2,FALSE)</f>
        <v>RAW_MATERIAL</v>
      </c>
      <c r="AG32" s="1">
        <v>8</v>
      </c>
      <c r="AH32" s="1" t="str">
        <f>VLOOKUP(AG32,t_entry_status!A:AE,2,FALSE)</f>
        <v>PENDING</v>
      </c>
      <c r="AI32" s="7">
        <v>45560</v>
      </c>
      <c r="AJ32" s="1" t="s">
        <v>7455</v>
      </c>
      <c r="AK32" s="7">
        <v>45560</v>
      </c>
      <c r="AL32" s="1" t="s">
        <v>7455</v>
      </c>
    </row>
    <row r="33" spans="1:38" s="20" customFormat="1" x14ac:dyDescent="0.3">
      <c r="A33" s="14">
        <v>32</v>
      </c>
      <c r="B33" s="14" t="str">
        <f>_xlfn.CONCAT(AE33,"-",VLOOKUP(AE33,t_objeto!B:D,3,FALSE),"-",A33)</f>
        <v>RMAT-PERCCO-32</v>
      </c>
      <c r="C33" s="22" t="str">
        <f t="shared" si="9"/>
        <v>LAMINA_LISA__ACERO_PINTRO_3'X6'_20</v>
      </c>
      <c r="D33" s="14" t="s">
        <v>7412</v>
      </c>
      <c r="E33" s="14" t="s">
        <v>7385</v>
      </c>
      <c r="F33" s="21" t="s">
        <v>7388</v>
      </c>
      <c r="G33" s="22" t="s">
        <v>7389</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7356</v>
      </c>
      <c r="AF33" s="1" t="str">
        <f>VLOOKUP(AE33,t_objeto!B:C,2,FALSE)</f>
        <v>RAW_MATERIAL</v>
      </c>
      <c r="AG33" s="1">
        <v>8</v>
      </c>
      <c r="AH33" s="1" t="str">
        <f>VLOOKUP(AG33,t_entry_status!A:AE,2,FALSE)</f>
        <v>PENDING</v>
      </c>
      <c r="AI33" s="7">
        <v>45560</v>
      </c>
      <c r="AJ33" s="1" t="s">
        <v>7455</v>
      </c>
      <c r="AK33" s="7">
        <v>45560</v>
      </c>
      <c r="AL33" s="1" t="s">
        <v>7455</v>
      </c>
    </row>
    <row r="34" spans="1:38" s="20" customFormat="1" x14ac:dyDescent="0.3">
      <c r="A34" s="14">
        <v>33</v>
      </c>
      <c r="B34" s="14" t="str">
        <f>_xlfn.CONCAT(AE34,"-",VLOOKUP(AE34,t_objeto!B:D,3,FALSE),"-",A34)</f>
        <v>RMAT-PERCCO-33</v>
      </c>
      <c r="C34" s="22" t="str">
        <f t="shared" si="9"/>
        <v>LAMINA_LISA__ACERO_PINTRO_3'X6'_21</v>
      </c>
      <c r="D34" s="14" t="s">
        <v>7412</v>
      </c>
      <c r="E34" s="14" t="s">
        <v>7385</v>
      </c>
      <c r="F34" s="21" t="s">
        <v>7388</v>
      </c>
      <c r="G34" s="22" t="s">
        <v>7389</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7356</v>
      </c>
      <c r="AF34" s="1" t="str">
        <f>VLOOKUP(AE34,t_objeto!B:C,2,FALSE)</f>
        <v>RAW_MATERIAL</v>
      </c>
      <c r="AG34" s="1">
        <v>8</v>
      </c>
      <c r="AH34" s="1" t="str">
        <f>VLOOKUP(AG34,t_entry_status!A:AE,2,FALSE)</f>
        <v>PENDING</v>
      </c>
      <c r="AI34" s="7">
        <v>45560</v>
      </c>
      <c r="AJ34" s="1" t="s">
        <v>7455</v>
      </c>
      <c r="AK34" s="7">
        <v>45560</v>
      </c>
      <c r="AL34" s="1" t="s">
        <v>7455</v>
      </c>
    </row>
    <row r="35" spans="1:38" s="20" customFormat="1" x14ac:dyDescent="0.3">
      <c r="A35" s="14">
        <v>34</v>
      </c>
      <c r="B35" s="14" t="str">
        <f>_xlfn.CONCAT(AE35,"-",VLOOKUP(AE35,t_objeto!B:D,3,FALSE),"-",A35)</f>
        <v>RMAT-PERCCO-34</v>
      </c>
      <c r="C35" s="22" t="str">
        <f t="shared" si="9"/>
        <v>LAMINA_LISA__ACERO_PINTRO_3'X6'_22</v>
      </c>
      <c r="D35" s="14" t="s">
        <v>7412</v>
      </c>
      <c r="E35" s="14" t="s">
        <v>7385</v>
      </c>
      <c r="F35" s="21" t="s">
        <v>7388</v>
      </c>
      <c r="G35" s="22" t="s">
        <v>7389</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7356</v>
      </c>
      <c r="AF35" s="1" t="str">
        <f>VLOOKUP(AE35,t_objeto!B:C,2,FALSE)</f>
        <v>RAW_MATERIAL</v>
      </c>
      <c r="AG35" s="1">
        <v>8</v>
      </c>
      <c r="AH35" s="1" t="str">
        <f>VLOOKUP(AG35,t_entry_status!A:AE,2,FALSE)</f>
        <v>PENDING</v>
      </c>
      <c r="AI35" s="7">
        <v>45560</v>
      </c>
      <c r="AJ35" s="1" t="s">
        <v>7455</v>
      </c>
      <c r="AK35" s="7">
        <v>45560</v>
      </c>
      <c r="AL35" s="1" t="s">
        <v>7455</v>
      </c>
    </row>
    <row r="36" spans="1:38" s="20" customFormat="1" x14ac:dyDescent="0.3">
      <c r="A36" s="14">
        <v>35</v>
      </c>
      <c r="B36" s="14" t="str">
        <f>_xlfn.CONCAT(AE36,"-",VLOOKUP(AE36,t_objeto!B:D,3,FALSE),"-",A36)</f>
        <v>RMAT-PERCCO-35</v>
      </c>
      <c r="C36" s="22" t="str">
        <f t="shared" si="9"/>
        <v>LAMINA_LISA__ACERO_PINTRO_3'X6'_23</v>
      </c>
      <c r="D36" s="14" t="s">
        <v>7412</v>
      </c>
      <c r="E36" s="14" t="s">
        <v>7385</v>
      </c>
      <c r="F36" s="21" t="s">
        <v>7388</v>
      </c>
      <c r="G36" s="22" t="s">
        <v>7389</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7356</v>
      </c>
      <c r="AF36" s="1" t="str">
        <f>VLOOKUP(AE36,t_objeto!B:C,2,FALSE)</f>
        <v>RAW_MATERIAL</v>
      </c>
      <c r="AG36" s="1">
        <v>8</v>
      </c>
      <c r="AH36" s="1" t="str">
        <f>VLOOKUP(AG36,t_entry_status!A:AE,2,FALSE)</f>
        <v>PENDING</v>
      </c>
      <c r="AI36" s="7">
        <v>45560</v>
      </c>
      <c r="AJ36" s="1" t="s">
        <v>7455</v>
      </c>
      <c r="AK36" s="7">
        <v>45560</v>
      </c>
      <c r="AL36" s="1" t="s">
        <v>7455</v>
      </c>
    </row>
    <row r="37" spans="1:38" s="20" customFormat="1" x14ac:dyDescent="0.3">
      <c r="A37" s="14">
        <v>36</v>
      </c>
      <c r="B37" s="14" t="str">
        <f>_xlfn.CONCAT(AE37,"-",VLOOKUP(AE37,t_objeto!B:D,3,FALSE),"-",A37)</f>
        <v>RMAT-PERCCO-36</v>
      </c>
      <c r="C37" s="22" t="str">
        <f t="shared" si="9"/>
        <v>LAMINA_LISA__ACERO_PINTRO_3'X6'_24</v>
      </c>
      <c r="D37" s="14" t="s">
        <v>7412</v>
      </c>
      <c r="E37" s="14" t="s">
        <v>7385</v>
      </c>
      <c r="F37" s="21" t="s">
        <v>7388</v>
      </c>
      <c r="G37" s="22" t="s">
        <v>7389</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7356</v>
      </c>
      <c r="AF37" s="1" t="str">
        <f>VLOOKUP(AE37,t_objeto!B:C,2,FALSE)</f>
        <v>RAW_MATERIAL</v>
      </c>
      <c r="AG37" s="1">
        <v>8</v>
      </c>
      <c r="AH37" s="1" t="str">
        <f>VLOOKUP(AG37,t_entry_status!A:AE,2,FALSE)</f>
        <v>PENDING</v>
      </c>
      <c r="AI37" s="7">
        <v>45560</v>
      </c>
      <c r="AJ37" s="1" t="s">
        <v>7455</v>
      </c>
      <c r="AK37" s="7">
        <v>45560</v>
      </c>
      <c r="AL37" s="1" t="s">
        <v>7455</v>
      </c>
    </row>
    <row r="38" spans="1:38" s="20" customFormat="1" x14ac:dyDescent="0.3">
      <c r="A38" s="14">
        <v>37</v>
      </c>
      <c r="B38" s="14" t="str">
        <f>_xlfn.CONCAT(AE38,"-",VLOOKUP(AE38,t_objeto!B:D,3,FALSE),"-",A38)</f>
        <v>RMAT-PERCCO-37</v>
      </c>
      <c r="C38" s="22" t="str">
        <f t="shared" si="9"/>
        <v>LAMINA_LISA__ACERO_PINTRO_3'X6'_25</v>
      </c>
      <c r="D38" s="14" t="s">
        <v>7412</v>
      </c>
      <c r="E38" s="14" t="s">
        <v>7385</v>
      </c>
      <c r="F38" s="21" t="s">
        <v>7388</v>
      </c>
      <c r="G38" s="22" t="s">
        <v>7389</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7356</v>
      </c>
      <c r="AF38" s="1" t="str">
        <f>VLOOKUP(AE38,t_objeto!B:C,2,FALSE)</f>
        <v>RAW_MATERIAL</v>
      </c>
      <c r="AG38" s="1">
        <v>8</v>
      </c>
      <c r="AH38" s="1" t="str">
        <f>VLOOKUP(AG38,t_entry_status!A:AE,2,FALSE)</f>
        <v>PENDING</v>
      </c>
      <c r="AI38" s="7">
        <v>45560</v>
      </c>
      <c r="AJ38" s="1" t="s">
        <v>7455</v>
      </c>
      <c r="AK38" s="7">
        <v>45560</v>
      </c>
      <c r="AL38" s="1" t="s">
        <v>7455</v>
      </c>
    </row>
    <row r="39" spans="1:38" s="20" customFormat="1" x14ac:dyDescent="0.3">
      <c r="A39" s="14">
        <v>38</v>
      </c>
      <c r="B39" s="14" t="str">
        <f>_xlfn.CONCAT(AE39,"-",VLOOKUP(AE39,t_objeto!B:D,3,FALSE),"-",A39)</f>
        <v>RMAT-PERCCO-38</v>
      </c>
      <c r="C39" s="22" t="str">
        <f t="shared" si="9"/>
        <v>LAMINA_LISA__ACERO_PINTRO_3'X6'_26</v>
      </c>
      <c r="D39" s="14" t="s">
        <v>7412</v>
      </c>
      <c r="E39" s="14" t="s">
        <v>7385</v>
      </c>
      <c r="F39" s="21" t="s">
        <v>7388</v>
      </c>
      <c r="G39" s="22" t="s">
        <v>7389</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7356</v>
      </c>
      <c r="AF39" s="1" t="str">
        <f>VLOOKUP(AE39,t_objeto!B:C,2,FALSE)</f>
        <v>RAW_MATERIAL</v>
      </c>
      <c r="AG39" s="1">
        <v>8</v>
      </c>
      <c r="AH39" s="1" t="str">
        <f>VLOOKUP(AG39,t_entry_status!A:AE,2,FALSE)</f>
        <v>PENDING</v>
      </c>
      <c r="AI39" s="7">
        <v>45560</v>
      </c>
      <c r="AJ39" s="1" t="s">
        <v>7455</v>
      </c>
      <c r="AK39" s="7">
        <v>45560</v>
      </c>
      <c r="AL39" s="1" t="s">
        <v>7455</v>
      </c>
    </row>
    <row r="40" spans="1:38" s="20" customFormat="1" x14ac:dyDescent="0.3">
      <c r="A40" s="14">
        <v>39</v>
      </c>
      <c r="B40" s="14" t="str">
        <f>_xlfn.CONCAT(AE40,"-",VLOOKUP(AE40,t_objeto!B:D,3,FALSE),"-",A40)</f>
        <v>RMAT-PERCCO-39</v>
      </c>
      <c r="C40" s="22" t="str">
        <f t="shared" si="9"/>
        <v>LAMINA_LISA__ACERO_PINTRO_3'X6'_27</v>
      </c>
      <c r="D40" s="14" t="s">
        <v>7412</v>
      </c>
      <c r="E40" s="14" t="s">
        <v>7385</v>
      </c>
      <c r="F40" s="21" t="s">
        <v>7388</v>
      </c>
      <c r="G40" s="22" t="s">
        <v>7389</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7356</v>
      </c>
      <c r="AF40" s="1" t="str">
        <f>VLOOKUP(AE40,t_objeto!B:C,2,FALSE)</f>
        <v>RAW_MATERIAL</v>
      </c>
      <c r="AG40" s="1">
        <v>8</v>
      </c>
      <c r="AH40" s="1" t="str">
        <f>VLOOKUP(AG40,t_entry_status!A:AE,2,FALSE)</f>
        <v>PENDING</v>
      </c>
      <c r="AI40" s="7">
        <v>45560</v>
      </c>
      <c r="AJ40" s="1" t="s">
        <v>7455</v>
      </c>
      <c r="AK40" s="7">
        <v>45560</v>
      </c>
      <c r="AL40" s="1" t="s">
        <v>7455</v>
      </c>
    </row>
    <row r="41" spans="1:38" s="20" customFormat="1" x14ac:dyDescent="0.3">
      <c r="A41" s="14">
        <v>40</v>
      </c>
      <c r="B41" s="14" t="str">
        <f>_xlfn.CONCAT(AE41,"-",VLOOKUP(AE41,t_objeto!B:D,3,FALSE),"-",A41)</f>
        <v>RMAT-PERCCO-40</v>
      </c>
      <c r="C41" s="22" t="str">
        <f t="shared" si="9"/>
        <v>LAMINA_LISA__ACERO_PINTRO_3'X6'_28</v>
      </c>
      <c r="D41" s="14" t="s">
        <v>7412</v>
      </c>
      <c r="E41" s="14" t="s">
        <v>7385</v>
      </c>
      <c r="F41" s="21" t="s">
        <v>7388</v>
      </c>
      <c r="G41" s="22" t="s">
        <v>7389</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7356</v>
      </c>
      <c r="AF41" s="1" t="str">
        <f>VLOOKUP(AE41,t_objeto!B:C,2,FALSE)</f>
        <v>RAW_MATERIAL</v>
      </c>
      <c r="AG41" s="1">
        <v>8</v>
      </c>
      <c r="AH41" s="1" t="str">
        <f>VLOOKUP(AG41,t_entry_status!A:AE,2,FALSE)</f>
        <v>PENDING</v>
      </c>
      <c r="AI41" s="7">
        <v>45560</v>
      </c>
      <c r="AJ41" s="1" t="s">
        <v>7455</v>
      </c>
      <c r="AK41" s="7">
        <v>45560</v>
      </c>
      <c r="AL41" s="1" t="s">
        <v>7455</v>
      </c>
    </row>
    <row r="42" spans="1:38" s="20" customFormat="1" x14ac:dyDescent="0.3">
      <c r="A42" s="14">
        <v>41</v>
      </c>
      <c r="B42" s="14" t="str">
        <f>_xlfn.CONCAT(AE42,"-",VLOOKUP(AE42,t_objeto!B:D,3,FALSE),"-",A42)</f>
        <v>RMAT-PERCCO-41</v>
      </c>
      <c r="C42" s="22" t="str">
        <f t="shared" si="9"/>
        <v>LAMINA_LISA__ACERO_PINTRO_3'X6'_29</v>
      </c>
      <c r="D42" s="14" t="s">
        <v>7412</v>
      </c>
      <c r="E42" s="14" t="s">
        <v>7385</v>
      </c>
      <c r="F42" s="21" t="s">
        <v>7388</v>
      </c>
      <c r="G42" s="22" t="s">
        <v>7389</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7356</v>
      </c>
      <c r="AF42" s="1" t="str">
        <f>VLOOKUP(AE42,t_objeto!B:C,2,FALSE)</f>
        <v>RAW_MATERIAL</v>
      </c>
      <c r="AG42" s="1">
        <v>8</v>
      </c>
      <c r="AH42" s="1" t="str">
        <f>VLOOKUP(AG42,t_entry_status!A:AE,2,FALSE)</f>
        <v>PENDING</v>
      </c>
      <c r="AI42" s="7">
        <v>45560</v>
      </c>
      <c r="AJ42" s="1" t="s">
        <v>7455</v>
      </c>
      <c r="AK42" s="7">
        <v>45560</v>
      </c>
      <c r="AL42" s="1" t="s">
        <v>7455</v>
      </c>
    </row>
    <row r="43" spans="1:38" s="20" customFormat="1" x14ac:dyDescent="0.3">
      <c r="A43" s="14">
        <v>42</v>
      </c>
      <c r="B43" s="14" t="str">
        <f>_xlfn.CONCAT(AE43,"-",VLOOKUP(AE43,t_objeto!B:D,3,FALSE),"-",A43)</f>
        <v>RMAT-PERCCO-42</v>
      </c>
      <c r="C43" s="22" t="str">
        <f t="shared" si="9"/>
        <v>LAMINA_LISA__ACERO_PINTRO_3'X6'_30</v>
      </c>
      <c r="D43" s="14" t="s">
        <v>7412</v>
      </c>
      <c r="E43" s="14" t="s">
        <v>7385</v>
      </c>
      <c r="F43" s="21" t="s">
        <v>7388</v>
      </c>
      <c r="G43" s="22" t="s">
        <v>7389</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7356</v>
      </c>
      <c r="AF43" s="1" t="str">
        <f>VLOOKUP(AE43,t_objeto!B:C,2,FALSE)</f>
        <v>RAW_MATERIAL</v>
      </c>
      <c r="AG43" s="1">
        <v>8</v>
      </c>
      <c r="AH43" s="1" t="str">
        <f>VLOOKUP(AG43,t_entry_status!A:AE,2,FALSE)</f>
        <v>PENDING</v>
      </c>
      <c r="AI43" s="7">
        <v>45560</v>
      </c>
      <c r="AJ43" s="1" t="s">
        <v>7455</v>
      </c>
      <c r="AK43" s="7">
        <v>45560</v>
      </c>
      <c r="AL43" s="1" t="s">
        <v>7455</v>
      </c>
    </row>
    <row r="44" spans="1:38" s="20" customFormat="1" x14ac:dyDescent="0.3">
      <c r="A44" s="14">
        <v>43</v>
      </c>
      <c r="B44" s="14" t="str">
        <f>_xlfn.CONCAT(AE44,"-",VLOOKUP(AE44,t_objeto!B:D,3,FALSE),"-",A44)</f>
        <v>RMAT-PERCCO-43</v>
      </c>
      <c r="C44" s="22" t="str">
        <f t="shared" si="9"/>
        <v>LAMINA_LISA__ACERO_PINTRO_3'X8'_10</v>
      </c>
      <c r="D44" s="14" t="s">
        <v>7412</v>
      </c>
      <c r="E44" s="14" t="s">
        <v>7385</v>
      </c>
      <c r="F44" s="21" t="s">
        <v>7388</v>
      </c>
      <c r="G44" s="22" t="s">
        <v>7387</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7356</v>
      </c>
      <c r="AF44" s="1" t="str">
        <f>VLOOKUP(AE44,t_objeto!B:C,2,FALSE)</f>
        <v>RAW_MATERIAL</v>
      </c>
      <c r="AG44" s="1">
        <v>8</v>
      </c>
      <c r="AH44" s="1" t="str">
        <f>VLOOKUP(AG44,t_entry_status!A:AE,2,FALSE)</f>
        <v>PENDING</v>
      </c>
      <c r="AI44" s="7">
        <v>45560</v>
      </c>
      <c r="AJ44" s="1" t="s">
        <v>7455</v>
      </c>
      <c r="AK44" s="7">
        <v>45560</v>
      </c>
      <c r="AL44" s="1" t="s">
        <v>7455</v>
      </c>
    </row>
    <row r="45" spans="1:38" s="20" customFormat="1" x14ac:dyDescent="0.3">
      <c r="A45" s="14">
        <v>44</v>
      </c>
      <c r="B45" s="14" t="str">
        <f>_xlfn.CONCAT(AE45,"-",VLOOKUP(AE45,t_objeto!B:D,3,FALSE),"-",A45)</f>
        <v>RMAT-PERCCO-44</v>
      </c>
      <c r="C45" s="22" t="str">
        <f t="shared" si="9"/>
        <v>LAMINA_LISA__ACERO_PINTRO_3'X8'_11</v>
      </c>
      <c r="D45" s="14" t="s">
        <v>7412</v>
      </c>
      <c r="E45" s="14" t="s">
        <v>7385</v>
      </c>
      <c r="F45" s="21" t="s">
        <v>7388</v>
      </c>
      <c r="G45" s="22" t="s">
        <v>7387</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7356</v>
      </c>
      <c r="AF45" s="1" t="str">
        <f>VLOOKUP(AE45,t_objeto!B:C,2,FALSE)</f>
        <v>RAW_MATERIAL</v>
      </c>
      <c r="AG45" s="1">
        <v>8</v>
      </c>
      <c r="AH45" s="1" t="str">
        <f>VLOOKUP(AG45,t_entry_status!A:AE,2,FALSE)</f>
        <v>PENDING</v>
      </c>
      <c r="AI45" s="7">
        <v>45560</v>
      </c>
      <c r="AJ45" s="1" t="s">
        <v>7455</v>
      </c>
      <c r="AK45" s="7">
        <v>45560</v>
      </c>
      <c r="AL45" s="1" t="s">
        <v>7455</v>
      </c>
    </row>
    <row r="46" spans="1:38" s="20" customFormat="1" x14ac:dyDescent="0.3">
      <c r="A46" s="14">
        <v>45</v>
      </c>
      <c r="B46" s="14" t="str">
        <f>_xlfn.CONCAT(AE46,"-",VLOOKUP(AE46,t_objeto!B:D,3,FALSE),"-",A46)</f>
        <v>RMAT-PERCCO-45</v>
      </c>
      <c r="C46" s="22" t="str">
        <f t="shared" si="9"/>
        <v>LAMINA_LISA__ACERO_PINTRO_3'X8'_12</v>
      </c>
      <c r="D46" s="14" t="s">
        <v>7412</v>
      </c>
      <c r="E46" s="14" t="s">
        <v>7385</v>
      </c>
      <c r="F46" s="21" t="s">
        <v>7388</v>
      </c>
      <c r="G46" s="22" t="s">
        <v>7387</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7356</v>
      </c>
      <c r="AF46" s="1" t="str">
        <f>VLOOKUP(AE46,t_objeto!B:C,2,FALSE)</f>
        <v>RAW_MATERIAL</v>
      </c>
      <c r="AG46" s="1">
        <v>8</v>
      </c>
      <c r="AH46" s="1" t="str">
        <f>VLOOKUP(AG46,t_entry_status!A:AE,2,FALSE)</f>
        <v>PENDING</v>
      </c>
      <c r="AI46" s="7">
        <v>45560</v>
      </c>
      <c r="AJ46" s="1" t="s">
        <v>7455</v>
      </c>
      <c r="AK46" s="7">
        <v>45560</v>
      </c>
      <c r="AL46" s="1" t="s">
        <v>7455</v>
      </c>
    </row>
    <row r="47" spans="1:38" s="20" customFormat="1" x14ac:dyDescent="0.3">
      <c r="A47" s="14">
        <v>46</v>
      </c>
      <c r="B47" s="14" t="str">
        <f>_xlfn.CONCAT(AE47,"-",VLOOKUP(AE47,t_objeto!B:D,3,FALSE),"-",A47)</f>
        <v>RMAT-PERCCO-46</v>
      </c>
      <c r="C47" s="22" t="str">
        <f t="shared" si="9"/>
        <v>LAMINA_LISA__ACERO_PINTRO_3'X8'_13</v>
      </c>
      <c r="D47" s="14" t="s">
        <v>7412</v>
      </c>
      <c r="E47" s="14" t="s">
        <v>7385</v>
      </c>
      <c r="F47" s="21" t="s">
        <v>7388</v>
      </c>
      <c r="G47" s="22" t="s">
        <v>7387</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7356</v>
      </c>
      <c r="AF47" s="1" t="str">
        <f>VLOOKUP(AE47,t_objeto!B:C,2,FALSE)</f>
        <v>RAW_MATERIAL</v>
      </c>
      <c r="AG47" s="1">
        <v>8</v>
      </c>
      <c r="AH47" s="1" t="str">
        <f>VLOOKUP(AG47,t_entry_status!A:AE,2,FALSE)</f>
        <v>PENDING</v>
      </c>
      <c r="AI47" s="7">
        <v>45560</v>
      </c>
      <c r="AJ47" s="1" t="s">
        <v>7455</v>
      </c>
      <c r="AK47" s="7">
        <v>45560</v>
      </c>
      <c r="AL47" s="1" t="s">
        <v>7455</v>
      </c>
    </row>
    <row r="48" spans="1:38" s="20" customFormat="1" ht="18" x14ac:dyDescent="0.35">
      <c r="A48" s="14">
        <v>47</v>
      </c>
      <c r="B48" s="14" t="str">
        <f>_xlfn.CONCAT(AE48,"-",VLOOKUP(AE48,t_objeto!B:D,3,FALSE),"-",A48)</f>
        <v>RMAT-PERCCO-47</v>
      </c>
      <c r="C48" s="22" t="str">
        <f t="shared" si="9"/>
        <v>LAMINA_LISA__ACERO_PINTRO_3'X8'_14</v>
      </c>
      <c r="D48" s="14" t="s">
        <v>7412</v>
      </c>
      <c r="E48" s="14" t="s">
        <v>7385</v>
      </c>
      <c r="F48" s="21" t="s">
        <v>7388</v>
      </c>
      <c r="G48" s="22" t="s">
        <v>7387</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7356</v>
      </c>
      <c r="AF48" s="1" t="str">
        <f>VLOOKUP(AE48,t_objeto!B:C,2,FALSE)</f>
        <v>RAW_MATERIAL</v>
      </c>
      <c r="AG48" s="1">
        <v>8</v>
      </c>
      <c r="AH48" s="1" t="str">
        <f>VLOOKUP(AG48,t_entry_status!A:AE,2,FALSE)</f>
        <v>PENDING</v>
      </c>
      <c r="AI48" s="7">
        <v>45560</v>
      </c>
      <c r="AJ48" s="1" t="s">
        <v>7455</v>
      </c>
      <c r="AK48" s="7">
        <v>45560</v>
      </c>
      <c r="AL48" s="1" t="s">
        <v>7455</v>
      </c>
    </row>
    <row r="49" spans="1:38" s="20" customFormat="1" x14ac:dyDescent="0.3">
      <c r="A49" s="14">
        <v>48</v>
      </c>
      <c r="B49" s="14" t="str">
        <f>_xlfn.CONCAT(AE49,"-",VLOOKUP(AE49,t_objeto!B:D,3,FALSE),"-",A49)</f>
        <v>RMAT-PERCCO-48</v>
      </c>
      <c r="C49" s="22" t="str">
        <f t="shared" si="9"/>
        <v>LAMINA_LISA__ACERO_PINTRO_3'X8'_15</v>
      </c>
      <c r="D49" s="14" t="s">
        <v>7412</v>
      </c>
      <c r="E49" s="14" t="s">
        <v>7385</v>
      </c>
      <c r="F49" s="21" t="s">
        <v>7388</v>
      </c>
      <c r="G49" s="22" t="s">
        <v>7387</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7356</v>
      </c>
      <c r="AF49" s="1" t="str">
        <f>VLOOKUP(AE49,t_objeto!B:C,2,FALSE)</f>
        <v>RAW_MATERIAL</v>
      </c>
      <c r="AG49" s="1">
        <v>8</v>
      </c>
      <c r="AH49" s="1" t="str">
        <f>VLOOKUP(AG49,t_entry_status!A:AE,2,FALSE)</f>
        <v>PENDING</v>
      </c>
      <c r="AI49" s="7">
        <v>45560</v>
      </c>
      <c r="AJ49" s="1" t="s">
        <v>7455</v>
      </c>
      <c r="AK49" s="7">
        <v>45560</v>
      </c>
      <c r="AL49" s="1" t="s">
        <v>7455</v>
      </c>
    </row>
    <row r="50" spans="1:38" s="20" customFormat="1" x14ac:dyDescent="0.3">
      <c r="A50" s="14">
        <v>49</v>
      </c>
      <c r="B50" s="14" t="str">
        <f>_xlfn.CONCAT(AE50,"-",VLOOKUP(AE50,t_objeto!B:D,3,FALSE),"-",A50)</f>
        <v>RMAT-PERCCO-49</v>
      </c>
      <c r="C50" s="22" t="str">
        <f t="shared" si="9"/>
        <v>LAMINA_LISA__ACERO_PINTRO_3'X8'_16</v>
      </c>
      <c r="D50" s="14" t="s">
        <v>7412</v>
      </c>
      <c r="E50" s="14" t="s">
        <v>7385</v>
      </c>
      <c r="F50" s="21" t="s">
        <v>7388</v>
      </c>
      <c r="G50" s="22" t="s">
        <v>7387</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7356</v>
      </c>
      <c r="AF50" s="1" t="str">
        <f>VLOOKUP(AE50,t_objeto!B:C,2,FALSE)</f>
        <v>RAW_MATERIAL</v>
      </c>
      <c r="AG50" s="1">
        <v>8</v>
      </c>
      <c r="AH50" s="1" t="str">
        <f>VLOOKUP(AG50,t_entry_status!A:AE,2,FALSE)</f>
        <v>PENDING</v>
      </c>
      <c r="AI50" s="7">
        <v>45560</v>
      </c>
      <c r="AJ50" s="1" t="s">
        <v>7455</v>
      </c>
      <c r="AK50" s="7">
        <v>45560</v>
      </c>
      <c r="AL50" s="1" t="s">
        <v>7455</v>
      </c>
    </row>
    <row r="51" spans="1:38" s="20" customFormat="1" x14ac:dyDescent="0.3">
      <c r="A51" s="14">
        <v>50</v>
      </c>
      <c r="B51" s="14" t="str">
        <f>_xlfn.CONCAT(AE51,"-",VLOOKUP(AE51,t_objeto!B:D,3,FALSE),"-",A51)</f>
        <v>RMAT-PERCCO-50</v>
      </c>
      <c r="C51" s="22" t="str">
        <f t="shared" si="9"/>
        <v>LAMINA_LISA__ACERO_PINTRO_3'X8'_17</v>
      </c>
      <c r="D51" s="14" t="s">
        <v>7412</v>
      </c>
      <c r="E51" s="14" t="s">
        <v>7385</v>
      </c>
      <c r="F51" s="21" t="s">
        <v>7388</v>
      </c>
      <c r="G51" s="22" t="s">
        <v>7387</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7356</v>
      </c>
      <c r="AF51" s="1" t="str">
        <f>VLOOKUP(AE51,t_objeto!B:C,2,FALSE)</f>
        <v>RAW_MATERIAL</v>
      </c>
      <c r="AG51" s="1">
        <v>8</v>
      </c>
      <c r="AH51" s="1" t="str">
        <f>VLOOKUP(AG51,t_entry_status!A:AE,2,FALSE)</f>
        <v>PENDING</v>
      </c>
      <c r="AI51" s="7">
        <v>45560</v>
      </c>
      <c r="AJ51" s="1" t="s">
        <v>7455</v>
      </c>
      <c r="AK51" s="7">
        <v>45560</v>
      </c>
      <c r="AL51" s="1" t="s">
        <v>7455</v>
      </c>
    </row>
    <row r="52" spans="1:38" s="20" customFormat="1" x14ac:dyDescent="0.3">
      <c r="A52" s="14">
        <v>51</v>
      </c>
      <c r="B52" s="14" t="str">
        <f>_xlfn.CONCAT(AE52,"-",VLOOKUP(AE52,t_objeto!B:D,3,FALSE),"-",A52)</f>
        <v>RMAT-PERCCO-51</v>
      </c>
      <c r="C52" s="22" t="str">
        <f t="shared" si="9"/>
        <v>LAMINA_LISA__ACERO_PINTRO_3'X8'_18</v>
      </c>
      <c r="D52" s="14" t="s">
        <v>7412</v>
      </c>
      <c r="E52" s="14" t="s">
        <v>7385</v>
      </c>
      <c r="F52" s="21" t="s">
        <v>7388</v>
      </c>
      <c r="G52" s="22" t="s">
        <v>7387</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7356</v>
      </c>
      <c r="AF52" s="1" t="str">
        <f>VLOOKUP(AE52,t_objeto!B:C,2,FALSE)</f>
        <v>RAW_MATERIAL</v>
      </c>
      <c r="AG52" s="1">
        <v>8</v>
      </c>
      <c r="AH52" s="1" t="str">
        <f>VLOOKUP(AG52,t_entry_status!A:AE,2,FALSE)</f>
        <v>PENDING</v>
      </c>
      <c r="AI52" s="7">
        <v>45560</v>
      </c>
      <c r="AJ52" s="1" t="s">
        <v>7455</v>
      </c>
      <c r="AK52" s="7">
        <v>45560</v>
      </c>
      <c r="AL52" s="1" t="s">
        <v>7455</v>
      </c>
    </row>
    <row r="53" spans="1:38" s="20" customFormat="1" x14ac:dyDescent="0.3">
      <c r="A53" s="14">
        <v>52</v>
      </c>
      <c r="B53" s="14" t="str">
        <f>_xlfn.CONCAT(AE53,"-",VLOOKUP(AE53,t_objeto!B:D,3,FALSE),"-",A53)</f>
        <v>RMAT-PERCCO-52</v>
      </c>
      <c r="C53" s="22" t="str">
        <f t="shared" si="9"/>
        <v>LAMINA_LISA__ACERO_PINTRO_3'X8'_19</v>
      </c>
      <c r="D53" s="14" t="s">
        <v>7412</v>
      </c>
      <c r="E53" s="14" t="s">
        <v>7385</v>
      </c>
      <c r="F53" s="21" t="s">
        <v>7388</v>
      </c>
      <c r="G53" s="22" t="s">
        <v>7387</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7356</v>
      </c>
      <c r="AF53" s="1" t="str">
        <f>VLOOKUP(AE53,t_objeto!B:C,2,FALSE)</f>
        <v>RAW_MATERIAL</v>
      </c>
      <c r="AG53" s="1">
        <v>8</v>
      </c>
      <c r="AH53" s="1" t="str">
        <f>VLOOKUP(AG53,t_entry_status!A:AE,2,FALSE)</f>
        <v>PENDING</v>
      </c>
      <c r="AI53" s="7">
        <v>45560</v>
      </c>
      <c r="AJ53" s="1" t="s">
        <v>7455</v>
      </c>
      <c r="AK53" s="7">
        <v>45560</v>
      </c>
      <c r="AL53" s="1" t="s">
        <v>7455</v>
      </c>
    </row>
    <row r="54" spans="1:38" s="20" customFormat="1" x14ac:dyDescent="0.3">
      <c r="A54" s="14">
        <v>53</v>
      </c>
      <c r="B54" s="14" t="str">
        <f>_xlfn.CONCAT(AE54,"-",VLOOKUP(AE54,t_objeto!B:D,3,FALSE),"-",A54)</f>
        <v>RMAT-PERCCO-53</v>
      </c>
      <c r="C54" s="22" t="str">
        <f t="shared" si="9"/>
        <v>LAMINA_LISA__ACERO_PINTRO_3'X8'_20</v>
      </c>
      <c r="D54" s="14" t="s">
        <v>7412</v>
      </c>
      <c r="E54" s="14" t="s">
        <v>7385</v>
      </c>
      <c r="F54" s="21" t="s">
        <v>7388</v>
      </c>
      <c r="G54" s="22" t="s">
        <v>7387</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7356</v>
      </c>
      <c r="AF54" s="1" t="str">
        <f>VLOOKUP(AE54,t_objeto!B:C,2,FALSE)</f>
        <v>RAW_MATERIAL</v>
      </c>
      <c r="AG54" s="1">
        <v>8</v>
      </c>
      <c r="AH54" s="1" t="str">
        <f>VLOOKUP(AG54,t_entry_status!A:AE,2,FALSE)</f>
        <v>PENDING</v>
      </c>
      <c r="AI54" s="7">
        <v>45560</v>
      </c>
      <c r="AJ54" s="1" t="s">
        <v>7455</v>
      </c>
      <c r="AK54" s="7">
        <v>45560</v>
      </c>
      <c r="AL54" s="1" t="s">
        <v>7455</v>
      </c>
    </row>
    <row r="55" spans="1:38" s="20" customFormat="1" x14ac:dyDescent="0.3">
      <c r="A55" s="14">
        <v>54</v>
      </c>
      <c r="B55" s="14" t="str">
        <f>_xlfn.CONCAT(AE55,"-",VLOOKUP(AE55,t_objeto!B:D,3,FALSE),"-",A55)</f>
        <v>RMAT-PERCCO-54</v>
      </c>
      <c r="C55" s="22" t="str">
        <f t="shared" si="9"/>
        <v>LAMINA_LISA__ACERO_PINTRO_3'X8'_21</v>
      </c>
      <c r="D55" s="14" t="s">
        <v>7412</v>
      </c>
      <c r="E55" s="14" t="s">
        <v>7385</v>
      </c>
      <c r="F55" s="21" t="s">
        <v>7388</v>
      </c>
      <c r="G55" s="22" t="s">
        <v>7387</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7356</v>
      </c>
      <c r="AF55" s="1" t="str">
        <f>VLOOKUP(AE55,t_objeto!B:C,2,FALSE)</f>
        <v>RAW_MATERIAL</v>
      </c>
      <c r="AG55" s="1">
        <v>8</v>
      </c>
      <c r="AH55" s="1" t="str">
        <f>VLOOKUP(AG55,t_entry_status!A:AE,2,FALSE)</f>
        <v>PENDING</v>
      </c>
      <c r="AI55" s="7">
        <v>45560</v>
      </c>
      <c r="AJ55" s="1" t="s">
        <v>7455</v>
      </c>
      <c r="AK55" s="7">
        <v>45560</v>
      </c>
      <c r="AL55" s="1" t="s">
        <v>7455</v>
      </c>
    </row>
    <row r="56" spans="1:38" s="20" customFormat="1" x14ac:dyDescent="0.3">
      <c r="A56" s="14">
        <v>55</v>
      </c>
      <c r="B56" s="14" t="str">
        <f>_xlfn.CONCAT(AE56,"-",VLOOKUP(AE56,t_objeto!B:D,3,FALSE),"-",A56)</f>
        <v>RMAT-PERCCO-55</v>
      </c>
      <c r="C56" s="22" t="str">
        <f t="shared" si="9"/>
        <v>LAMINA_LISA__ACERO_PINTRO_3'X8'_22</v>
      </c>
      <c r="D56" s="14" t="s">
        <v>7412</v>
      </c>
      <c r="E56" s="14" t="s">
        <v>7385</v>
      </c>
      <c r="F56" s="21" t="s">
        <v>7388</v>
      </c>
      <c r="G56" s="22" t="s">
        <v>7387</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7356</v>
      </c>
      <c r="AF56" s="1" t="str">
        <f>VLOOKUP(AE56,t_objeto!B:C,2,FALSE)</f>
        <v>RAW_MATERIAL</v>
      </c>
      <c r="AG56" s="1">
        <v>8</v>
      </c>
      <c r="AH56" s="1" t="str">
        <f>VLOOKUP(AG56,t_entry_status!A:AE,2,FALSE)</f>
        <v>PENDING</v>
      </c>
      <c r="AI56" s="7">
        <v>45560</v>
      </c>
      <c r="AJ56" s="1" t="s">
        <v>7455</v>
      </c>
      <c r="AK56" s="7">
        <v>45560</v>
      </c>
      <c r="AL56" s="1" t="s">
        <v>7455</v>
      </c>
    </row>
    <row r="57" spans="1:38" s="20" customFormat="1" x14ac:dyDescent="0.3">
      <c r="A57" s="14">
        <v>56</v>
      </c>
      <c r="B57" s="14" t="str">
        <f>_xlfn.CONCAT(AE57,"-",VLOOKUP(AE57,t_objeto!B:D,3,FALSE),"-",A57)</f>
        <v>RMAT-PERCCO-56</v>
      </c>
      <c r="C57" s="22" t="str">
        <f t="shared" si="9"/>
        <v>LAMINA_LISA__ACERO_PINTRO_3'X8'_23</v>
      </c>
      <c r="D57" s="14" t="s">
        <v>7412</v>
      </c>
      <c r="E57" s="14" t="s">
        <v>7385</v>
      </c>
      <c r="F57" s="21" t="s">
        <v>7388</v>
      </c>
      <c r="G57" s="22" t="s">
        <v>7387</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7356</v>
      </c>
      <c r="AF57" s="1" t="str">
        <f>VLOOKUP(AE57,t_objeto!B:C,2,FALSE)</f>
        <v>RAW_MATERIAL</v>
      </c>
      <c r="AG57" s="1">
        <v>8</v>
      </c>
      <c r="AH57" s="1" t="str">
        <f>VLOOKUP(AG57,t_entry_status!A:AE,2,FALSE)</f>
        <v>PENDING</v>
      </c>
      <c r="AI57" s="7">
        <v>45560</v>
      </c>
      <c r="AJ57" s="1" t="s">
        <v>7455</v>
      </c>
      <c r="AK57" s="7">
        <v>45560</v>
      </c>
      <c r="AL57" s="1" t="s">
        <v>7455</v>
      </c>
    </row>
    <row r="58" spans="1:38" s="20" customFormat="1" x14ac:dyDescent="0.3">
      <c r="A58" s="14">
        <v>57</v>
      </c>
      <c r="B58" s="14" t="str">
        <f>_xlfn.CONCAT(AE58,"-",VLOOKUP(AE58,t_objeto!B:D,3,FALSE),"-",A58)</f>
        <v>RMAT-PERCCO-57</v>
      </c>
      <c r="C58" s="22" t="str">
        <f t="shared" si="9"/>
        <v>LAMINA_LISA__ACERO_PINTRO_3'X8'_24</v>
      </c>
      <c r="D58" s="14" t="s">
        <v>7412</v>
      </c>
      <c r="E58" s="14" t="s">
        <v>7385</v>
      </c>
      <c r="F58" s="21" t="s">
        <v>7388</v>
      </c>
      <c r="G58" s="22" t="s">
        <v>7387</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7356</v>
      </c>
      <c r="AF58" s="1" t="str">
        <f>VLOOKUP(AE58,t_objeto!B:C,2,FALSE)</f>
        <v>RAW_MATERIAL</v>
      </c>
      <c r="AG58" s="1">
        <v>8</v>
      </c>
      <c r="AH58" s="1" t="str">
        <f>VLOOKUP(AG58,t_entry_status!A:AE,2,FALSE)</f>
        <v>PENDING</v>
      </c>
      <c r="AI58" s="7">
        <v>45560</v>
      </c>
      <c r="AJ58" s="1" t="s">
        <v>7455</v>
      </c>
      <c r="AK58" s="7">
        <v>45560</v>
      </c>
      <c r="AL58" s="1" t="s">
        <v>7455</v>
      </c>
    </row>
    <row r="59" spans="1:38" s="20" customFormat="1" x14ac:dyDescent="0.3">
      <c r="A59" s="14">
        <v>58</v>
      </c>
      <c r="B59" s="14" t="str">
        <f>_xlfn.CONCAT(AE59,"-",VLOOKUP(AE59,t_objeto!B:D,3,FALSE),"-",A59)</f>
        <v>RMAT-PERCCO-58</v>
      </c>
      <c r="C59" s="22" t="str">
        <f t="shared" si="9"/>
        <v>LAMINA_LISA__ACERO_PINTRO_3'X8'_25</v>
      </c>
      <c r="D59" s="14" t="s">
        <v>7412</v>
      </c>
      <c r="E59" s="14" t="s">
        <v>7385</v>
      </c>
      <c r="F59" s="21" t="s">
        <v>7388</v>
      </c>
      <c r="G59" s="22" t="s">
        <v>7387</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7356</v>
      </c>
      <c r="AF59" s="1" t="str">
        <f>VLOOKUP(AE59,t_objeto!B:C,2,FALSE)</f>
        <v>RAW_MATERIAL</v>
      </c>
      <c r="AG59" s="1">
        <v>8</v>
      </c>
      <c r="AH59" s="1" t="str">
        <f>VLOOKUP(AG59,t_entry_status!A:AE,2,FALSE)</f>
        <v>PENDING</v>
      </c>
      <c r="AI59" s="7">
        <v>45560</v>
      </c>
      <c r="AJ59" s="1" t="s">
        <v>7455</v>
      </c>
      <c r="AK59" s="7">
        <v>45560</v>
      </c>
      <c r="AL59" s="1" t="s">
        <v>7455</v>
      </c>
    </row>
    <row r="60" spans="1:38" s="20" customFormat="1" x14ac:dyDescent="0.3">
      <c r="A60" s="14">
        <v>59</v>
      </c>
      <c r="B60" s="14" t="str">
        <f>_xlfn.CONCAT(AE60,"-",VLOOKUP(AE60,t_objeto!B:D,3,FALSE),"-",A60)</f>
        <v>RMAT-PERCCO-59</v>
      </c>
      <c r="C60" s="22" t="str">
        <f t="shared" si="9"/>
        <v>LAMINA_LISA__ACERO_PINTRO_3'X8'_26</v>
      </c>
      <c r="D60" s="14" t="s">
        <v>7412</v>
      </c>
      <c r="E60" s="14" t="s">
        <v>7385</v>
      </c>
      <c r="F60" s="21" t="s">
        <v>7388</v>
      </c>
      <c r="G60" s="22" t="s">
        <v>7387</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7356</v>
      </c>
      <c r="AF60" s="1" t="str">
        <f>VLOOKUP(AE60,t_objeto!B:C,2,FALSE)</f>
        <v>RAW_MATERIAL</v>
      </c>
      <c r="AG60" s="1">
        <v>8</v>
      </c>
      <c r="AH60" s="1" t="str">
        <f>VLOOKUP(AG60,t_entry_status!A:AE,2,FALSE)</f>
        <v>PENDING</v>
      </c>
      <c r="AI60" s="7">
        <v>45560</v>
      </c>
      <c r="AJ60" s="1" t="s">
        <v>7455</v>
      </c>
      <c r="AK60" s="7">
        <v>45560</v>
      </c>
      <c r="AL60" s="1" t="s">
        <v>7455</v>
      </c>
    </row>
    <row r="61" spans="1:38" s="20" customFormat="1" x14ac:dyDescent="0.3">
      <c r="A61" s="14">
        <v>60</v>
      </c>
      <c r="B61" s="14" t="str">
        <f>_xlfn.CONCAT(AE61,"-",VLOOKUP(AE61,t_objeto!B:D,3,FALSE),"-",A61)</f>
        <v>RMAT-PERCCO-60</v>
      </c>
      <c r="C61" s="22" t="str">
        <f t="shared" si="9"/>
        <v>LAMINA_LISA__ACERO_PINTRO_3'X8'_27</v>
      </c>
      <c r="D61" s="14" t="s">
        <v>7412</v>
      </c>
      <c r="E61" s="14" t="s">
        <v>7385</v>
      </c>
      <c r="F61" s="21" t="s">
        <v>7388</v>
      </c>
      <c r="G61" s="22" t="s">
        <v>7387</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7356</v>
      </c>
      <c r="AF61" s="1" t="str">
        <f>VLOOKUP(AE61,t_objeto!B:C,2,FALSE)</f>
        <v>RAW_MATERIAL</v>
      </c>
      <c r="AG61" s="1">
        <v>8</v>
      </c>
      <c r="AH61" s="1" t="str">
        <f>VLOOKUP(AG61,t_entry_status!A:AE,2,FALSE)</f>
        <v>PENDING</v>
      </c>
      <c r="AI61" s="7">
        <v>45560</v>
      </c>
      <c r="AJ61" s="1" t="s">
        <v>7455</v>
      </c>
      <c r="AK61" s="7">
        <v>45560</v>
      </c>
      <c r="AL61" s="1" t="s">
        <v>7455</v>
      </c>
    </row>
    <row r="62" spans="1:38" s="20" customFormat="1" x14ac:dyDescent="0.3">
      <c r="A62" s="14">
        <v>61</v>
      </c>
      <c r="B62" s="14" t="str">
        <f>_xlfn.CONCAT(AE62,"-",VLOOKUP(AE62,t_objeto!B:D,3,FALSE),"-",A62)</f>
        <v>RMAT-PERCCO-61</v>
      </c>
      <c r="C62" s="22" t="str">
        <f t="shared" si="9"/>
        <v>LAMINA_LISA__ACERO_PINTRO_3'X8'_28</v>
      </c>
      <c r="D62" s="14" t="s">
        <v>7412</v>
      </c>
      <c r="E62" s="14" t="s">
        <v>7385</v>
      </c>
      <c r="F62" s="21" t="s">
        <v>7388</v>
      </c>
      <c r="G62" s="22" t="s">
        <v>7387</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7356</v>
      </c>
      <c r="AF62" s="1" t="str">
        <f>VLOOKUP(AE62,t_objeto!B:C,2,FALSE)</f>
        <v>RAW_MATERIAL</v>
      </c>
      <c r="AG62" s="1">
        <v>8</v>
      </c>
      <c r="AH62" s="1" t="str">
        <f>VLOOKUP(AG62,t_entry_status!A:AE,2,FALSE)</f>
        <v>PENDING</v>
      </c>
      <c r="AI62" s="7">
        <v>45560</v>
      </c>
      <c r="AJ62" s="1" t="s">
        <v>7455</v>
      </c>
      <c r="AK62" s="7">
        <v>45560</v>
      </c>
      <c r="AL62" s="1" t="s">
        <v>7455</v>
      </c>
    </row>
    <row r="63" spans="1:38" s="20" customFormat="1" x14ac:dyDescent="0.3">
      <c r="A63" s="14">
        <v>62</v>
      </c>
      <c r="B63" s="14" t="str">
        <f>_xlfn.CONCAT(AE63,"-",VLOOKUP(AE63,t_objeto!B:D,3,FALSE),"-",A63)</f>
        <v>RMAT-PERCCO-62</v>
      </c>
      <c r="C63" s="22" t="str">
        <f t="shared" si="9"/>
        <v>LAMINA_LISA__ACERO_PINTRO_3'X8'_29</v>
      </c>
      <c r="D63" s="14" t="s">
        <v>7412</v>
      </c>
      <c r="E63" s="14" t="s">
        <v>7385</v>
      </c>
      <c r="F63" s="21" t="s">
        <v>7388</v>
      </c>
      <c r="G63" s="22" t="s">
        <v>7387</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7356</v>
      </c>
      <c r="AF63" s="1" t="str">
        <f>VLOOKUP(AE63,t_objeto!B:C,2,FALSE)</f>
        <v>RAW_MATERIAL</v>
      </c>
      <c r="AG63" s="1">
        <v>8</v>
      </c>
      <c r="AH63" s="1" t="str">
        <f>VLOOKUP(AG63,t_entry_status!A:AE,2,FALSE)</f>
        <v>PENDING</v>
      </c>
      <c r="AI63" s="7">
        <v>45560</v>
      </c>
      <c r="AJ63" s="1" t="s">
        <v>7455</v>
      </c>
      <c r="AK63" s="7">
        <v>45560</v>
      </c>
      <c r="AL63" s="1" t="s">
        <v>7455</v>
      </c>
    </row>
    <row r="64" spans="1:38" s="20" customFormat="1" x14ac:dyDescent="0.3">
      <c r="A64" s="14">
        <v>63</v>
      </c>
      <c r="B64" s="14" t="str">
        <f>_xlfn.CONCAT(AE64,"-",VLOOKUP(AE64,t_objeto!B:D,3,FALSE),"-",A64)</f>
        <v>RMAT-PERCCO-63</v>
      </c>
      <c r="C64" s="22" t="str">
        <f t="shared" si="9"/>
        <v>LAMINA_LISA__ACERO_PINTRO_3'X8'_30</v>
      </c>
      <c r="D64" s="14" t="s">
        <v>7412</v>
      </c>
      <c r="E64" s="14" t="s">
        <v>7385</v>
      </c>
      <c r="F64" s="21" t="s">
        <v>7388</v>
      </c>
      <c r="G64" s="22" t="s">
        <v>7387</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7356</v>
      </c>
      <c r="AF64" s="1" t="str">
        <f>VLOOKUP(AE64,t_objeto!B:C,2,FALSE)</f>
        <v>RAW_MATERIAL</v>
      </c>
      <c r="AG64" s="1">
        <v>8</v>
      </c>
      <c r="AH64" s="1" t="str">
        <f>VLOOKUP(AG64,t_entry_status!A:AE,2,FALSE)</f>
        <v>PENDING</v>
      </c>
      <c r="AI64" s="7">
        <v>45560</v>
      </c>
      <c r="AJ64" s="1" t="s">
        <v>7455</v>
      </c>
      <c r="AK64" s="7">
        <v>45560</v>
      </c>
      <c r="AL64" s="1" t="s">
        <v>7455</v>
      </c>
    </row>
    <row r="65" spans="1:38" s="20" customFormat="1" x14ac:dyDescent="0.3">
      <c r="A65" s="14">
        <v>64</v>
      </c>
      <c r="B65" s="14" t="str">
        <f>_xlfn.CONCAT(AE65,"-",VLOOKUP(AE65,t_objeto!B:D,3,FALSE),"-",A65)</f>
        <v>RMAT-PERCCO-64</v>
      </c>
      <c r="C65" s="22" t="str">
        <f t="shared" si="9"/>
        <v>PLACA__ACERO_ROLADA EN CALIENTE_3'X8'_1"</v>
      </c>
      <c r="D65" s="14" t="s">
        <v>7390</v>
      </c>
      <c r="E65" s="14" t="s">
        <v>7385</v>
      </c>
      <c r="F65" s="21" t="s">
        <v>7391</v>
      </c>
      <c r="G65" s="22" t="s">
        <v>7387</v>
      </c>
      <c r="H65" s="14" t="s">
        <v>7392</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7356</v>
      </c>
      <c r="AF65" s="1" t="str">
        <f>VLOOKUP(AE65,t_objeto!B:C,2,FALSE)</f>
        <v>RAW_MATERIAL</v>
      </c>
      <c r="AG65" s="1">
        <v>8</v>
      </c>
      <c r="AH65" s="1" t="str">
        <f>VLOOKUP(AG65,t_entry_status!A:AE,2,FALSE)</f>
        <v>PENDING</v>
      </c>
      <c r="AI65" s="7">
        <v>45560</v>
      </c>
      <c r="AJ65" s="1" t="s">
        <v>7455</v>
      </c>
      <c r="AK65" s="7">
        <v>45560</v>
      </c>
      <c r="AL65" s="1" t="s">
        <v>7455</v>
      </c>
    </row>
    <row r="66" spans="1:38" s="20" customFormat="1" x14ac:dyDescent="0.3">
      <c r="A66" s="14">
        <v>65</v>
      </c>
      <c r="B66" s="14" t="str">
        <f>_xlfn.CONCAT(AE66,"-",VLOOKUP(AE66,t_objeto!B:D,3,FALSE),"-",A66)</f>
        <v>RMAT-PERCCO-65</v>
      </c>
      <c r="C66" s="22" t="str">
        <f t="shared" si="9"/>
        <v>PLACA__ACERO_ROLADA EN CALIENTE_3'X8'_7/8"</v>
      </c>
      <c r="D66" s="14" t="s">
        <v>7390</v>
      </c>
      <c r="E66" s="14" t="s">
        <v>7385</v>
      </c>
      <c r="F66" s="21" t="s">
        <v>7391</v>
      </c>
      <c r="G66" s="22" t="s">
        <v>7387</v>
      </c>
      <c r="H66" s="14" t="s">
        <v>7393</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7356</v>
      </c>
      <c r="AF66" s="1" t="str">
        <f>VLOOKUP(AE66,t_objeto!B:C,2,FALSE)</f>
        <v>RAW_MATERIAL</v>
      </c>
      <c r="AG66" s="1">
        <v>8</v>
      </c>
      <c r="AH66" s="1" t="str">
        <f>VLOOKUP(AG66,t_entry_status!A:AE,2,FALSE)</f>
        <v>PENDING</v>
      </c>
      <c r="AI66" s="7">
        <v>45560</v>
      </c>
      <c r="AJ66" s="1" t="s">
        <v>7455</v>
      </c>
      <c r="AK66" s="7">
        <v>45560</v>
      </c>
      <c r="AL66" s="1" t="s">
        <v>7455</v>
      </c>
    </row>
    <row r="67" spans="1:38" s="20" customFormat="1" x14ac:dyDescent="0.3">
      <c r="A67" s="14">
        <v>66</v>
      </c>
      <c r="B67" s="14" t="str">
        <f>_xlfn.CONCAT(AE67,"-",VLOOKUP(AE67,t_objeto!B:D,3,FALSE),"-",A67)</f>
        <v>RMAT-PERCCO-66</v>
      </c>
      <c r="C67" s="22" t="str">
        <f t="shared" ref="C67:C130" si="19">_xlfn.CONCAT(D67,"_","_",E67,"_",F67,"_",R67,"'","X",S67,"'","_",H67)</f>
        <v>PLACA__ACERO_ROLADA EN CALIENTE_3'X8'_3/4"</v>
      </c>
      <c r="D67" s="14" t="s">
        <v>7390</v>
      </c>
      <c r="E67" s="14" t="s">
        <v>7385</v>
      </c>
      <c r="F67" s="21" t="s">
        <v>7391</v>
      </c>
      <c r="G67" s="22" t="s">
        <v>7387</v>
      </c>
      <c r="H67" s="14" t="s">
        <v>7394</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7356</v>
      </c>
      <c r="AF67" s="1" t="str">
        <f>VLOOKUP(AE67,t_objeto!B:C,2,FALSE)</f>
        <v>RAW_MATERIAL</v>
      </c>
      <c r="AG67" s="1">
        <v>8</v>
      </c>
      <c r="AH67" s="1" t="str">
        <f>VLOOKUP(AG67,t_entry_status!A:AE,2,FALSE)</f>
        <v>PENDING</v>
      </c>
      <c r="AI67" s="7">
        <v>45560</v>
      </c>
      <c r="AJ67" s="1" t="s">
        <v>7455</v>
      </c>
      <c r="AK67" s="7">
        <v>45560</v>
      </c>
      <c r="AL67" s="1" t="s">
        <v>7455</v>
      </c>
    </row>
    <row r="68" spans="1:38" s="20" customFormat="1" x14ac:dyDescent="0.3">
      <c r="A68" s="14">
        <v>67</v>
      </c>
      <c r="B68" s="14" t="str">
        <f>_xlfn.CONCAT(AE68,"-",VLOOKUP(AE68,t_objeto!B:D,3,FALSE),"-",A68)</f>
        <v>RMAT-PERCCO-67</v>
      </c>
      <c r="C68" s="22" t="str">
        <f t="shared" si="19"/>
        <v>PLACA__ACERO_ROLADA EN CALIENTE_3'X8'_11/16"</v>
      </c>
      <c r="D68" s="14" t="s">
        <v>7390</v>
      </c>
      <c r="E68" s="14" t="s">
        <v>7385</v>
      </c>
      <c r="F68" s="21" t="s">
        <v>7391</v>
      </c>
      <c r="G68" s="22" t="s">
        <v>7387</v>
      </c>
      <c r="H68" s="14" t="s">
        <v>7395</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7356</v>
      </c>
      <c r="AF68" s="1" t="str">
        <f>VLOOKUP(AE68,t_objeto!B:C,2,FALSE)</f>
        <v>RAW_MATERIAL</v>
      </c>
      <c r="AG68" s="1">
        <v>8</v>
      </c>
      <c r="AH68" s="1" t="str">
        <f>VLOOKUP(AG68,t_entry_status!A:AE,2,FALSE)</f>
        <v>PENDING</v>
      </c>
      <c r="AI68" s="7">
        <v>45560</v>
      </c>
      <c r="AJ68" s="1" t="s">
        <v>7455</v>
      </c>
      <c r="AK68" s="7">
        <v>45560</v>
      </c>
      <c r="AL68" s="1" t="s">
        <v>7455</v>
      </c>
    </row>
    <row r="69" spans="1:38" s="20" customFormat="1" x14ac:dyDescent="0.3">
      <c r="A69" s="14">
        <v>68</v>
      </c>
      <c r="B69" s="14" t="str">
        <f>_xlfn.CONCAT(AE69,"-",VLOOKUP(AE69,t_objeto!B:D,3,FALSE),"-",A69)</f>
        <v>RMAT-PERCCO-68</v>
      </c>
      <c r="C69" s="22" t="str">
        <f t="shared" si="19"/>
        <v>PLACA__ACERO_ROLADA EN CALIENTE_3'X8'_5/8"</v>
      </c>
      <c r="D69" s="14" t="s">
        <v>7390</v>
      </c>
      <c r="E69" s="14" t="s">
        <v>7385</v>
      </c>
      <c r="F69" s="21" t="s">
        <v>7391</v>
      </c>
      <c r="G69" s="22" t="s">
        <v>7387</v>
      </c>
      <c r="H69" s="14" t="s">
        <v>7396</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7356</v>
      </c>
      <c r="AF69" s="1" t="str">
        <f>VLOOKUP(AE69,t_objeto!B:C,2,FALSE)</f>
        <v>RAW_MATERIAL</v>
      </c>
      <c r="AG69" s="1">
        <v>8</v>
      </c>
      <c r="AH69" s="1" t="str">
        <f>VLOOKUP(AG69,t_entry_status!A:AE,2,FALSE)</f>
        <v>PENDING</v>
      </c>
      <c r="AI69" s="7">
        <v>45560</v>
      </c>
      <c r="AJ69" s="1" t="s">
        <v>7455</v>
      </c>
      <c r="AK69" s="7">
        <v>45560</v>
      </c>
      <c r="AL69" s="1" t="s">
        <v>7455</v>
      </c>
    </row>
    <row r="70" spans="1:38" s="20" customFormat="1" x14ac:dyDescent="0.3">
      <c r="A70" s="14">
        <v>69</v>
      </c>
      <c r="B70" s="14" t="str">
        <f>_xlfn.CONCAT(AE70,"-",VLOOKUP(AE70,t_objeto!B:D,3,FALSE),"-",A70)</f>
        <v>RMAT-PERCCO-69</v>
      </c>
      <c r="C70" s="22" t="str">
        <f t="shared" si="19"/>
        <v>PLACA__ACERO_ROLADA EN CALIENTE_3'X8'_9/16"</v>
      </c>
      <c r="D70" s="14" t="s">
        <v>7390</v>
      </c>
      <c r="E70" s="14" t="s">
        <v>7385</v>
      </c>
      <c r="F70" s="21" t="s">
        <v>7391</v>
      </c>
      <c r="G70" s="22" t="s">
        <v>7387</v>
      </c>
      <c r="H70" s="14" t="s">
        <v>7397</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7356</v>
      </c>
      <c r="AF70" s="1" t="str">
        <f>VLOOKUP(AE70,t_objeto!B:C,2,FALSE)</f>
        <v>RAW_MATERIAL</v>
      </c>
      <c r="AG70" s="1">
        <v>8</v>
      </c>
      <c r="AH70" s="1" t="str">
        <f>VLOOKUP(AG70,t_entry_status!A:AE,2,FALSE)</f>
        <v>PENDING</v>
      </c>
      <c r="AI70" s="7">
        <v>45560</v>
      </c>
      <c r="AJ70" s="1" t="s">
        <v>7455</v>
      </c>
      <c r="AK70" s="7">
        <v>45560</v>
      </c>
      <c r="AL70" s="1" t="s">
        <v>7455</v>
      </c>
    </row>
    <row r="71" spans="1:38" s="20" customFormat="1" x14ac:dyDescent="0.3">
      <c r="A71" s="14">
        <v>70</v>
      </c>
      <c r="B71" s="14" t="str">
        <f>_xlfn.CONCAT(AE71,"-",VLOOKUP(AE71,t_objeto!B:D,3,FALSE),"-",A71)</f>
        <v>RMAT-PERCCO-70</v>
      </c>
      <c r="C71" s="22" t="str">
        <f t="shared" si="19"/>
        <v>PLACA__ACERO_ROLADA EN CALIENTE_3'X8'_1/2"</v>
      </c>
      <c r="D71" s="14" t="s">
        <v>7390</v>
      </c>
      <c r="E71" s="14" t="s">
        <v>7385</v>
      </c>
      <c r="F71" s="21" t="s">
        <v>7391</v>
      </c>
      <c r="G71" s="22" t="s">
        <v>7387</v>
      </c>
      <c r="H71" s="14" t="s">
        <v>7398</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7356</v>
      </c>
      <c r="AF71" s="1" t="str">
        <f>VLOOKUP(AE71,t_objeto!B:C,2,FALSE)</f>
        <v>RAW_MATERIAL</v>
      </c>
      <c r="AG71" s="1">
        <v>8</v>
      </c>
      <c r="AH71" s="1" t="str">
        <f>VLOOKUP(AG71,t_entry_status!A:AE,2,FALSE)</f>
        <v>PENDING</v>
      </c>
      <c r="AI71" s="7">
        <v>45560</v>
      </c>
      <c r="AJ71" s="1" t="s">
        <v>7455</v>
      </c>
      <c r="AK71" s="7">
        <v>45560</v>
      </c>
      <c r="AL71" s="1" t="s">
        <v>7455</v>
      </c>
    </row>
    <row r="72" spans="1:38" s="20" customFormat="1" x14ac:dyDescent="0.3">
      <c r="A72" s="14">
        <v>71</v>
      </c>
      <c r="B72" s="14" t="str">
        <f>_xlfn.CONCAT(AE72,"-",VLOOKUP(AE72,t_objeto!B:D,3,FALSE),"-",A72)</f>
        <v>RMAT-PERCCO-71</v>
      </c>
      <c r="C72" s="22" t="str">
        <f t="shared" si="19"/>
        <v>PLACA__ACERO_ROLADA EN CALIENTE_3'X8'_7/16"</v>
      </c>
      <c r="D72" s="14" t="s">
        <v>7390</v>
      </c>
      <c r="E72" s="14" t="s">
        <v>7385</v>
      </c>
      <c r="F72" s="21" t="s">
        <v>7391</v>
      </c>
      <c r="G72" s="22" t="s">
        <v>7387</v>
      </c>
      <c r="H72" s="14" t="s">
        <v>7399</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7356</v>
      </c>
      <c r="AF72" s="1" t="str">
        <f>VLOOKUP(AE72,t_objeto!B:C,2,FALSE)</f>
        <v>RAW_MATERIAL</v>
      </c>
      <c r="AG72" s="1">
        <v>8</v>
      </c>
      <c r="AH72" s="1" t="str">
        <f>VLOOKUP(AG72,t_entry_status!A:AE,2,FALSE)</f>
        <v>PENDING</v>
      </c>
      <c r="AI72" s="7">
        <v>45560</v>
      </c>
      <c r="AJ72" s="1" t="s">
        <v>7455</v>
      </c>
      <c r="AK72" s="7">
        <v>45560</v>
      </c>
      <c r="AL72" s="1" t="s">
        <v>7455</v>
      </c>
    </row>
    <row r="73" spans="1:38" s="20" customFormat="1" x14ac:dyDescent="0.3">
      <c r="A73" s="14">
        <v>72</v>
      </c>
      <c r="B73" s="14" t="str">
        <f>_xlfn.CONCAT(AE73,"-",VLOOKUP(AE73,t_objeto!B:D,3,FALSE),"-",A73)</f>
        <v>RMAT-PERCCO-72</v>
      </c>
      <c r="C73" s="22" t="str">
        <f t="shared" si="19"/>
        <v>PLACA__ACERO_ROLADA EN CALIENTE_3'X8'_3/8"</v>
      </c>
      <c r="D73" s="14" t="s">
        <v>7390</v>
      </c>
      <c r="E73" s="14" t="s">
        <v>7385</v>
      </c>
      <c r="F73" s="21" t="s">
        <v>7391</v>
      </c>
      <c r="G73" s="22" t="s">
        <v>7387</v>
      </c>
      <c r="H73" s="14" t="s">
        <v>7400</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7356</v>
      </c>
      <c r="AF73" s="1" t="str">
        <f>VLOOKUP(AE73,t_objeto!B:C,2,FALSE)</f>
        <v>RAW_MATERIAL</v>
      </c>
      <c r="AG73" s="1">
        <v>8</v>
      </c>
      <c r="AH73" s="1" t="str">
        <f>VLOOKUP(AG73,t_entry_status!A:AE,2,FALSE)</f>
        <v>PENDING</v>
      </c>
      <c r="AI73" s="7">
        <v>45560</v>
      </c>
      <c r="AJ73" s="1" t="s">
        <v>7455</v>
      </c>
      <c r="AK73" s="7">
        <v>45560</v>
      </c>
      <c r="AL73" s="1" t="s">
        <v>7455</v>
      </c>
    </row>
    <row r="74" spans="1:38" s="20" customFormat="1" x14ac:dyDescent="0.3">
      <c r="A74" s="14">
        <v>73</v>
      </c>
      <c r="B74" s="14" t="str">
        <f>_xlfn.CONCAT(AE74,"-",VLOOKUP(AE74,t_objeto!B:D,3,FALSE),"-",A74)</f>
        <v>RMAT-PERCCO-73</v>
      </c>
      <c r="C74" s="22" t="str">
        <f t="shared" si="19"/>
        <v>PLACA__ACERO_ROLADA EN CALIENTE_3'X8'_5/16"</v>
      </c>
      <c r="D74" s="14" t="s">
        <v>7390</v>
      </c>
      <c r="E74" s="14" t="s">
        <v>7385</v>
      </c>
      <c r="F74" s="21" t="s">
        <v>7391</v>
      </c>
      <c r="G74" s="22" t="s">
        <v>7387</v>
      </c>
      <c r="H74" s="14" t="s">
        <v>7401</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7356</v>
      </c>
      <c r="AF74" s="1" t="str">
        <f>VLOOKUP(AE74,t_objeto!B:C,2,FALSE)</f>
        <v>RAW_MATERIAL</v>
      </c>
      <c r="AG74" s="1">
        <v>8</v>
      </c>
      <c r="AH74" s="1" t="str">
        <f>VLOOKUP(AG74,t_entry_status!A:AE,2,FALSE)</f>
        <v>PENDING</v>
      </c>
      <c r="AI74" s="7">
        <v>45560</v>
      </c>
      <c r="AJ74" s="1" t="s">
        <v>7455</v>
      </c>
      <c r="AK74" s="7">
        <v>45560</v>
      </c>
      <c r="AL74" s="1" t="s">
        <v>7455</v>
      </c>
    </row>
    <row r="75" spans="1:38" s="20" customFormat="1" x14ac:dyDescent="0.3">
      <c r="A75" s="14">
        <v>74</v>
      </c>
      <c r="B75" s="14" t="str">
        <f>_xlfn.CONCAT(AE75,"-",VLOOKUP(AE75,t_objeto!B:D,3,FALSE),"-",A75)</f>
        <v>RMAT-PERCCO-74</v>
      </c>
      <c r="C75" s="22" t="str">
        <f t="shared" si="19"/>
        <v>PLACA__ACERO_ROLADA EN CALIENTE_3'X8'_1/4"</v>
      </c>
      <c r="D75" s="14" t="s">
        <v>7390</v>
      </c>
      <c r="E75" s="14" t="s">
        <v>7385</v>
      </c>
      <c r="F75" s="21" t="s">
        <v>7391</v>
      </c>
      <c r="G75" s="22" t="s">
        <v>7387</v>
      </c>
      <c r="H75" s="14" t="s">
        <v>7402</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7356</v>
      </c>
      <c r="AF75" s="1" t="str">
        <f>VLOOKUP(AE75,t_objeto!B:C,2,FALSE)</f>
        <v>RAW_MATERIAL</v>
      </c>
      <c r="AG75" s="1">
        <v>8</v>
      </c>
      <c r="AH75" s="1" t="str">
        <f>VLOOKUP(AG75,t_entry_status!A:AE,2,FALSE)</f>
        <v>PENDING</v>
      </c>
      <c r="AI75" s="7">
        <v>45560</v>
      </c>
      <c r="AJ75" s="1" t="s">
        <v>7455</v>
      </c>
      <c r="AK75" s="7">
        <v>45560</v>
      </c>
      <c r="AL75" s="1" t="s">
        <v>7455</v>
      </c>
    </row>
    <row r="76" spans="1:38" s="20" customFormat="1" x14ac:dyDescent="0.3">
      <c r="A76" s="14">
        <v>75</v>
      </c>
      <c r="B76" s="14" t="str">
        <f>_xlfn.CONCAT(AE76,"-",VLOOKUP(AE76,t_objeto!B:D,3,FALSE),"-",A76)</f>
        <v>RMAT-PERCCO-75</v>
      </c>
      <c r="C76" s="22" t="str">
        <f t="shared" si="19"/>
        <v>PLACA__ACERO_ROLADA EN CALIENTE_3'X8'_3/16"</v>
      </c>
      <c r="D76" s="14" t="s">
        <v>7390</v>
      </c>
      <c r="E76" s="14" t="s">
        <v>7385</v>
      </c>
      <c r="F76" s="21" t="s">
        <v>7391</v>
      </c>
      <c r="G76" s="22" t="s">
        <v>7387</v>
      </c>
      <c r="H76" s="14" t="s">
        <v>7403</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7356</v>
      </c>
      <c r="AF76" s="1" t="str">
        <f>VLOOKUP(AE76,t_objeto!B:C,2,FALSE)</f>
        <v>RAW_MATERIAL</v>
      </c>
      <c r="AG76" s="1">
        <v>8</v>
      </c>
      <c r="AH76" s="1" t="str">
        <f>VLOOKUP(AG76,t_entry_status!A:AE,2,FALSE)</f>
        <v>PENDING</v>
      </c>
      <c r="AI76" s="7">
        <v>45560</v>
      </c>
      <c r="AJ76" s="1" t="s">
        <v>7455</v>
      </c>
      <c r="AK76" s="7">
        <v>45560</v>
      </c>
      <c r="AL76" s="1" t="s">
        <v>7455</v>
      </c>
    </row>
    <row r="77" spans="1:38" s="20" customFormat="1" x14ac:dyDescent="0.3">
      <c r="A77" s="14">
        <v>76</v>
      </c>
      <c r="B77" s="14" t="str">
        <f>_xlfn.CONCAT(AE77,"-",VLOOKUP(AE77,t_objeto!B:D,3,FALSE),"-",A77)</f>
        <v>RMAT-PERCCO-76</v>
      </c>
      <c r="C77" s="22" t="str">
        <f t="shared" si="19"/>
        <v>LAMINA_LISA__ACERO_ROLADA EN CALIENTE_3'X8'_4</v>
      </c>
      <c r="D77" s="14" t="s">
        <v>7412</v>
      </c>
      <c r="E77" s="14" t="s">
        <v>7385</v>
      </c>
      <c r="F77" s="21" t="s">
        <v>7391</v>
      </c>
      <c r="G77" s="22" t="s">
        <v>7387</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7356</v>
      </c>
      <c r="AF77" s="1" t="str">
        <f>VLOOKUP(AE77,t_objeto!B:C,2,FALSE)</f>
        <v>RAW_MATERIAL</v>
      </c>
      <c r="AG77" s="1">
        <v>8</v>
      </c>
      <c r="AH77" s="1" t="str">
        <f>VLOOKUP(AG77,t_entry_status!A:AE,2,FALSE)</f>
        <v>PENDING</v>
      </c>
      <c r="AI77" s="7">
        <v>45560</v>
      </c>
      <c r="AJ77" s="1" t="s">
        <v>7455</v>
      </c>
      <c r="AK77" s="7">
        <v>45560</v>
      </c>
      <c r="AL77" s="1" t="s">
        <v>7455</v>
      </c>
    </row>
    <row r="78" spans="1:38" s="20" customFormat="1" x14ac:dyDescent="0.3">
      <c r="A78" s="14">
        <v>77</v>
      </c>
      <c r="B78" s="14" t="str">
        <f>_xlfn.CONCAT(AE78,"-",VLOOKUP(AE78,t_objeto!B:D,3,FALSE),"-",A78)</f>
        <v>RMAT-PERCCO-77</v>
      </c>
      <c r="C78" s="22" t="str">
        <f t="shared" si="19"/>
        <v>LAMINA_LISA__ACERO_ROLADA EN CALIENTE_3'X8'_5</v>
      </c>
      <c r="D78" s="14" t="s">
        <v>7412</v>
      </c>
      <c r="E78" s="14" t="s">
        <v>7385</v>
      </c>
      <c r="F78" s="21" t="s">
        <v>7391</v>
      </c>
      <c r="G78" s="22" t="s">
        <v>7387</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7356</v>
      </c>
      <c r="AF78" s="1" t="str">
        <f>VLOOKUP(AE78,t_objeto!B:C,2,FALSE)</f>
        <v>RAW_MATERIAL</v>
      </c>
      <c r="AG78" s="1">
        <v>8</v>
      </c>
      <c r="AH78" s="1" t="str">
        <f>VLOOKUP(AG78,t_entry_status!A:AE,2,FALSE)</f>
        <v>PENDING</v>
      </c>
      <c r="AI78" s="7">
        <v>45560</v>
      </c>
      <c r="AJ78" s="1" t="s">
        <v>7455</v>
      </c>
      <c r="AK78" s="7">
        <v>45560</v>
      </c>
      <c r="AL78" s="1" t="s">
        <v>7455</v>
      </c>
    </row>
    <row r="79" spans="1:38" s="20" customFormat="1" x14ac:dyDescent="0.3">
      <c r="A79" s="14">
        <v>78</v>
      </c>
      <c r="B79" s="14" t="str">
        <f>_xlfn.CONCAT(AE79,"-",VLOOKUP(AE79,t_objeto!B:D,3,FALSE),"-",A79)</f>
        <v>RMAT-PERCCO-78</v>
      </c>
      <c r="C79" s="22" t="str">
        <f t="shared" si="19"/>
        <v>LAMINA_LISA__ACERO_ROLADA EN CALIENTE_3'X8'_6</v>
      </c>
      <c r="D79" s="14" t="s">
        <v>7412</v>
      </c>
      <c r="E79" s="14" t="s">
        <v>7385</v>
      </c>
      <c r="F79" s="21" t="s">
        <v>7391</v>
      </c>
      <c r="G79" s="22" t="s">
        <v>7387</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7356</v>
      </c>
      <c r="AF79" s="1" t="str">
        <f>VLOOKUP(AE79,t_objeto!B:C,2,FALSE)</f>
        <v>RAW_MATERIAL</v>
      </c>
      <c r="AG79" s="1">
        <v>8</v>
      </c>
      <c r="AH79" s="1" t="str">
        <f>VLOOKUP(AG79,t_entry_status!A:AE,2,FALSE)</f>
        <v>PENDING</v>
      </c>
      <c r="AI79" s="7">
        <v>45560</v>
      </c>
      <c r="AJ79" s="1" t="s">
        <v>7455</v>
      </c>
      <c r="AK79" s="7">
        <v>45560</v>
      </c>
      <c r="AL79" s="1" t="s">
        <v>7455</v>
      </c>
    </row>
    <row r="80" spans="1:38" s="20" customFormat="1" x14ac:dyDescent="0.3">
      <c r="A80" s="14">
        <v>79</v>
      </c>
      <c r="B80" s="14" t="str">
        <f>_xlfn.CONCAT(AE80,"-",VLOOKUP(AE80,t_objeto!B:D,3,FALSE),"-",A80)</f>
        <v>RMAT-PERCCO-79</v>
      </c>
      <c r="C80" s="22" t="str">
        <f t="shared" si="19"/>
        <v>LAMINA_LISA__ACERO_ROLADA EN CALIENTE_3'X8'_7</v>
      </c>
      <c r="D80" s="14" t="s">
        <v>7412</v>
      </c>
      <c r="E80" s="14" t="s">
        <v>7385</v>
      </c>
      <c r="F80" s="21" t="s">
        <v>7391</v>
      </c>
      <c r="G80" s="22" t="s">
        <v>7387</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7356</v>
      </c>
      <c r="AF80" s="1" t="str">
        <f>VLOOKUP(AE80,t_objeto!B:C,2,FALSE)</f>
        <v>RAW_MATERIAL</v>
      </c>
      <c r="AG80" s="1">
        <v>8</v>
      </c>
      <c r="AH80" s="1" t="str">
        <f>VLOOKUP(AG80,t_entry_status!A:AE,2,FALSE)</f>
        <v>PENDING</v>
      </c>
      <c r="AI80" s="7">
        <v>45560</v>
      </c>
      <c r="AJ80" s="1" t="s">
        <v>7455</v>
      </c>
      <c r="AK80" s="7">
        <v>45560</v>
      </c>
      <c r="AL80" s="1" t="s">
        <v>7455</v>
      </c>
    </row>
    <row r="81" spans="1:38" s="20" customFormat="1" x14ac:dyDescent="0.3">
      <c r="A81" s="14">
        <v>80</v>
      </c>
      <c r="B81" s="14" t="str">
        <f>_xlfn.CONCAT(AE81,"-",VLOOKUP(AE81,t_objeto!B:D,3,FALSE),"-",A81)</f>
        <v>RMAT-PERCCO-80</v>
      </c>
      <c r="C81" s="22" t="str">
        <f t="shared" si="19"/>
        <v>LAMINA_LISA__ACERO_ROLADA EN CALIENTE_3'X8'_8</v>
      </c>
      <c r="D81" s="14" t="s">
        <v>7412</v>
      </c>
      <c r="E81" s="14" t="s">
        <v>7385</v>
      </c>
      <c r="F81" s="21" t="s">
        <v>7391</v>
      </c>
      <c r="G81" s="22" t="s">
        <v>7387</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7356</v>
      </c>
      <c r="AF81" s="1" t="str">
        <f>VLOOKUP(AE81,t_objeto!B:C,2,FALSE)</f>
        <v>RAW_MATERIAL</v>
      </c>
      <c r="AG81" s="1">
        <v>8</v>
      </c>
      <c r="AH81" s="1" t="str">
        <f>VLOOKUP(AG81,t_entry_status!A:AE,2,FALSE)</f>
        <v>PENDING</v>
      </c>
      <c r="AI81" s="7">
        <v>45560</v>
      </c>
      <c r="AJ81" s="1" t="s">
        <v>7455</v>
      </c>
      <c r="AK81" s="7">
        <v>45560</v>
      </c>
      <c r="AL81" s="1" t="s">
        <v>7455</v>
      </c>
    </row>
    <row r="82" spans="1:38" s="20" customFormat="1" x14ac:dyDescent="0.3">
      <c r="A82" s="14">
        <v>81</v>
      </c>
      <c r="B82" s="14" t="str">
        <f>_xlfn.CONCAT(AE82,"-",VLOOKUP(AE82,t_objeto!B:D,3,FALSE),"-",A82)</f>
        <v>RMAT-PERCCO-81</v>
      </c>
      <c r="C82" s="22" t="str">
        <f t="shared" si="19"/>
        <v>LAMINA_LISA__ACERO_ROLADA EN CALIENTE_3'X8'_9</v>
      </c>
      <c r="D82" s="14" t="s">
        <v>7412</v>
      </c>
      <c r="E82" s="14" t="s">
        <v>7385</v>
      </c>
      <c r="F82" s="21" t="s">
        <v>7391</v>
      </c>
      <c r="G82" s="22" t="s">
        <v>7387</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7356</v>
      </c>
      <c r="AF82" s="1" t="str">
        <f>VLOOKUP(AE82,t_objeto!B:C,2,FALSE)</f>
        <v>RAW_MATERIAL</v>
      </c>
      <c r="AG82" s="1">
        <v>8</v>
      </c>
      <c r="AH82" s="1" t="str">
        <f>VLOOKUP(AG82,t_entry_status!A:AE,2,FALSE)</f>
        <v>PENDING</v>
      </c>
      <c r="AI82" s="7">
        <v>45560</v>
      </c>
      <c r="AJ82" s="1" t="s">
        <v>7455</v>
      </c>
      <c r="AK82" s="7">
        <v>45560</v>
      </c>
      <c r="AL82" s="1" t="s">
        <v>7455</v>
      </c>
    </row>
    <row r="83" spans="1:38" s="20" customFormat="1" x14ac:dyDescent="0.3">
      <c r="A83" s="14">
        <v>82</v>
      </c>
      <c r="B83" s="14" t="str">
        <f>_xlfn.CONCAT(AE83,"-",VLOOKUP(AE83,t_objeto!B:D,3,FALSE),"-",A83)</f>
        <v>RMAT-PERCCO-82</v>
      </c>
      <c r="C83" s="22" t="str">
        <f t="shared" si="19"/>
        <v>LAMINA_LISA__ACERO_ROLADA EN CALIENTE_3'X8'_10</v>
      </c>
      <c r="D83" s="14" t="s">
        <v>7412</v>
      </c>
      <c r="E83" s="14" t="s">
        <v>7385</v>
      </c>
      <c r="F83" s="21" t="s">
        <v>7391</v>
      </c>
      <c r="G83" s="22" t="s">
        <v>7387</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7356</v>
      </c>
      <c r="AF83" s="1" t="str">
        <f>VLOOKUP(AE83,t_objeto!B:C,2,FALSE)</f>
        <v>RAW_MATERIAL</v>
      </c>
      <c r="AG83" s="1">
        <v>8</v>
      </c>
      <c r="AH83" s="1" t="str">
        <f>VLOOKUP(AG83,t_entry_status!A:AE,2,FALSE)</f>
        <v>PENDING</v>
      </c>
      <c r="AI83" s="7">
        <v>45560</v>
      </c>
      <c r="AJ83" s="1" t="s">
        <v>7455</v>
      </c>
      <c r="AK83" s="7">
        <v>45560</v>
      </c>
      <c r="AL83" s="1" t="s">
        <v>7455</v>
      </c>
    </row>
    <row r="84" spans="1:38" s="20" customFormat="1" x14ac:dyDescent="0.3">
      <c r="A84" s="14">
        <v>83</v>
      </c>
      <c r="B84" s="14" t="str">
        <f>_xlfn.CONCAT(AE84,"-",VLOOKUP(AE84,t_objeto!B:D,3,FALSE),"-",A84)</f>
        <v>RMAT-PERCCO-83</v>
      </c>
      <c r="C84" s="22" t="str">
        <f t="shared" si="19"/>
        <v>LAMINA_LISA__ACERO_ROLADA EN CALIENTE_3'X8'_1/8"</v>
      </c>
      <c r="D84" s="14" t="s">
        <v>7412</v>
      </c>
      <c r="E84" s="14" t="s">
        <v>7385</v>
      </c>
      <c r="F84" s="21" t="s">
        <v>7391</v>
      </c>
      <c r="G84" s="22" t="s">
        <v>7387</v>
      </c>
      <c r="H84" s="14" t="s">
        <v>7404</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7356</v>
      </c>
      <c r="AF84" s="1" t="str">
        <f>VLOOKUP(AE84,t_objeto!B:C,2,FALSE)</f>
        <v>RAW_MATERIAL</v>
      </c>
      <c r="AG84" s="1">
        <v>8</v>
      </c>
      <c r="AH84" s="1" t="str">
        <f>VLOOKUP(AG84,t_entry_status!A:AE,2,FALSE)</f>
        <v>PENDING</v>
      </c>
      <c r="AI84" s="7">
        <v>45560</v>
      </c>
      <c r="AJ84" s="1" t="s">
        <v>7455</v>
      </c>
      <c r="AK84" s="7">
        <v>45560</v>
      </c>
      <c r="AL84" s="1" t="s">
        <v>7455</v>
      </c>
    </row>
    <row r="85" spans="1:38" s="20" customFormat="1" x14ac:dyDescent="0.3">
      <c r="A85" s="14">
        <v>84</v>
      </c>
      <c r="B85" s="14" t="str">
        <f>_xlfn.CONCAT(AE85,"-",VLOOKUP(AE85,t_objeto!B:D,3,FALSE),"-",A85)</f>
        <v>RMAT-PERCCO-84</v>
      </c>
      <c r="C85" s="22" t="str">
        <f t="shared" si="19"/>
        <v>LAMINA_LISA__ACERO_ROLADA EN CALIENTE_3'X8'_11</v>
      </c>
      <c r="D85" s="14" t="s">
        <v>7412</v>
      </c>
      <c r="E85" s="14" t="s">
        <v>7385</v>
      </c>
      <c r="F85" s="21" t="s">
        <v>7391</v>
      </c>
      <c r="G85" s="22" t="s">
        <v>7387</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7356</v>
      </c>
      <c r="AF85" s="1" t="str">
        <f>VLOOKUP(AE85,t_objeto!B:C,2,FALSE)</f>
        <v>RAW_MATERIAL</v>
      </c>
      <c r="AG85" s="1">
        <v>8</v>
      </c>
      <c r="AH85" s="1" t="str">
        <f>VLOOKUP(AG85,t_entry_status!A:AE,2,FALSE)</f>
        <v>PENDING</v>
      </c>
      <c r="AI85" s="7">
        <v>45560</v>
      </c>
      <c r="AJ85" s="1" t="s">
        <v>7455</v>
      </c>
      <c r="AK85" s="7">
        <v>45560</v>
      </c>
      <c r="AL85" s="1" t="s">
        <v>7455</v>
      </c>
    </row>
    <row r="86" spans="1:38" s="20" customFormat="1" x14ac:dyDescent="0.3">
      <c r="A86" s="14">
        <v>85</v>
      </c>
      <c r="B86" s="14" t="str">
        <f>_xlfn.CONCAT(AE86,"-",VLOOKUP(AE86,t_objeto!B:D,3,FALSE),"-",A86)</f>
        <v>RMAT-PERCCO-85</v>
      </c>
      <c r="C86" s="22" t="str">
        <f t="shared" si="19"/>
        <v>LAMINA_LISA__ACERO_ROLADA EN CALIENTE_3'X8'_12</v>
      </c>
      <c r="D86" s="14" t="s">
        <v>7412</v>
      </c>
      <c r="E86" s="14" t="s">
        <v>7385</v>
      </c>
      <c r="F86" s="21" t="s">
        <v>7391</v>
      </c>
      <c r="G86" s="22" t="s">
        <v>7387</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7356</v>
      </c>
      <c r="AF86" s="1" t="str">
        <f>VLOOKUP(AE86,t_objeto!B:C,2,FALSE)</f>
        <v>RAW_MATERIAL</v>
      </c>
      <c r="AG86" s="1">
        <v>8</v>
      </c>
      <c r="AH86" s="1" t="str">
        <f>VLOOKUP(AG86,t_entry_status!A:AE,2,FALSE)</f>
        <v>PENDING</v>
      </c>
      <c r="AI86" s="7">
        <v>45560</v>
      </c>
      <c r="AJ86" s="1" t="s">
        <v>7455</v>
      </c>
      <c r="AK86" s="7">
        <v>45560</v>
      </c>
      <c r="AL86" s="1" t="s">
        <v>7455</v>
      </c>
    </row>
    <row r="87" spans="1:38" s="20" customFormat="1" x14ac:dyDescent="0.3">
      <c r="A87" s="14">
        <v>86</v>
      </c>
      <c r="B87" s="14" t="str">
        <f>_xlfn.CONCAT(AE87,"-",VLOOKUP(AE87,t_objeto!B:D,3,FALSE),"-",A87)</f>
        <v>RMAT-PERCCO-86</v>
      </c>
      <c r="C87" s="22" t="str">
        <f t="shared" si="19"/>
        <v>LAMINA_LISA__ACERO_ROLADA EN CALIENTE_3'X8'_13</v>
      </c>
      <c r="D87" s="14" t="s">
        <v>7412</v>
      </c>
      <c r="E87" s="14" t="s">
        <v>7385</v>
      </c>
      <c r="F87" s="21" t="s">
        <v>7391</v>
      </c>
      <c r="G87" s="22" t="s">
        <v>7387</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7356</v>
      </c>
      <c r="AF87" s="1" t="str">
        <f>VLOOKUP(AE87,t_objeto!B:C,2,FALSE)</f>
        <v>RAW_MATERIAL</v>
      </c>
      <c r="AG87" s="1">
        <v>8</v>
      </c>
      <c r="AH87" s="1" t="str">
        <f>VLOOKUP(AG87,t_entry_status!A:AE,2,FALSE)</f>
        <v>PENDING</v>
      </c>
      <c r="AI87" s="7">
        <v>45560</v>
      </c>
      <c r="AJ87" s="1" t="s">
        <v>7455</v>
      </c>
      <c r="AK87" s="7">
        <v>45560</v>
      </c>
      <c r="AL87" s="1" t="s">
        <v>7455</v>
      </c>
    </row>
    <row r="88" spans="1:38" s="20" customFormat="1" x14ac:dyDescent="0.3">
      <c r="A88" s="14">
        <v>87</v>
      </c>
      <c r="B88" s="14" t="str">
        <f>_xlfn.CONCAT(AE88,"-",VLOOKUP(AE88,t_objeto!B:D,3,FALSE),"-",A88)</f>
        <v>RMAT-PERCCO-87</v>
      </c>
      <c r="C88" s="22" t="str">
        <f t="shared" si="19"/>
        <v>LAMINA_LISA__ACERO_ROLADA EN CALIENTE_3'X8'_14</v>
      </c>
      <c r="D88" s="14" t="s">
        <v>7412</v>
      </c>
      <c r="E88" s="14" t="s">
        <v>7385</v>
      </c>
      <c r="F88" s="21" t="s">
        <v>7391</v>
      </c>
      <c r="G88" s="22" t="s">
        <v>7387</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7356</v>
      </c>
      <c r="AF88" s="1" t="str">
        <f>VLOOKUP(AE88,t_objeto!B:C,2,FALSE)</f>
        <v>RAW_MATERIAL</v>
      </c>
      <c r="AG88" s="1">
        <v>8</v>
      </c>
      <c r="AH88" s="1" t="str">
        <f>VLOOKUP(AG88,t_entry_status!A:AE,2,FALSE)</f>
        <v>PENDING</v>
      </c>
      <c r="AI88" s="7">
        <v>45560</v>
      </c>
      <c r="AJ88" s="1" t="s">
        <v>7455</v>
      </c>
      <c r="AK88" s="7">
        <v>45560</v>
      </c>
      <c r="AL88" s="1" t="s">
        <v>7455</v>
      </c>
    </row>
    <row r="89" spans="1:38" s="20" customFormat="1" x14ac:dyDescent="0.3">
      <c r="A89" s="14">
        <v>88</v>
      </c>
      <c r="B89" s="14" t="str">
        <f>_xlfn.CONCAT(AE89,"-",VLOOKUP(AE89,t_objeto!B:D,3,FALSE),"-",A89)</f>
        <v>RMAT-PERCCO-88</v>
      </c>
      <c r="C89" s="22" t="str">
        <f t="shared" si="19"/>
        <v>LAMINA_LISA__ACERO_ROLADA EN CALIENTE_3'X8'_15</v>
      </c>
      <c r="D89" s="14" t="s">
        <v>7412</v>
      </c>
      <c r="E89" s="14" t="s">
        <v>7385</v>
      </c>
      <c r="F89" s="21" t="s">
        <v>7391</v>
      </c>
      <c r="G89" s="22" t="s">
        <v>7387</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7356</v>
      </c>
      <c r="AF89" s="1" t="str">
        <f>VLOOKUP(AE89,t_objeto!B:C,2,FALSE)</f>
        <v>RAW_MATERIAL</v>
      </c>
      <c r="AG89" s="1">
        <v>8</v>
      </c>
      <c r="AH89" s="1" t="str">
        <f>VLOOKUP(AG89,t_entry_status!A:AE,2,FALSE)</f>
        <v>PENDING</v>
      </c>
      <c r="AI89" s="7">
        <v>45560</v>
      </c>
      <c r="AJ89" s="1" t="s">
        <v>7455</v>
      </c>
      <c r="AK89" s="7">
        <v>45560</v>
      </c>
      <c r="AL89" s="1" t="s">
        <v>7455</v>
      </c>
    </row>
    <row r="90" spans="1:38" s="20" customFormat="1" x14ac:dyDescent="0.3">
      <c r="A90" s="14">
        <v>89</v>
      </c>
      <c r="B90" s="14" t="str">
        <f>_xlfn.CONCAT(AE90,"-",VLOOKUP(AE90,t_objeto!B:D,3,FALSE),"-",A90)</f>
        <v>RMAT-PERCCO-89</v>
      </c>
      <c r="C90" s="22" t="str">
        <f t="shared" si="19"/>
        <v>LAMINA_LISA__ACERO_ROLADA EN CALIENTE_3'X8'_16</v>
      </c>
      <c r="D90" s="14" t="s">
        <v>7412</v>
      </c>
      <c r="E90" s="14" t="s">
        <v>7385</v>
      </c>
      <c r="F90" s="21" t="s">
        <v>7391</v>
      </c>
      <c r="G90" s="22" t="s">
        <v>7387</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7356</v>
      </c>
      <c r="AF90" s="1" t="str">
        <f>VLOOKUP(AE90,t_objeto!B:C,2,FALSE)</f>
        <v>RAW_MATERIAL</v>
      </c>
      <c r="AG90" s="1">
        <v>8</v>
      </c>
      <c r="AH90" s="1" t="str">
        <f>VLOOKUP(AG90,t_entry_status!A:AE,2,FALSE)</f>
        <v>PENDING</v>
      </c>
      <c r="AI90" s="7">
        <v>45560</v>
      </c>
      <c r="AJ90" s="1" t="s">
        <v>7455</v>
      </c>
      <c r="AK90" s="7">
        <v>45560</v>
      </c>
      <c r="AL90" s="1" t="s">
        <v>7455</v>
      </c>
    </row>
    <row r="91" spans="1:38" s="20" customFormat="1" x14ac:dyDescent="0.3">
      <c r="A91" s="14">
        <v>90</v>
      </c>
      <c r="B91" s="14" t="str">
        <f>_xlfn.CONCAT(AE91,"-",VLOOKUP(AE91,t_objeto!B:D,3,FALSE),"-",A91)</f>
        <v>RMAT-PERCCO-90</v>
      </c>
      <c r="C91" s="22" t="str">
        <f t="shared" si="19"/>
        <v>LAMINA_LISA__ACERO_ROLADA EN CALIENTE_3'X8'_17</v>
      </c>
      <c r="D91" s="14" t="s">
        <v>7412</v>
      </c>
      <c r="E91" s="14" t="s">
        <v>7385</v>
      </c>
      <c r="F91" s="21" t="s">
        <v>7391</v>
      </c>
      <c r="G91" s="22" t="s">
        <v>7387</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7356</v>
      </c>
      <c r="AF91" s="1" t="str">
        <f>VLOOKUP(AE91,t_objeto!B:C,2,FALSE)</f>
        <v>RAW_MATERIAL</v>
      </c>
      <c r="AG91" s="1">
        <v>8</v>
      </c>
      <c r="AH91" s="1" t="str">
        <f>VLOOKUP(AG91,t_entry_status!A:AE,2,FALSE)</f>
        <v>PENDING</v>
      </c>
      <c r="AI91" s="7">
        <v>45560</v>
      </c>
      <c r="AJ91" s="1" t="s">
        <v>7455</v>
      </c>
      <c r="AK91" s="7">
        <v>45560</v>
      </c>
      <c r="AL91" s="1" t="s">
        <v>7455</v>
      </c>
    </row>
    <row r="92" spans="1:38" s="20" customFormat="1" x14ac:dyDescent="0.3">
      <c r="A92" s="14">
        <v>91</v>
      </c>
      <c r="B92" s="14" t="str">
        <f>_xlfn.CONCAT(AE92,"-",VLOOKUP(AE92,t_objeto!B:D,3,FALSE),"-",A92)</f>
        <v>RMAT-PERCCO-91</v>
      </c>
      <c r="C92" s="22" t="str">
        <f t="shared" si="19"/>
        <v>LAMINA_LISA__ACERO_ROLADA EN CALIENTE_3'X8'_18</v>
      </c>
      <c r="D92" s="14" t="s">
        <v>7412</v>
      </c>
      <c r="E92" s="14" t="s">
        <v>7385</v>
      </c>
      <c r="F92" s="21" t="s">
        <v>7391</v>
      </c>
      <c r="G92" s="22" t="s">
        <v>7387</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7356</v>
      </c>
      <c r="AF92" s="1" t="str">
        <f>VLOOKUP(AE92,t_objeto!B:C,2,FALSE)</f>
        <v>RAW_MATERIAL</v>
      </c>
      <c r="AG92" s="1">
        <v>8</v>
      </c>
      <c r="AH92" s="1" t="str">
        <f>VLOOKUP(AG92,t_entry_status!A:AE,2,FALSE)</f>
        <v>PENDING</v>
      </c>
      <c r="AI92" s="7">
        <v>45560</v>
      </c>
      <c r="AJ92" s="1" t="s">
        <v>7455</v>
      </c>
      <c r="AK92" s="7">
        <v>45560</v>
      </c>
      <c r="AL92" s="1" t="s">
        <v>7455</v>
      </c>
    </row>
    <row r="93" spans="1:38" s="20" customFormat="1" x14ac:dyDescent="0.3">
      <c r="A93" s="14">
        <v>92</v>
      </c>
      <c r="B93" s="14" t="str">
        <f>_xlfn.CONCAT(AE93,"-",VLOOKUP(AE93,t_objeto!B:D,3,FALSE),"-",A93)</f>
        <v>RMAT-PERCCO-92</v>
      </c>
      <c r="C93" s="22" t="str">
        <f t="shared" si="19"/>
        <v>LAMINA_LISA__ACERO_ROLADA EN CALIENTE_3'X8'_19</v>
      </c>
      <c r="D93" s="14" t="s">
        <v>7412</v>
      </c>
      <c r="E93" s="14" t="s">
        <v>7385</v>
      </c>
      <c r="F93" s="21" t="s">
        <v>7391</v>
      </c>
      <c r="G93" s="22" t="s">
        <v>7387</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7356</v>
      </c>
      <c r="AF93" s="1" t="str">
        <f>VLOOKUP(AE93,t_objeto!B:C,2,FALSE)</f>
        <v>RAW_MATERIAL</v>
      </c>
      <c r="AG93" s="1">
        <v>8</v>
      </c>
      <c r="AH93" s="1" t="str">
        <f>VLOOKUP(AG93,t_entry_status!A:AE,2,FALSE)</f>
        <v>PENDING</v>
      </c>
      <c r="AI93" s="7">
        <v>45560</v>
      </c>
      <c r="AJ93" s="1" t="s">
        <v>7455</v>
      </c>
      <c r="AK93" s="7">
        <v>45560</v>
      </c>
      <c r="AL93" s="1" t="s">
        <v>7455</v>
      </c>
    </row>
    <row r="94" spans="1:38" s="20" customFormat="1" x14ac:dyDescent="0.3">
      <c r="A94" s="14">
        <v>93</v>
      </c>
      <c r="B94" s="14" t="str">
        <f>_xlfn.CONCAT(AE94,"-",VLOOKUP(AE94,t_objeto!B:D,3,FALSE),"-",A94)</f>
        <v>RMAT-PERCCO-93</v>
      </c>
      <c r="C94" s="22" t="str">
        <f t="shared" si="19"/>
        <v>LAMINA_LISA__ACERO_ROLADA EN CALIENTE_3'X8'_20</v>
      </c>
      <c r="D94" s="14" t="s">
        <v>7412</v>
      </c>
      <c r="E94" s="14" t="s">
        <v>7385</v>
      </c>
      <c r="F94" s="21" t="s">
        <v>7391</v>
      </c>
      <c r="G94" s="22" t="s">
        <v>7387</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7356</v>
      </c>
      <c r="AF94" s="1" t="str">
        <f>VLOOKUP(AE94,t_objeto!B:C,2,FALSE)</f>
        <v>RAW_MATERIAL</v>
      </c>
      <c r="AG94" s="1">
        <v>8</v>
      </c>
      <c r="AH94" s="1" t="str">
        <f>VLOOKUP(AG94,t_entry_status!A:AE,2,FALSE)</f>
        <v>PENDING</v>
      </c>
      <c r="AI94" s="7">
        <v>45560</v>
      </c>
      <c r="AJ94" s="1" t="s">
        <v>7455</v>
      </c>
      <c r="AK94" s="7">
        <v>45560</v>
      </c>
      <c r="AL94" s="1" t="s">
        <v>7455</v>
      </c>
    </row>
    <row r="95" spans="1:38" s="20" customFormat="1" x14ac:dyDescent="0.3">
      <c r="A95" s="14">
        <v>94</v>
      </c>
      <c r="B95" s="14" t="str">
        <f>_xlfn.CONCAT(AE95,"-",VLOOKUP(AE95,t_objeto!B:D,3,FALSE),"-",A95)</f>
        <v>RMAT-PERCCO-94</v>
      </c>
      <c r="C95" s="22" t="str">
        <f t="shared" si="19"/>
        <v>LAMINA_LISA__ACERO_ROLADA EN CALIENTE_3'X8'_21</v>
      </c>
      <c r="D95" s="14" t="s">
        <v>7412</v>
      </c>
      <c r="E95" s="14" t="s">
        <v>7385</v>
      </c>
      <c r="F95" s="21" t="s">
        <v>7391</v>
      </c>
      <c r="G95" s="22" t="s">
        <v>7387</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7356</v>
      </c>
      <c r="AF95" s="1" t="str">
        <f>VLOOKUP(AE95,t_objeto!B:C,2,FALSE)</f>
        <v>RAW_MATERIAL</v>
      </c>
      <c r="AG95" s="1">
        <v>8</v>
      </c>
      <c r="AH95" s="1" t="str">
        <f>VLOOKUP(AG95,t_entry_status!A:AE,2,FALSE)</f>
        <v>PENDING</v>
      </c>
      <c r="AI95" s="7">
        <v>45560</v>
      </c>
      <c r="AJ95" s="1" t="s">
        <v>7455</v>
      </c>
      <c r="AK95" s="7">
        <v>45560</v>
      </c>
      <c r="AL95" s="1" t="s">
        <v>7455</v>
      </c>
    </row>
    <row r="96" spans="1:38" s="20" customFormat="1" x14ac:dyDescent="0.3">
      <c r="A96" s="14">
        <v>95</v>
      </c>
      <c r="B96" s="14" t="str">
        <f>_xlfn.CONCAT(AE96,"-",VLOOKUP(AE96,t_objeto!B:D,3,FALSE),"-",A96)</f>
        <v>RMAT-PERCCO-95</v>
      </c>
      <c r="C96" s="22" t="str">
        <f t="shared" si="19"/>
        <v>LAMINA_LISA__ACERO_ROLADA EN CALIENTE_3'X8'_22</v>
      </c>
      <c r="D96" s="14" t="s">
        <v>7412</v>
      </c>
      <c r="E96" s="14" t="s">
        <v>7385</v>
      </c>
      <c r="F96" s="21" t="s">
        <v>7391</v>
      </c>
      <c r="G96" s="22" t="s">
        <v>7387</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7356</v>
      </c>
      <c r="AF96" s="1" t="str">
        <f>VLOOKUP(AE96,t_objeto!B:C,2,FALSE)</f>
        <v>RAW_MATERIAL</v>
      </c>
      <c r="AG96" s="1">
        <v>8</v>
      </c>
      <c r="AH96" s="1" t="str">
        <f>VLOOKUP(AG96,t_entry_status!A:AE,2,FALSE)</f>
        <v>PENDING</v>
      </c>
      <c r="AI96" s="7">
        <v>45560</v>
      </c>
      <c r="AJ96" s="1" t="s">
        <v>7455</v>
      </c>
      <c r="AK96" s="7">
        <v>45560</v>
      </c>
      <c r="AL96" s="1" t="s">
        <v>7455</v>
      </c>
    </row>
    <row r="97" spans="1:38" s="20" customFormat="1" x14ac:dyDescent="0.3">
      <c r="A97" s="14">
        <v>96</v>
      </c>
      <c r="B97" s="14" t="str">
        <f>_xlfn.CONCAT(AE97,"-",VLOOKUP(AE97,t_objeto!B:D,3,FALSE),"-",A97)</f>
        <v>RMAT-PERCCO-96</v>
      </c>
      <c r="C97" s="22" t="str">
        <f t="shared" si="19"/>
        <v>LAMINA_LISA__ACERO_ROLADA EN CALIENTE_3'X8'_23</v>
      </c>
      <c r="D97" s="14" t="s">
        <v>7412</v>
      </c>
      <c r="E97" s="14" t="s">
        <v>7385</v>
      </c>
      <c r="F97" s="21" t="s">
        <v>7391</v>
      </c>
      <c r="G97" s="22" t="s">
        <v>7387</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7356</v>
      </c>
      <c r="AF97" s="1" t="str">
        <f>VLOOKUP(AE97,t_objeto!B:C,2,FALSE)</f>
        <v>RAW_MATERIAL</v>
      </c>
      <c r="AG97" s="1">
        <v>8</v>
      </c>
      <c r="AH97" s="1" t="str">
        <f>VLOOKUP(AG97,t_entry_status!A:AE,2,FALSE)</f>
        <v>PENDING</v>
      </c>
      <c r="AI97" s="7">
        <v>45560</v>
      </c>
      <c r="AJ97" s="1" t="s">
        <v>7455</v>
      </c>
      <c r="AK97" s="7">
        <v>45560</v>
      </c>
      <c r="AL97" s="1" t="s">
        <v>7455</v>
      </c>
    </row>
    <row r="98" spans="1:38" s="20" customFormat="1" x14ac:dyDescent="0.3">
      <c r="A98" s="14">
        <v>97</v>
      </c>
      <c r="B98" s="14" t="str">
        <f>_xlfn.CONCAT(AE98,"-",VLOOKUP(AE98,t_objeto!B:D,3,FALSE),"-",A98)</f>
        <v>RMAT-PERCCO-97</v>
      </c>
      <c r="C98" s="22" t="str">
        <f t="shared" si="19"/>
        <v>LAMINA_LISA__ACERO_ROLADA EN CALIENTE_3'X8'_24</v>
      </c>
      <c r="D98" s="14" t="s">
        <v>7412</v>
      </c>
      <c r="E98" s="14" t="s">
        <v>7385</v>
      </c>
      <c r="F98" s="21" t="s">
        <v>7391</v>
      </c>
      <c r="G98" s="22" t="s">
        <v>7387</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7356</v>
      </c>
      <c r="AF98" s="1" t="str">
        <f>VLOOKUP(AE98,t_objeto!B:C,2,FALSE)</f>
        <v>RAW_MATERIAL</v>
      </c>
      <c r="AG98" s="1">
        <v>8</v>
      </c>
      <c r="AH98" s="1" t="str">
        <f>VLOOKUP(AG98,t_entry_status!A:AE,2,FALSE)</f>
        <v>PENDING</v>
      </c>
      <c r="AI98" s="7">
        <v>45560</v>
      </c>
      <c r="AJ98" s="1" t="s">
        <v>7455</v>
      </c>
      <c r="AK98" s="7">
        <v>45560</v>
      </c>
      <c r="AL98" s="1" t="s">
        <v>7455</v>
      </c>
    </row>
    <row r="99" spans="1:38" s="20" customFormat="1" x14ac:dyDescent="0.3">
      <c r="A99" s="14">
        <v>98</v>
      </c>
      <c r="B99" s="14" t="str">
        <f>_xlfn.CONCAT(AE99,"-",VLOOKUP(AE99,t_objeto!B:D,3,FALSE),"-",A99)</f>
        <v>RMAT-PERCCO-98</v>
      </c>
      <c r="C99" s="22" t="str">
        <f t="shared" si="19"/>
        <v>LAMINA_LISA__ACERO_ROLADA EN CALIENTE_3'X8'_25</v>
      </c>
      <c r="D99" s="14" t="s">
        <v>7412</v>
      </c>
      <c r="E99" s="14" t="s">
        <v>7385</v>
      </c>
      <c r="F99" s="21" t="s">
        <v>7391</v>
      </c>
      <c r="G99" s="22" t="s">
        <v>7387</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7356</v>
      </c>
      <c r="AF99" s="1" t="str">
        <f>VLOOKUP(AE99,t_objeto!B:C,2,FALSE)</f>
        <v>RAW_MATERIAL</v>
      </c>
      <c r="AG99" s="1">
        <v>8</v>
      </c>
      <c r="AH99" s="1" t="str">
        <f>VLOOKUP(AG99,t_entry_status!A:AE,2,FALSE)</f>
        <v>PENDING</v>
      </c>
      <c r="AI99" s="7">
        <v>45560</v>
      </c>
      <c r="AJ99" s="1" t="s">
        <v>7455</v>
      </c>
      <c r="AK99" s="7">
        <v>45560</v>
      </c>
      <c r="AL99" s="1" t="s">
        <v>7455</v>
      </c>
    </row>
    <row r="100" spans="1:38" s="20" customFormat="1" x14ac:dyDescent="0.3">
      <c r="A100" s="14">
        <v>99</v>
      </c>
      <c r="B100" s="14" t="str">
        <f>_xlfn.CONCAT(AE100,"-",VLOOKUP(AE100,t_objeto!B:D,3,FALSE),"-",A100)</f>
        <v>RMAT-PERCCO-99</v>
      </c>
      <c r="C100" s="22" t="str">
        <f t="shared" si="19"/>
        <v>LAMINA_LISA__ACERO_ROLADA EN CALIENTE_3'X8'_26</v>
      </c>
      <c r="D100" s="14" t="s">
        <v>7412</v>
      </c>
      <c r="E100" s="14" t="s">
        <v>7385</v>
      </c>
      <c r="F100" s="21" t="s">
        <v>7391</v>
      </c>
      <c r="G100" s="22" t="s">
        <v>7387</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7356</v>
      </c>
      <c r="AF100" s="1" t="str">
        <f>VLOOKUP(AE100,t_objeto!B:C,2,FALSE)</f>
        <v>RAW_MATERIAL</v>
      </c>
      <c r="AG100" s="1">
        <v>8</v>
      </c>
      <c r="AH100" s="1" t="str">
        <f>VLOOKUP(AG100,t_entry_status!A:AE,2,FALSE)</f>
        <v>PENDING</v>
      </c>
      <c r="AI100" s="7">
        <v>45560</v>
      </c>
      <c r="AJ100" s="1" t="s">
        <v>7455</v>
      </c>
      <c r="AK100" s="7">
        <v>45560</v>
      </c>
      <c r="AL100" s="1" t="s">
        <v>7455</v>
      </c>
    </row>
    <row r="101" spans="1:38" s="20" customFormat="1" x14ac:dyDescent="0.3">
      <c r="A101" s="14">
        <v>100</v>
      </c>
      <c r="B101" s="14" t="str">
        <f>_xlfn.CONCAT(AE101,"-",VLOOKUP(AE101,t_objeto!B:D,3,FALSE),"-",A101)</f>
        <v>RMAT-PERCCO-100</v>
      </c>
      <c r="C101" s="22" t="str">
        <f t="shared" si="19"/>
        <v>LAMINA_LISA__ACERO_ROLADA EN CALIENTE_3'X8'_27</v>
      </c>
      <c r="D101" s="14" t="s">
        <v>7412</v>
      </c>
      <c r="E101" s="14" t="s">
        <v>7385</v>
      </c>
      <c r="F101" s="21" t="s">
        <v>7391</v>
      </c>
      <c r="G101" s="22" t="s">
        <v>7387</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7356</v>
      </c>
      <c r="AF101" s="1" t="str">
        <f>VLOOKUP(AE101,t_objeto!B:C,2,FALSE)</f>
        <v>RAW_MATERIAL</v>
      </c>
      <c r="AG101" s="1">
        <v>8</v>
      </c>
      <c r="AH101" s="1" t="str">
        <f>VLOOKUP(AG101,t_entry_status!A:AE,2,FALSE)</f>
        <v>PENDING</v>
      </c>
      <c r="AI101" s="7">
        <v>45560</v>
      </c>
      <c r="AJ101" s="1" t="s">
        <v>7455</v>
      </c>
      <c r="AK101" s="7">
        <v>45560</v>
      </c>
      <c r="AL101" s="1" t="s">
        <v>7455</v>
      </c>
    </row>
    <row r="102" spans="1:38" s="20" customFormat="1" x14ac:dyDescent="0.3">
      <c r="A102" s="14">
        <v>101</v>
      </c>
      <c r="B102" s="14" t="str">
        <f>_xlfn.CONCAT(AE102,"-",VLOOKUP(AE102,t_objeto!B:D,3,FALSE),"-",A102)</f>
        <v>RMAT-PERCCO-101</v>
      </c>
      <c r="C102" s="22" t="str">
        <f t="shared" si="19"/>
        <v>LAMINA_LISA__ACERO_ROLADA EN CALIENTE_3'X8'_28</v>
      </c>
      <c r="D102" s="14" t="s">
        <v>7412</v>
      </c>
      <c r="E102" s="14" t="s">
        <v>7385</v>
      </c>
      <c r="F102" s="21" t="s">
        <v>7391</v>
      </c>
      <c r="G102" s="22" t="s">
        <v>7387</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7356</v>
      </c>
      <c r="AF102" s="1" t="str">
        <f>VLOOKUP(AE102,t_objeto!B:C,2,FALSE)</f>
        <v>RAW_MATERIAL</v>
      </c>
      <c r="AG102" s="1">
        <v>8</v>
      </c>
      <c r="AH102" s="1" t="str">
        <f>VLOOKUP(AG102,t_entry_status!A:AE,2,FALSE)</f>
        <v>PENDING</v>
      </c>
      <c r="AI102" s="7">
        <v>45560</v>
      </c>
      <c r="AJ102" s="1" t="s">
        <v>7455</v>
      </c>
      <c r="AK102" s="7">
        <v>45560</v>
      </c>
      <c r="AL102" s="1" t="s">
        <v>7455</v>
      </c>
    </row>
    <row r="103" spans="1:38" s="20" customFormat="1" x14ac:dyDescent="0.3">
      <c r="A103" s="14">
        <v>102</v>
      </c>
      <c r="B103" s="14" t="str">
        <f>_xlfn.CONCAT(AE103,"-",VLOOKUP(AE103,t_objeto!B:D,3,FALSE),"-",A103)</f>
        <v>RMAT-PERCCO-102</v>
      </c>
      <c r="C103" s="22" t="str">
        <f t="shared" si="19"/>
        <v>LAMINA_LISA__ACERO_ROLADA EN CALIENTE_3'X8'_29</v>
      </c>
      <c r="D103" s="14" t="s">
        <v>7412</v>
      </c>
      <c r="E103" s="14" t="s">
        <v>7385</v>
      </c>
      <c r="F103" s="21" t="s">
        <v>7391</v>
      </c>
      <c r="G103" s="22" t="s">
        <v>7387</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7356</v>
      </c>
      <c r="AF103" s="1" t="str">
        <f>VLOOKUP(AE103,t_objeto!B:C,2,FALSE)</f>
        <v>RAW_MATERIAL</v>
      </c>
      <c r="AG103" s="1">
        <v>8</v>
      </c>
      <c r="AH103" s="1" t="str">
        <f>VLOOKUP(AG103,t_entry_status!A:AE,2,FALSE)</f>
        <v>PENDING</v>
      </c>
      <c r="AI103" s="7">
        <v>45560</v>
      </c>
      <c r="AJ103" s="1" t="s">
        <v>7455</v>
      </c>
      <c r="AK103" s="7">
        <v>45560</v>
      </c>
      <c r="AL103" s="1" t="s">
        <v>7455</v>
      </c>
    </row>
    <row r="104" spans="1:38" s="20" customFormat="1" x14ac:dyDescent="0.3">
      <c r="A104" s="14">
        <v>103</v>
      </c>
      <c r="B104" s="14" t="str">
        <f>_xlfn.CONCAT(AE104,"-",VLOOKUP(AE104,t_objeto!B:D,3,FALSE),"-",A104)</f>
        <v>RMAT-PERCCO-103</v>
      </c>
      <c r="C104" s="22" t="str">
        <f t="shared" si="19"/>
        <v>LAMINA_LISA__ACERO_ROLADA EN CALIENTE_3'X8'_30</v>
      </c>
      <c r="D104" s="14" t="s">
        <v>7412</v>
      </c>
      <c r="E104" s="14" t="s">
        <v>7385</v>
      </c>
      <c r="F104" s="21" t="s">
        <v>7391</v>
      </c>
      <c r="G104" s="22" t="s">
        <v>7387</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7356</v>
      </c>
      <c r="AF104" s="1" t="str">
        <f>VLOOKUP(AE104,t_objeto!B:C,2,FALSE)</f>
        <v>RAW_MATERIAL</v>
      </c>
      <c r="AG104" s="1">
        <v>8</v>
      </c>
      <c r="AH104" s="1" t="str">
        <f>VLOOKUP(AG104,t_entry_status!A:AE,2,FALSE)</f>
        <v>PENDING</v>
      </c>
      <c r="AI104" s="7">
        <v>45560</v>
      </c>
      <c r="AJ104" s="1" t="s">
        <v>7455</v>
      </c>
      <c r="AK104" s="7">
        <v>45560</v>
      </c>
      <c r="AL104" s="1" t="s">
        <v>7455</v>
      </c>
    </row>
    <row r="105" spans="1:38" s="20" customFormat="1" x14ac:dyDescent="0.3">
      <c r="A105" s="14">
        <v>104</v>
      </c>
      <c r="B105" s="14" t="str">
        <f>_xlfn.CONCAT(AE105,"-",VLOOKUP(AE105,t_objeto!B:D,3,FALSE),"-",A105)</f>
        <v>RMAT-PERCCO-104</v>
      </c>
      <c r="C105" s="22" t="str">
        <f t="shared" si="19"/>
        <v>PLACA__ACERO_ROLADA EN FRIO_3'X8'_1"</v>
      </c>
      <c r="D105" s="14" t="s">
        <v>7390</v>
      </c>
      <c r="E105" s="14" t="s">
        <v>7385</v>
      </c>
      <c r="F105" s="21" t="s">
        <v>7405</v>
      </c>
      <c r="G105" s="22" t="s">
        <v>7387</v>
      </c>
      <c r="H105" s="14" t="s">
        <v>7392</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7356</v>
      </c>
      <c r="AF105" s="1" t="str">
        <f>VLOOKUP(AE105,t_objeto!B:C,2,FALSE)</f>
        <v>RAW_MATERIAL</v>
      </c>
      <c r="AG105" s="1">
        <v>8</v>
      </c>
      <c r="AH105" s="1" t="str">
        <f>VLOOKUP(AG105,t_entry_status!A:AE,2,FALSE)</f>
        <v>PENDING</v>
      </c>
      <c r="AI105" s="7">
        <v>45560</v>
      </c>
      <c r="AJ105" s="1" t="s">
        <v>7455</v>
      </c>
      <c r="AK105" s="7">
        <v>45560</v>
      </c>
      <c r="AL105" s="1" t="s">
        <v>7455</v>
      </c>
    </row>
    <row r="106" spans="1:38" s="20" customFormat="1" x14ac:dyDescent="0.3">
      <c r="A106" s="14">
        <v>105</v>
      </c>
      <c r="B106" s="14" t="str">
        <f>_xlfn.CONCAT(AE106,"-",VLOOKUP(AE106,t_objeto!B:D,3,FALSE),"-",A106)</f>
        <v>RMAT-PERCCO-105</v>
      </c>
      <c r="C106" s="22" t="str">
        <f t="shared" si="19"/>
        <v>PLACA__ACERO_ROLADA EN FRIO_3'X8'_7/8"</v>
      </c>
      <c r="D106" s="14" t="s">
        <v>7390</v>
      </c>
      <c r="E106" s="14" t="s">
        <v>7385</v>
      </c>
      <c r="F106" s="21" t="s">
        <v>7405</v>
      </c>
      <c r="G106" s="22" t="s">
        <v>7387</v>
      </c>
      <c r="H106" s="14" t="s">
        <v>7393</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7356</v>
      </c>
      <c r="AF106" s="1" t="str">
        <f>VLOOKUP(AE106,t_objeto!B:C,2,FALSE)</f>
        <v>RAW_MATERIAL</v>
      </c>
      <c r="AG106" s="1">
        <v>8</v>
      </c>
      <c r="AH106" s="1" t="str">
        <f>VLOOKUP(AG106,t_entry_status!A:AE,2,FALSE)</f>
        <v>PENDING</v>
      </c>
      <c r="AI106" s="7">
        <v>45560</v>
      </c>
      <c r="AJ106" s="1" t="s">
        <v>7455</v>
      </c>
      <c r="AK106" s="7">
        <v>45560</v>
      </c>
      <c r="AL106" s="1" t="s">
        <v>7455</v>
      </c>
    </row>
    <row r="107" spans="1:38" s="20" customFormat="1" x14ac:dyDescent="0.3">
      <c r="A107" s="14">
        <v>106</v>
      </c>
      <c r="B107" s="14" t="str">
        <f>_xlfn.CONCAT(AE107,"-",VLOOKUP(AE107,t_objeto!B:D,3,FALSE),"-",A107)</f>
        <v>RMAT-PERCCO-106</v>
      </c>
      <c r="C107" s="22" t="str">
        <f t="shared" si="19"/>
        <v>PLACA__ACERO_ROLADA EN FRIO_3'X8'_3/4"</v>
      </c>
      <c r="D107" s="14" t="s">
        <v>7390</v>
      </c>
      <c r="E107" s="14" t="s">
        <v>7385</v>
      </c>
      <c r="F107" s="21" t="s">
        <v>7405</v>
      </c>
      <c r="G107" s="22" t="s">
        <v>7387</v>
      </c>
      <c r="H107" s="14" t="s">
        <v>7394</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7356</v>
      </c>
      <c r="AF107" s="1" t="str">
        <f>VLOOKUP(AE107,t_objeto!B:C,2,FALSE)</f>
        <v>RAW_MATERIAL</v>
      </c>
      <c r="AG107" s="1">
        <v>8</v>
      </c>
      <c r="AH107" s="1" t="str">
        <f>VLOOKUP(AG107,t_entry_status!A:AE,2,FALSE)</f>
        <v>PENDING</v>
      </c>
      <c r="AI107" s="7">
        <v>45560</v>
      </c>
      <c r="AJ107" s="1" t="s">
        <v>7455</v>
      </c>
      <c r="AK107" s="7">
        <v>45560</v>
      </c>
      <c r="AL107" s="1" t="s">
        <v>7455</v>
      </c>
    </row>
    <row r="108" spans="1:38" s="20" customFormat="1" x14ac:dyDescent="0.3">
      <c r="A108" s="14">
        <v>107</v>
      </c>
      <c r="B108" s="14" t="str">
        <f>_xlfn.CONCAT(AE108,"-",VLOOKUP(AE108,t_objeto!B:D,3,FALSE),"-",A108)</f>
        <v>RMAT-PERCCO-107</v>
      </c>
      <c r="C108" s="22" t="str">
        <f t="shared" si="19"/>
        <v>PLACA__ACERO_ROLADA EN FRIO_3'X8'_11/16"</v>
      </c>
      <c r="D108" s="14" t="s">
        <v>7390</v>
      </c>
      <c r="E108" s="14" t="s">
        <v>7385</v>
      </c>
      <c r="F108" s="21" t="s">
        <v>7405</v>
      </c>
      <c r="G108" s="22" t="s">
        <v>7387</v>
      </c>
      <c r="H108" s="14" t="s">
        <v>7395</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7356</v>
      </c>
      <c r="AF108" s="1" t="str">
        <f>VLOOKUP(AE108,t_objeto!B:C,2,FALSE)</f>
        <v>RAW_MATERIAL</v>
      </c>
      <c r="AG108" s="1">
        <v>8</v>
      </c>
      <c r="AH108" s="1" t="str">
        <f>VLOOKUP(AG108,t_entry_status!A:AE,2,FALSE)</f>
        <v>PENDING</v>
      </c>
      <c r="AI108" s="7">
        <v>45560</v>
      </c>
      <c r="AJ108" s="1" t="s">
        <v>7455</v>
      </c>
      <c r="AK108" s="7">
        <v>45560</v>
      </c>
      <c r="AL108" s="1" t="s">
        <v>7455</v>
      </c>
    </row>
    <row r="109" spans="1:38" s="20" customFormat="1" x14ac:dyDescent="0.3">
      <c r="A109" s="14">
        <v>108</v>
      </c>
      <c r="B109" s="14" t="str">
        <f>_xlfn.CONCAT(AE109,"-",VLOOKUP(AE109,t_objeto!B:D,3,FALSE),"-",A109)</f>
        <v>RMAT-PERCCO-108</v>
      </c>
      <c r="C109" s="22" t="str">
        <f t="shared" si="19"/>
        <v>PLACA__ACERO_ROLADA EN FRIO_3'X8'_5/8"</v>
      </c>
      <c r="D109" s="14" t="s">
        <v>7390</v>
      </c>
      <c r="E109" s="14" t="s">
        <v>7385</v>
      </c>
      <c r="F109" s="21" t="s">
        <v>7405</v>
      </c>
      <c r="G109" s="22" t="s">
        <v>7387</v>
      </c>
      <c r="H109" s="14" t="s">
        <v>7396</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7356</v>
      </c>
      <c r="AF109" s="1" t="str">
        <f>VLOOKUP(AE109,t_objeto!B:C,2,FALSE)</f>
        <v>RAW_MATERIAL</v>
      </c>
      <c r="AG109" s="1">
        <v>8</v>
      </c>
      <c r="AH109" s="1" t="str">
        <f>VLOOKUP(AG109,t_entry_status!A:AE,2,FALSE)</f>
        <v>PENDING</v>
      </c>
      <c r="AI109" s="7">
        <v>45560</v>
      </c>
      <c r="AJ109" s="1" t="s">
        <v>7455</v>
      </c>
      <c r="AK109" s="7">
        <v>45560</v>
      </c>
      <c r="AL109" s="1" t="s">
        <v>7455</v>
      </c>
    </row>
    <row r="110" spans="1:38" s="20" customFormat="1" x14ac:dyDescent="0.3">
      <c r="A110" s="14">
        <v>109</v>
      </c>
      <c r="B110" s="14" t="str">
        <f>_xlfn.CONCAT(AE110,"-",VLOOKUP(AE110,t_objeto!B:D,3,FALSE),"-",A110)</f>
        <v>RMAT-PERCCO-109</v>
      </c>
      <c r="C110" s="22" t="str">
        <f t="shared" si="19"/>
        <v>PLACA__ACERO_ROLADA EN FRIO_3'X8'_9/16"</v>
      </c>
      <c r="D110" s="14" t="s">
        <v>7390</v>
      </c>
      <c r="E110" s="14" t="s">
        <v>7385</v>
      </c>
      <c r="F110" s="21" t="s">
        <v>7405</v>
      </c>
      <c r="G110" s="22" t="s">
        <v>7387</v>
      </c>
      <c r="H110" s="14" t="s">
        <v>7397</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7356</v>
      </c>
      <c r="AF110" s="1" t="str">
        <f>VLOOKUP(AE110,t_objeto!B:C,2,FALSE)</f>
        <v>RAW_MATERIAL</v>
      </c>
      <c r="AG110" s="1">
        <v>8</v>
      </c>
      <c r="AH110" s="1" t="str">
        <f>VLOOKUP(AG110,t_entry_status!A:AE,2,FALSE)</f>
        <v>PENDING</v>
      </c>
      <c r="AI110" s="7">
        <v>45560</v>
      </c>
      <c r="AJ110" s="1" t="s">
        <v>7455</v>
      </c>
      <c r="AK110" s="7">
        <v>45560</v>
      </c>
      <c r="AL110" s="1" t="s">
        <v>7455</v>
      </c>
    </row>
    <row r="111" spans="1:38" s="20" customFormat="1" x14ac:dyDescent="0.3">
      <c r="A111" s="14">
        <v>110</v>
      </c>
      <c r="B111" s="14" t="str">
        <f>_xlfn.CONCAT(AE111,"-",VLOOKUP(AE111,t_objeto!B:D,3,FALSE),"-",A111)</f>
        <v>RMAT-PERCCO-110</v>
      </c>
      <c r="C111" s="22" t="str">
        <f t="shared" si="19"/>
        <v>PLACA__ACERO_ROLADA EN FRIO_3'X8'_1/2"</v>
      </c>
      <c r="D111" s="14" t="s">
        <v>7390</v>
      </c>
      <c r="E111" s="14" t="s">
        <v>7385</v>
      </c>
      <c r="F111" s="21" t="s">
        <v>7405</v>
      </c>
      <c r="G111" s="22" t="s">
        <v>7387</v>
      </c>
      <c r="H111" s="14" t="s">
        <v>7398</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7356</v>
      </c>
      <c r="AF111" s="1" t="str">
        <f>VLOOKUP(AE111,t_objeto!B:C,2,FALSE)</f>
        <v>RAW_MATERIAL</v>
      </c>
      <c r="AG111" s="1">
        <v>8</v>
      </c>
      <c r="AH111" s="1" t="str">
        <f>VLOOKUP(AG111,t_entry_status!A:AE,2,FALSE)</f>
        <v>PENDING</v>
      </c>
      <c r="AI111" s="7">
        <v>45560</v>
      </c>
      <c r="AJ111" s="1" t="s">
        <v>7455</v>
      </c>
      <c r="AK111" s="7">
        <v>45560</v>
      </c>
      <c r="AL111" s="1" t="s">
        <v>7455</v>
      </c>
    </row>
    <row r="112" spans="1:38" s="20" customFormat="1" x14ac:dyDescent="0.3">
      <c r="A112" s="14">
        <v>111</v>
      </c>
      <c r="B112" s="14" t="str">
        <f>_xlfn.CONCAT(AE112,"-",VLOOKUP(AE112,t_objeto!B:D,3,FALSE),"-",A112)</f>
        <v>RMAT-PERCCO-111</v>
      </c>
      <c r="C112" s="22" t="str">
        <f t="shared" si="19"/>
        <v>PLACA__ACERO_ROLADA EN FRIO_3'X8'_7/16"</v>
      </c>
      <c r="D112" s="14" t="s">
        <v>7390</v>
      </c>
      <c r="E112" s="14" t="s">
        <v>7385</v>
      </c>
      <c r="F112" s="21" t="s">
        <v>7405</v>
      </c>
      <c r="G112" s="22" t="s">
        <v>7387</v>
      </c>
      <c r="H112" s="14" t="s">
        <v>7399</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7356</v>
      </c>
      <c r="AF112" s="1" t="str">
        <f>VLOOKUP(AE112,t_objeto!B:C,2,FALSE)</f>
        <v>RAW_MATERIAL</v>
      </c>
      <c r="AG112" s="1">
        <v>8</v>
      </c>
      <c r="AH112" s="1" t="str">
        <f>VLOOKUP(AG112,t_entry_status!A:AE,2,FALSE)</f>
        <v>PENDING</v>
      </c>
      <c r="AI112" s="7">
        <v>45560</v>
      </c>
      <c r="AJ112" s="1" t="s">
        <v>7455</v>
      </c>
      <c r="AK112" s="7">
        <v>45560</v>
      </c>
      <c r="AL112" s="1" t="s">
        <v>7455</v>
      </c>
    </row>
    <row r="113" spans="1:38" s="20" customFormat="1" x14ac:dyDescent="0.3">
      <c r="A113" s="14">
        <v>112</v>
      </c>
      <c r="B113" s="14" t="str">
        <f>_xlfn.CONCAT(AE113,"-",VLOOKUP(AE113,t_objeto!B:D,3,FALSE),"-",A113)</f>
        <v>RMAT-PERCCO-112</v>
      </c>
      <c r="C113" s="22" t="str">
        <f t="shared" si="19"/>
        <v>PLACA__ACERO_ROLADA EN FRIO_3'X8'_3/8"</v>
      </c>
      <c r="D113" s="14" t="s">
        <v>7390</v>
      </c>
      <c r="E113" s="14" t="s">
        <v>7385</v>
      </c>
      <c r="F113" s="21" t="s">
        <v>7405</v>
      </c>
      <c r="G113" s="22" t="s">
        <v>7387</v>
      </c>
      <c r="H113" s="14" t="s">
        <v>7400</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7356</v>
      </c>
      <c r="AF113" s="1" t="str">
        <f>VLOOKUP(AE113,t_objeto!B:C,2,FALSE)</f>
        <v>RAW_MATERIAL</v>
      </c>
      <c r="AG113" s="1">
        <v>8</v>
      </c>
      <c r="AH113" s="1" t="str">
        <f>VLOOKUP(AG113,t_entry_status!A:AE,2,FALSE)</f>
        <v>PENDING</v>
      </c>
      <c r="AI113" s="7">
        <v>45560</v>
      </c>
      <c r="AJ113" s="1" t="s">
        <v>7455</v>
      </c>
      <c r="AK113" s="7">
        <v>45560</v>
      </c>
      <c r="AL113" s="1" t="s">
        <v>7455</v>
      </c>
    </row>
    <row r="114" spans="1:38" s="20" customFormat="1" x14ac:dyDescent="0.3">
      <c r="A114" s="14">
        <v>113</v>
      </c>
      <c r="B114" s="14" t="str">
        <f>_xlfn.CONCAT(AE114,"-",VLOOKUP(AE114,t_objeto!B:D,3,FALSE),"-",A114)</f>
        <v>RMAT-PERCCO-113</v>
      </c>
      <c r="C114" s="22" t="str">
        <f t="shared" si="19"/>
        <v>PLACA__ACERO_ROLADA EN FRIO_3'X8'_5/16"</v>
      </c>
      <c r="D114" s="14" t="s">
        <v>7390</v>
      </c>
      <c r="E114" s="14" t="s">
        <v>7385</v>
      </c>
      <c r="F114" s="21" t="s">
        <v>7405</v>
      </c>
      <c r="G114" s="22" t="s">
        <v>7387</v>
      </c>
      <c r="H114" s="14" t="s">
        <v>7401</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7356</v>
      </c>
      <c r="AF114" s="1" t="str">
        <f>VLOOKUP(AE114,t_objeto!B:C,2,FALSE)</f>
        <v>RAW_MATERIAL</v>
      </c>
      <c r="AG114" s="1">
        <v>8</v>
      </c>
      <c r="AH114" s="1" t="str">
        <f>VLOOKUP(AG114,t_entry_status!A:AE,2,FALSE)</f>
        <v>PENDING</v>
      </c>
      <c r="AI114" s="7">
        <v>45560</v>
      </c>
      <c r="AJ114" s="1" t="s">
        <v>7455</v>
      </c>
      <c r="AK114" s="7">
        <v>45560</v>
      </c>
      <c r="AL114" s="1" t="s">
        <v>7455</v>
      </c>
    </row>
    <row r="115" spans="1:38" s="20" customFormat="1" x14ac:dyDescent="0.3">
      <c r="A115" s="14">
        <v>114</v>
      </c>
      <c r="B115" s="14" t="str">
        <f>_xlfn.CONCAT(AE115,"-",VLOOKUP(AE115,t_objeto!B:D,3,FALSE),"-",A115)</f>
        <v>RMAT-PERCCO-114</v>
      </c>
      <c r="C115" s="22" t="str">
        <f t="shared" si="19"/>
        <v>PLACA__ACERO_ROLADA EN FRIO_3'X8'_1/4"</v>
      </c>
      <c r="D115" s="14" t="s">
        <v>7390</v>
      </c>
      <c r="E115" s="14" t="s">
        <v>7385</v>
      </c>
      <c r="F115" s="21" t="s">
        <v>7405</v>
      </c>
      <c r="G115" s="22" t="s">
        <v>7387</v>
      </c>
      <c r="H115" s="14" t="s">
        <v>7402</v>
      </c>
      <c r="I115" s="16">
        <v>6.35</v>
      </c>
      <c r="J115" s="16">
        <f t="shared" si="10"/>
        <v>0.25</v>
      </c>
      <c r="K115" s="16">
        <v>49.847999999999999</v>
      </c>
      <c r="L115" s="23">
        <v>1.2</v>
      </c>
      <c r="M115" s="23">
        <v>0.6</v>
      </c>
      <c r="N115" s="23"/>
      <c r="O115" s="23"/>
      <c r="P115" s="23"/>
      <c r="Q115" s="19" t="s">
        <v>7406</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7356</v>
      </c>
      <c r="AF115" s="1" t="str">
        <f>VLOOKUP(AE115,t_objeto!B:C,2,FALSE)</f>
        <v>RAW_MATERIAL</v>
      </c>
      <c r="AG115" s="1">
        <v>8</v>
      </c>
      <c r="AH115" s="1" t="str">
        <f>VLOOKUP(AG115,t_entry_status!A:AE,2,FALSE)</f>
        <v>PENDING</v>
      </c>
      <c r="AI115" s="7">
        <v>45560</v>
      </c>
      <c r="AJ115" s="1" t="s">
        <v>7455</v>
      </c>
      <c r="AK115" s="7">
        <v>45560</v>
      </c>
      <c r="AL115" s="1" t="s">
        <v>7455</v>
      </c>
    </row>
    <row r="116" spans="1:38" s="20" customFormat="1" x14ac:dyDescent="0.3">
      <c r="A116" s="14">
        <v>115</v>
      </c>
      <c r="B116" s="14" t="str">
        <f>_xlfn.CONCAT(AE116,"-",VLOOKUP(AE116,t_objeto!B:D,3,FALSE),"-",A116)</f>
        <v>RMAT-PERCCO-115</v>
      </c>
      <c r="C116" s="22" t="str">
        <f t="shared" si="19"/>
        <v>PLACA__ACERO_ROLADA EN FRIO_3'X8'_3/16"</v>
      </c>
      <c r="D116" s="14" t="s">
        <v>7390</v>
      </c>
      <c r="E116" s="14" t="s">
        <v>7385</v>
      </c>
      <c r="F116" s="21" t="s">
        <v>7405</v>
      </c>
      <c r="G116" s="22" t="s">
        <v>7387</v>
      </c>
      <c r="H116" s="14" t="s">
        <v>7403</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7356</v>
      </c>
      <c r="AF116" s="1" t="str">
        <f>VLOOKUP(AE116,t_objeto!B:C,2,FALSE)</f>
        <v>RAW_MATERIAL</v>
      </c>
      <c r="AG116" s="1">
        <v>8</v>
      </c>
      <c r="AH116" s="1" t="str">
        <f>VLOOKUP(AG116,t_entry_status!A:AE,2,FALSE)</f>
        <v>PENDING</v>
      </c>
      <c r="AI116" s="7">
        <v>45560</v>
      </c>
      <c r="AJ116" s="1" t="s">
        <v>7455</v>
      </c>
      <c r="AK116" s="7">
        <v>45560</v>
      </c>
      <c r="AL116" s="1" t="s">
        <v>7455</v>
      </c>
    </row>
    <row r="117" spans="1:38" s="20" customFormat="1" x14ac:dyDescent="0.3">
      <c r="A117" s="14">
        <v>116</v>
      </c>
      <c r="B117" s="14" t="str">
        <f>_xlfn.CONCAT(AE117,"-",VLOOKUP(AE117,t_objeto!B:D,3,FALSE),"-",A117)</f>
        <v>RMAT-PERCCO-116</v>
      </c>
      <c r="C117" s="22" t="str">
        <f t="shared" si="19"/>
        <v>LAMINA_LISA__ACERO_ROLADA EN FRIO_3'X8'_4</v>
      </c>
      <c r="D117" s="14" t="s">
        <v>7412</v>
      </c>
      <c r="E117" s="14" t="s">
        <v>7385</v>
      </c>
      <c r="F117" s="21" t="s">
        <v>7405</v>
      </c>
      <c r="G117" s="22" t="s">
        <v>7387</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7356</v>
      </c>
      <c r="AF117" s="1" t="str">
        <f>VLOOKUP(AE117,t_objeto!B:C,2,FALSE)</f>
        <v>RAW_MATERIAL</v>
      </c>
      <c r="AG117" s="1">
        <v>8</v>
      </c>
      <c r="AH117" s="1" t="str">
        <f>VLOOKUP(AG117,t_entry_status!A:AE,2,FALSE)</f>
        <v>PENDING</v>
      </c>
      <c r="AI117" s="7">
        <v>45560</v>
      </c>
      <c r="AJ117" s="1" t="s">
        <v>7455</v>
      </c>
      <c r="AK117" s="7">
        <v>45560</v>
      </c>
      <c r="AL117" s="1" t="s">
        <v>7455</v>
      </c>
    </row>
    <row r="118" spans="1:38" s="20" customFormat="1" x14ac:dyDescent="0.3">
      <c r="A118" s="14">
        <v>117</v>
      </c>
      <c r="B118" s="14" t="str">
        <f>_xlfn.CONCAT(AE118,"-",VLOOKUP(AE118,t_objeto!B:D,3,FALSE),"-",A118)</f>
        <v>RMAT-PERCCO-117</v>
      </c>
      <c r="C118" s="22" t="str">
        <f t="shared" si="19"/>
        <v>LAMINA_LISA__ACERO_ROLADA EN FRIO_3'X8'_5</v>
      </c>
      <c r="D118" s="14" t="s">
        <v>7412</v>
      </c>
      <c r="E118" s="14" t="s">
        <v>7385</v>
      </c>
      <c r="F118" s="21" t="s">
        <v>7405</v>
      </c>
      <c r="G118" s="22" t="s">
        <v>7387</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7356</v>
      </c>
      <c r="AF118" s="1" t="str">
        <f>VLOOKUP(AE118,t_objeto!B:C,2,FALSE)</f>
        <v>RAW_MATERIAL</v>
      </c>
      <c r="AG118" s="1">
        <v>8</v>
      </c>
      <c r="AH118" s="1" t="str">
        <f>VLOOKUP(AG118,t_entry_status!A:AE,2,FALSE)</f>
        <v>PENDING</v>
      </c>
      <c r="AI118" s="7">
        <v>45560</v>
      </c>
      <c r="AJ118" s="1" t="s">
        <v>7455</v>
      </c>
      <c r="AK118" s="7">
        <v>45560</v>
      </c>
      <c r="AL118" s="1" t="s">
        <v>7455</v>
      </c>
    </row>
    <row r="119" spans="1:38" s="20" customFormat="1" x14ac:dyDescent="0.3">
      <c r="A119" s="14">
        <v>118</v>
      </c>
      <c r="B119" s="14" t="str">
        <f>_xlfn.CONCAT(AE119,"-",VLOOKUP(AE119,t_objeto!B:D,3,FALSE),"-",A119)</f>
        <v>RMAT-PERCCO-118</v>
      </c>
      <c r="C119" s="22" t="str">
        <f t="shared" si="19"/>
        <v>LAMINA_LISA__ACERO_ROLADA EN FRIO_3'X8'_6</v>
      </c>
      <c r="D119" s="14" t="s">
        <v>7412</v>
      </c>
      <c r="E119" s="14" t="s">
        <v>7385</v>
      </c>
      <c r="F119" s="21" t="s">
        <v>7405</v>
      </c>
      <c r="G119" s="22" t="s">
        <v>7387</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7356</v>
      </c>
      <c r="AF119" s="1" t="str">
        <f>VLOOKUP(AE119,t_objeto!B:C,2,FALSE)</f>
        <v>RAW_MATERIAL</v>
      </c>
      <c r="AG119" s="1">
        <v>8</v>
      </c>
      <c r="AH119" s="1" t="str">
        <f>VLOOKUP(AG119,t_entry_status!A:AE,2,FALSE)</f>
        <v>PENDING</v>
      </c>
      <c r="AI119" s="7">
        <v>45560</v>
      </c>
      <c r="AJ119" s="1" t="s">
        <v>7455</v>
      </c>
      <c r="AK119" s="7">
        <v>45560</v>
      </c>
      <c r="AL119" s="1" t="s">
        <v>7455</v>
      </c>
    </row>
    <row r="120" spans="1:38" s="20" customFormat="1" x14ac:dyDescent="0.3">
      <c r="A120" s="14">
        <v>119</v>
      </c>
      <c r="B120" s="14" t="str">
        <f>_xlfn.CONCAT(AE120,"-",VLOOKUP(AE120,t_objeto!B:D,3,FALSE),"-",A120)</f>
        <v>RMAT-PERCCO-119</v>
      </c>
      <c r="C120" s="22" t="str">
        <f t="shared" si="19"/>
        <v>LAMINA_LISA__ACERO_ROLADA EN FRIO_3'X8'_7</v>
      </c>
      <c r="D120" s="14" t="s">
        <v>7412</v>
      </c>
      <c r="E120" s="14" t="s">
        <v>7385</v>
      </c>
      <c r="F120" s="21" t="s">
        <v>7405</v>
      </c>
      <c r="G120" s="22" t="s">
        <v>7387</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7356</v>
      </c>
      <c r="AF120" s="1" t="str">
        <f>VLOOKUP(AE120,t_objeto!B:C,2,FALSE)</f>
        <v>RAW_MATERIAL</v>
      </c>
      <c r="AG120" s="1">
        <v>8</v>
      </c>
      <c r="AH120" s="1" t="str">
        <f>VLOOKUP(AG120,t_entry_status!A:AE,2,FALSE)</f>
        <v>PENDING</v>
      </c>
      <c r="AI120" s="7">
        <v>45560</v>
      </c>
      <c r="AJ120" s="1" t="s">
        <v>7455</v>
      </c>
      <c r="AK120" s="7">
        <v>45560</v>
      </c>
      <c r="AL120" s="1" t="s">
        <v>7455</v>
      </c>
    </row>
    <row r="121" spans="1:38" s="20" customFormat="1" x14ac:dyDescent="0.3">
      <c r="A121" s="14">
        <v>120</v>
      </c>
      <c r="B121" s="14" t="str">
        <f>_xlfn.CONCAT(AE121,"-",VLOOKUP(AE121,t_objeto!B:D,3,FALSE),"-",A121)</f>
        <v>RMAT-PERCCO-120</v>
      </c>
      <c r="C121" s="22" t="str">
        <f t="shared" si="19"/>
        <v>LAMINA_LISA__ACERO_ROLADA EN FRIO_3'X8'_8</v>
      </c>
      <c r="D121" s="14" t="s">
        <v>7412</v>
      </c>
      <c r="E121" s="14" t="s">
        <v>7385</v>
      </c>
      <c r="F121" s="21" t="s">
        <v>7405</v>
      </c>
      <c r="G121" s="22" t="s">
        <v>7387</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7356</v>
      </c>
      <c r="AF121" s="1" t="str">
        <f>VLOOKUP(AE121,t_objeto!B:C,2,FALSE)</f>
        <v>RAW_MATERIAL</v>
      </c>
      <c r="AG121" s="1">
        <v>8</v>
      </c>
      <c r="AH121" s="1" t="str">
        <f>VLOOKUP(AG121,t_entry_status!A:AE,2,FALSE)</f>
        <v>PENDING</v>
      </c>
      <c r="AI121" s="7">
        <v>45560</v>
      </c>
      <c r="AJ121" s="1" t="s">
        <v>7455</v>
      </c>
      <c r="AK121" s="7">
        <v>45560</v>
      </c>
      <c r="AL121" s="1" t="s">
        <v>7455</v>
      </c>
    </row>
    <row r="122" spans="1:38" s="20" customFormat="1" x14ac:dyDescent="0.3">
      <c r="A122" s="14">
        <v>121</v>
      </c>
      <c r="B122" s="14" t="str">
        <f>_xlfn.CONCAT(AE122,"-",VLOOKUP(AE122,t_objeto!B:D,3,FALSE),"-",A122)</f>
        <v>RMAT-PERCCO-121</v>
      </c>
      <c r="C122" s="22" t="str">
        <f t="shared" si="19"/>
        <v>LAMINA_LISA__ACERO_ROLADA EN FRIO_3'X8'_9</v>
      </c>
      <c r="D122" s="14" t="s">
        <v>7412</v>
      </c>
      <c r="E122" s="14" t="s">
        <v>7385</v>
      </c>
      <c r="F122" s="21" t="s">
        <v>7405</v>
      </c>
      <c r="G122" s="22" t="s">
        <v>7387</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7356</v>
      </c>
      <c r="AF122" s="1" t="str">
        <f>VLOOKUP(AE122,t_objeto!B:C,2,FALSE)</f>
        <v>RAW_MATERIAL</v>
      </c>
      <c r="AG122" s="1">
        <v>8</v>
      </c>
      <c r="AH122" s="1" t="str">
        <f>VLOOKUP(AG122,t_entry_status!A:AE,2,FALSE)</f>
        <v>PENDING</v>
      </c>
      <c r="AI122" s="7">
        <v>45560</v>
      </c>
      <c r="AJ122" s="1" t="s">
        <v>7455</v>
      </c>
      <c r="AK122" s="7">
        <v>45560</v>
      </c>
      <c r="AL122" s="1" t="s">
        <v>7455</v>
      </c>
    </row>
    <row r="123" spans="1:38" s="20" customFormat="1" x14ac:dyDescent="0.3">
      <c r="A123" s="14">
        <v>122</v>
      </c>
      <c r="B123" s="14" t="str">
        <f>_xlfn.CONCAT(AE123,"-",VLOOKUP(AE123,t_objeto!B:D,3,FALSE),"-",A123)</f>
        <v>RMAT-PERCCO-122</v>
      </c>
      <c r="C123" s="22" t="str">
        <f t="shared" si="19"/>
        <v>LAMINA_LISA__ACERO_ROLADA EN FRIO_3'X8'_10</v>
      </c>
      <c r="D123" s="14" t="s">
        <v>7412</v>
      </c>
      <c r="E123" s="14" t="s">
        <v>7385</v>
      </c>
      <c r="F123" s="21" t="s">
        <v>7405</v>
      </c>
      <c r="G123" s="22" t="s">
        <v>7387</v>
      </c>
      <c r="H123" s="14">
        <v>10</v>
      </c>
      <c r="I123" s="16">
        <v>3.42</v>
      </c>
      <c r="J123" s="16">
        <f t="shared" si="10"/>
        <v>0.13464566929133859</v>
      </c>
      <c r="K123" s="16">
        <v>26.847000000000001</v>
      </c>
      <c r="L123" s="23">
        <v>2</v>
      </c>
      <c r="M123" s="23">
        <v>1</v>
      </c>
      <c r="N123" s="23">
        <v>10</v>
      </c>
      <c r="O123" s="23"/>
      <c r="P123" s="23"/>
      <c r="Q123" s="19" t="s">
        <v>7407</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7356</v>
      </c>
      <c r="AF123" s="1" t="str">
        <f>VLOOKUP(AE123,t_objeto!B:C,2,FALSE)</f>
        <v>RAW_MATERIAL</v>
      </c>
      <c r="AG123" s="1">
        <v>8</v>
      </c>
      <c r="AH123" s="1" t="str">
        <f>VLOOKUP(AG123,t_entry_status!A:AE,2,FALSE)</f>
        <v>PENDING</v>
      </c>
      <c r="AI123" s="7">
        <v>45560</v>
      </c>
      <c r="AJ123" s="1" t="s">
        <v>7455</v>
      </c>
      <c r="AK123" s="7">
        <v>45560</v>
      </c>
      <c r="AL123" s="1" t="s">
        <v>7455</v>
      </c>
    </row>
    <row r="124" spans="1:38" s="20" customFormat="1" x14ac:dyDescent="0.3">
      <c r="A124" s="14">
        <v>123</v>
      </c>
      <c r="B124" s="14" t="str">
        <f>_xlfn.CONCAT(AE124,"-",VLOOKUP(AE124,t_objeto!B:D,3,FALSE),"-",A124)</f>
        <v>RMAT-PERCCO-123</v>
      </c>
      <c r="C124" s="22" t="str">
        <f t="shared" si="19"/>
        <v>LAMINA_LISA__ACERO_ROLADA EN FRIO_3'X8'_1/8"</v>
      </c>
      <c r="D124" s="14" t="s">
        <v>7412</v>
      </c>
      <c r="E124" s="14" t="s">
        <v>7385</v>
      </c>
      <c r="F124" s="21" t="s">
        <v>7405</v>
      </c>
      <c r="G124" s="22" t="s">
        <v>7387</v>
      </c>
      <c r="H124" s="14" t="s">
        <v>7404</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7356</v>
      </c>
      <c r="AF124" s="1" t="str">
        <f>VLOOKUP(AE124,t_objeto!B:C,2,FALSE)</f>
        <v>RAW_MATERIAL</v>
      </c>
      <c r="AG124" s="1">
        <v>8</v>
      </c>
      <c r="AH124" s="1" t="str">
        <f>VLOOKUP(AG124,t_entry_status!A:AE,2,FALSE)</f>
        <v>PENDING</v>
      </c>
      <c r="AI124" s="7">
        <v>45560</v>
      </c>
      <c r="AJ124" s="1" t="s">
        <v>7455</v>
      </c>
      <c r="AK124" s="7">
        <v>45560</v>
      </c>
      <c r="AL124" s="1" t="s">
        <v>7455</v>
      </c>
    </row>
    <row r="125" spans="1:38" s="20" customFormat="1" x14ac:dyDescent="0.3">
      <c r="A125" s="14">
        <v>124</v>
      </c>
      <c r="B125" s="14" t="str">
        <f>_xlfn.CONCAT(AE125,"-",VLOOKUP(AE125,t_objeto!B:D,3,FALSE),"-",A125)</f>
        <v>RMAT-PERCCO-124</v>
      </c>
      <c r="C125" s="22" t="str">
        <f t="shared" si="19"/>
        <v>LAMINA_LISA__ACERO_ROLADA EN FRIO_3'X8'_11</v>
      </c>
      <c r="D125" s="14" t="s">
        <v>7412</v>
      </c>
      <c r="E125" s="14" t="s">
        <v>7385</v>
      </c>
      <c r="F125" s="21" t="s">
        <v>7405</v>
      </c>
      <c r="G125" s="22" t="s">
        <v>7387</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7356</v>
      </c>
      <c r="AF125" s="1" t="str">
        <f>VLOOKUP(AE125,t_objeto!B:C,2,FALSE)</f>
        <v>RAW_MATERIAL</v>
      </c>
      <c r="AG125" s="1">
        <v>8</v>
      </c>
      <c r="AH125" s="1" t="str">
        <f>VLOOKUP(AG125,t_entry_status!A:AE,2,FALSE)</f>
        <v>PENDING</v>
      </c>
      <c r="AI125" s="7">
        <v>45560</v>
      </c>
      <c r="AJ125" s="1" t="s">
        <v>7455</v>
      </c>
      <c r="AK125" s="7">
        <v>45560</v>
      </c>
      <c r="AL125" s="1" t="s">
        <v>7455</v>
      </c>
    </row>
    <row r="126" spans="1:38" s="20" customFormat="1" x14ac:dyDescent="0.3">
      <c r="A126" s="14">
        <v>125</v>
      </c>
      <c r="B126" s="14" t="str">
        <f>_xlfn.CONCAT(AE126,"-",VLOOKUP(AE126,t_objeto!B:D,3,FALSE),"-",A126)</f>
        <v>RMAT-PERCCO-125</v>
      </c>
      <c r="C126" s="22" t="str">
        <f t="shared" si="19"/>
        <v>LAMINA_LISA__ACERO_ROLADA EN FRIO_3'X8'_12</v>
      </c>
      <c r="D126" s="14" t="s">
        <v>7412</v>
      </c>
      <c r="E126" s="14" t="s">
        <v>7385</v>
      </c>
      <c r="F126" s="21" t="s">
        <v>7405</v>
      </c>
      <c r="G126" s="22" t="s">
        <v>7387</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7356</v>
      </c>
      <c r="AF126" s="1" t="str">
        <f>VLOOKUP(AE126,t_objeto!B:C,2,FALSE)</f>
        <v>RAW_MATERIAL</v>
      </c>
      <c r="AG126" s="1">
        <v>8</v>
      </c>
      <c r="AH126" s="1" t="str">
        <f>VLOOKUP(AG126,t_entry_status!A:AE,2,FALSE)</f>
        <v>PENDING</v>
      </c>
      <c r="AI126" s="7">
        <v>45560</v>
      </c>
      <c r="AJ126" s="1" t="s">
        <v>7455</v>
      </c>
      <c r="AK126" s="7">
        <v>45560</v>
      </c>
      <c r="AL126" s="1" t="s">
        <v>7455</v>
      </c>
    </row>
    <row r="127" spans="1:38" s="20" customFormat="1" x14ac:dyDescent="0.3">
      <c r="A127" s="14">
        <v>126</v>
      </c>
      <c r="B127" s="14" t="str">
        <f>_xlfn.CONCAT(AE127,"-",VLOOKUP(AE127,t_objeto!B:D,3,FALSE),"-",A127)</f>
        <v>RMAT-PERCCO-126</v>
      </c>
      <c r="C127" s="22" t="str">
        <f t="shared" si="19"/>
        <v>LAMINA_LISA__ACERO_ROLADA EN FRIO_3'X8'_13</v>
      </c>
      <c r="D127" s="14" t="s">
        <v>7412</v>
      </c>
      <c r="E127" s="14" t="s">
        <v>7385</v>
      </c>
      <c r="F127" s="21" t="s">
        <v>7405</v>
      </c>
      <c r="G127" s="22" t="s">
        <v>7387</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7356</v>
      </c>
      <c r="AF127" s="1" t="str">
        <f>VLOOKUP(AE127,t_objeto!B:C,2,FALSE)</f>
        <v>RAW_MATERIAL</v>
      </c>
      <c r="AG127" s="1">
        <v>8</v>
      </c>
      <c r="AH127" s="1" t="str">
        <f>VLOOKUP(AG127,t_entry_status!A:AE,2,FALSE)</f>
        <v>PENDING</v>
      </c>
      <c r="AI127" s="7">
        <v>45560</v>
      </c>
      <c r="AJ127" s="1" t="s">
        <v>7455</v>
      </c>
      <c r="AK127" s="7">
        <v>45560</v>
      </c>
      <c r="AL127" s="1" t="s">
        <v>7455</v>
      </c>
    </row>
    <row r="128" spans="1:38" s="20" customFormat="1" x14ac:dyDescent="0.3">
      <c r="A128" s="14">
        <v>127</v>
      </c>
      <c r="B128" s="14" t="str">
        <f>_xlfn.CONCAT(AE128,"-",VLOOKUP(AE128,t_objeto!B:D,3,FALSE),"-",A128)</f>
        <v>RMAT-PERCCO-127</v>
      </c>
      <c r="C128" s="22" t="str">
        <f t="shared" si="19"/>
        <v>LAMINA_LISA__ACERO_ROLADA EN FRIO_3'X8'_14</v>
      </c>
      <c r="D128" s="14" t="s">
        <v>7412</v>
      </c>
      <c r="E128" s="14" t="s">
        <v>7385</v>
      </c>
      <c r="F128" s="21" t="s">
        <v>7405</v>
      </c>
      <c r="G128" s="22" t="s">
        <v>7387</v>
      </c>
      <c r="H128" s="14">
        <v>14</v>
      </c>
      <c r="I128" s="16">
        <v>1.9</v>
      </c>
      <c r="J128" s="16">
        <f t="shared" si="10"/>
        <v>7.4803149606299218E-2</v>
      </c>
      <c r="K128" s="16">
        <v>14.914999999999999</v>
      </c>
      <c r="L128" s="23">
        <v>5</v>
      </c>
      <c r="M128" s="23">
        <v>1</v>
      </c>
      <c r="N128" s="23">
        <v>10</v>
      </c>
      <c r="O128" s="23"/>
      <c r="P128" s="23"/>
      <c r="Q128" s="19" t="s">
        <v>7407</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7356</v>
      </c>
      <c r="AF128" s="1" t="str">
        <f>VLOOKUP(AE128,t_objeto!B:C,2,FALSE)</f>
        <v>RAW_MATERIAL</v>
      </c>
      <c r="AG128" s="1">
        <v>8</v>
      </c>
      <c r="AH128" s="1" t="str">
        <f>VLOOKUP(AG128,t_entry_status!A:AE,2,FALSE)</f>
        <v>PENDING</v>
      </c>
      <c r="AI128" s="7">
        <v>45560</v>
      </c>
      <c r="AJ128" s="1" t="s">
        <v>7455</v>
      </c>
      <c r="AK128" s="7">
        <v>45560</v>
      </c>
      <c r="AL128" s="1" t="s">
        <v>7455</v>
      </c>
    </row>
    <row r="129" spans="1:38" s="20" customFormat="1" x14ac:dyDescent="0.3">
      <c r="A129" s="14">
        <v>128</v>
      </c>
      <c r="B129" s="14" t="str">
        <f>_xlfn.CONCAT(AE129,"-",VLOOKUP(AE129,t_objeto!B:D,3,FALSE),"-",A129)</f>
        <v>RMAT-PERCCO-128</v>
      </c>
      <c r="C129" s="22" t="str">
        <f t="shared" si="19"/>
        <v>LAMINA_LISA__ACERO_ROLADA EN FRIO_3'X8'_15</v>
      </c>
      <c r="D129" s="14" t="s">
        <v>7412</v>
      </c>
      <c r="E129" s="14" t="s">
        <v>7385</v>
      </c>
      <c r="F129" s="21" t="s">
        <v>7405</v>
      </c>
      <c r="G129" s="22" t="s">
        <v>7387</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7356</v>
      </c>
      <c r="AF129" s="1" t="str">
        <f>VLOOKUP(AE129,t_objeto!B:C,2,FALSE)</f>
        <v>RAW_MATERIAL</v>
      </c>
      <c r="AG129" s="1">
        <v>8</v>
      </c>
      <c r="AH129" s="1" t="str">
        <f>VLOOKUP(AG129,t_entry_status!A:AE,2,FALSE)</f>
        <v>PENDING</v>
      </c>
      <c r="AI129" s="7">
        <v>45560</v>
      </c>
      <c r="AJ129" s="1" t="s">
        <v>7455</v>
      </c>
      <c r="AK129" s="7">
        <v>45560</v>
      </c>
      <c r="AL129" s="1" t="s">
        <v>7455</v>
      </c>
    </row>
    <row r="130" spans="1:38" s="20" customFormat="1" x14ac:dyDescent="0.3">
      <c r="A130" s="14">
        <v>129</v>
      </c>
      <c r="B130" s="14" t="str">
        <f>_xlfn.CONCAT(AE130,"-",VLOOKUP(AE130,t_objeto!B:D,3,FALSE),"-",A130)</f>
        <v>RMAT-PERCCO-129</v>
      </c>
      <c r="C130" s="22" t="str">
        <f t="shared" si="19"/>
        <v>LAMINA_LISA__ACERO_ROLADA EN FRIO_3'X8'_16</v>
      </c>
      <c r="D130" s="14" t="s">
        <v>7412</v>
      </c>
      <c r="E130" s="14" t="s">
        <v>7385</v>
      </c>
      <c r="F130" s="21" t="s">
        <v>7405</v>
      </c>
      <c r="G130" s="22" t="s">
        <v>7387</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7356</v>
      </c>
      <c r="AF130" s="1" t="str">
        <f>VLOOKUP(AE130,t_objeto!B:C,2,FALSE)</f>
        <v>RAW_MATERIAL</v>
      </c>
      <c r="AG130" s="1">
        <v>8</v>
      </c>
      <c r="AH130" s="1" t="str">
        <f>VLOOKUP(AG130,t_entry_status!A:AE,2,FALSE)</f>
        <v>PENDING</v>
      </c>
      <c r="AI130" s="7">
        <v>45560</v>
      </c>
      <c r="AJ130" s="1" t="s">
        <v>7455</v>
      </c>
      <c r="AK130" s="7">
        <v>45560</v>
      </c>
      <c r="AL130" s="1" t="s">
        <v>7455</v>
      </c>
    </row>
    <row r="131" spans="1:38" s="20" customFormat="1" x14ac:dyDescent="0.3">
      <c r="A131" s="14">
        <v>130</v>
      </c>
      <c r="B131" s="14" t="str">
        <f>_xlfn.CONCAT(AE131,"-",VLOOKUP(AE131,t_objeto!B:D,3,FALSE),"-",A131)</f>
        <v>RMAT-PERCCO-130</v>
      </c>
      <c r="C131" s="22" t="str">
        <f t="shared" ref="C131:C194" si="29">_xlfn.CONCAT(D131,"_","_",E131,"_",F131,"_",R131,"'","X",S131,"'","_",H131)</f>
        <v>LAMINA_LISA__ACERO_ROLADA EN FRIO_3'X8'_17</v>
      </c>
      <c r="D131" s="14" t="s">
        <v>7412</v>
      </c>
      <c r="E131" s="14" t="s">
        <v>7385</v>
      </c>
      <c r="F131" s="21" t="s">
        <v>7405</v>
      </c>
      <c r="G131" s="22" t="s">
        <v>7387</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7356</v>
      </c>
      <c r="AF131" s="1" t="str">
        <f>VLOOKUP(AE131,t_objeto!B:C,2,FALSE)</f>
        <v>RAW_MATERIAL</v>
      </c>
      <c r="AG131" s="1">
        <v>8</v>
      </c>
      <c r="AH131" s="1" t="str">
        <f>VLOOKUP(AG131,t_entry_status!A:AE,2,FALSE)</f>
        <v>PENDING</v>
      </c>
      <c r="AI131" s="7">
        <v>45560</v>
      </c>
      <c r="AJ131" s="1" t="s">
        <v>7455</v>
      </c>
      <c r="AK131" s="7">
        <v>45560</v>
      </c>
      <c r="AL131" s="1" t="s">
        <v>7455</v>
      </c>
    </row>
    <row r="132" spans="1:38" s="20" customFormat="1" x14ac:dyDescent="0.3">
      <c r="A132" s="14">
        <v>131</v>
      </c>
      <c r="B132" s="14" t="str">
        <f>_xlfn.CONCAT(AE132,"-",VLOOKUP(AE132,t_objeto!B:D,3,FALSE),"-",A132)</f>
        <v>RMAT-PERCCO-131</v>
      </c>
      <c r="C132" s="22" t="str">
        <f t="shared" si="29"/>
        <v>LAMINA_LISA__ACERO_ROLADA EN FRIO_3'X8'_18</v>
      </c>
      <c r="D132" s="14" t="s">
        <v>7412</v>
      </c>
      <c r="E132" s="14" t="s">
        <v>7385</v>
      </c>
      <c r="F132" s="21" t="s">
        <v>7405</v>
      </c>
      <c r="G132" s="22" t="s">
        <v>7387</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7356</v>
      </c>
      <c r="AF132" s="1" t="str">
        <f>VLOOKUP(AE132,t_objeto!B:C,2,FALSE)</f>
        <v>RAW_MATERIAL</v>
      </c>
      <c r="AG132" s="1">
        <v>8</v>
      </c>
      <c r="AH132" s="1" t="str">
        <f>VLOOKUP(AG132,t_entry_status!A:AE,2,FALSE)</f>
        <v>PENDING</v>
      </c>
      <c r="AI132" s="7">
        <v>45560</v>
      </c>
      <c r="AJ132" s="1" t="s">
        <v>7455</v>
      </c>
      <c r="AK132" s="7">
        <v>45560</v>
      </c>
      <c r="AL132" s="1" t="s">
        <v>7455</v>
      </c>
    </row>
    <row r="133" spans="1:38" s="20" customFormat="1" x14ac:dyDescent="0.3">
      <c r="A133" s="14">
        <v>132</v>
      </c>
      <c r="B133" s="14" t="str">
        <f>_xlfn.CONCAT(AE133,"-",VLOOKUP(AE133,t_objeto!B:D,3,FALSE),"-",A133)</f>
        <v>RMAT-PERCCO-132</v>
      </c>
      <c r="C133" s="22" t="str">
        <f t="shared" si="29"/>
        <v>LAMINA_LISA__ACERO_ROLADA EN FRIO_3'X8'_19</v>
      </c>
      <c r="D133" s="14" t="s">
        <v>7412</v>
      </c>
      <c r="E133" s="14" t="s">
        <v>7385</v>
      </c>
      <c r="F133" s="21" t="s">
        <v>7405</v>
      </c>
      <c r="G133" s="22" t="s">
        <v>7387</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7356</v>
      </c>
      <c r="AF133" s="1" t="str">
        <f>VLOOKUP(AE133,t_objeto!B:C,2,FALSE)</f>
        <v>RAW_MATERIAL</v>
      </c>
      <c r="AG133" s="1">
        <v>8</v>
      </c>
      <c r="AH133" s="1" t="str">
        <f>VLOOKUP(AG133,t_entry_status!A:AE,2,FALSE)</f>
        <v>PENDING</v>
      </c>
      <c r="AI133" s="7">
        <v>45560</v>
      </c>
      <c r="AJ133" s="1" t="s">
        <v>7455</v>
      </c>
      <c r="AK133" s="7">
        <v>45560</v>
      </c>
      <c r="AL133" s="1" t="s">
        <v>7455</v>
      </c>
    </row>
    <row r="134" spans="1:38" s="20" customFormat="1" x14ac:dyDescent="0.3">
      <c r="A134" s="14">
        <v>133</v>
      </c>
      <c r="B134" s="14" t="str">
        <f>_xlfn.CONCAT(AE134,"-",VLOOKUP(AE134,t_objeto!B:D,3,FALSE),"-",A134)</f>
        <v>RMAT-PERCCO-133</v>
      </c>
      <c r="C134" s="22" t="str">
        <f t="shared" si="29"/>
        <v>LAMINA_LISA__ACERO_ROLADA EN FRIO_3'X8'_20</v>
      </c>
      <c r="D134" s="14" t="s">
        <v>7412</v>
      </c>
      <c r="E134" s="14" t="s">
        <v>7385</v>
      </c>
      <c r="F134" s="21" t="s">
        <v>7405</v>
      </c>
      <c r="G134" s="22" t="s">
        <v>7387</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7356</v>
      </c>
      <c r="AF134" s="1" t="str">
        <f>VLOOKUP(AE134,t_objeto!B:C,2,FALSE)</f>
        <v>RAW_MATERIAL</v>
      </c>
      <c r="AG134" s="1">
        <v>8</v>
      </c>
      <c r="AH134" s="1" t="str">
        <f>VLOOKUP(AG134,t_entry_status!A:AE,2,FALSE)</f>
        <v>PENDING</v>
      </c>
      <c r="AI134" s="7">
        <v>45560</v>
      </c>
      <c r="AJ134" s="1" t="s">
        <v>7455</v>
      </c>
      <c r="AK134" s="7">
        <v>45560</v>
      </c>
      <c r="AL134" s="1" t="s">
        <v>7455</v>
      </c>
    </row>
    <row r="135" spans="1:38" s="20" customFormat="1" x14ac:dyDescent="0.3">
      <c r="A135" s="14">
        <v>134</v>
      </c>
      <c r="B135" s="14" t="str">
        <f>_xlfn.CONCAT(AE135,"-",VLOOKUP(AE135,t_objeto!B:D,3,FALSE),"-",A135)</f>
        <v>RMAT-PERCCO-134</v>
      </c>
      <c r="C135" s="22" t="str">
        <f t="shared" si="29"/>
        <v>LAMINA_LISA__ACERO_ROLADA EN FRIO_3'X8'_21</v>
      </c>
      <c r="D135" s="14" t="s">
        <v>7412</v>
      </c>
      <c r="E135" s="14" t="s">
        <v>7385</v>
      </c>
      <c r="F135" s="21" t="s">
        <v>7405</v>
      </c>
      <c r="G135" s="22" t="s">
        <v>7387</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7356</v>
      </c>
      <c r="AF135" s="1" t="str">
        <f>VLOOKUP(AE135,t_objeto!B:C,2,FALSE)</f>
        <v>RAW_MATERIAL</v>
      </c>
      <c r="AG135" s="1">
        <v>8</v>
      </c>
      <c r="AH135" s="1" t="str">
        <f>VLOOKUP(AG135,t_entry_status!A:AE,2,FALSE)</f>
        <v>PENDING</v>
      </c>
      <c r="AI135" s="7">
        <v>45560</v>
      </c>
      <c r="AJ135" s="1" t="s">
        <v>7455</v>
      </c>
      <c r="AK135" s="7">
        <v>45560</v>
      </c>
      <c r="AL135" s="1" t="s">
        <v>7455</v>
      </c>
    </row>
    <row r="136" spans="1:38" s="20" customFormat="1" x14ac:dyDescent="0.3">
      <c r="A136" s="14">
        <v>135</v>
      </c>
      <c r="B136" s="14" t="str">
        <f>_xlfn.CONCAT(AE136,"-",VLOOKUP(AE136,t_objeto!B:D,3,FALSE),"-",A136)</f>
        <v>RMAT-PERCCO-135</v>
      </c>
      <c r="C136" s="22" t="str">
        <f t="shared" si="29"/>
        <v>LAMINA_LISA__ACERO_ROLADA EN FRIO_3'X8'_22</v>
      </c>
      <c r="D136" s="14" t="s">
        <v>7412</v>
      </c>
      <c r="E136" s="14" t="s">
        <v>7385</v>
      </c>
      <c r="F136" s="21" t="s">
        <v>7405</v>
      </c>
      <c r="G136" s="22" t="s">
        <v>7387</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7356</v>
      </c>
      <c r="AF136" s="1" t="str">
        <f>VLOOKUP(AE136,t_objeto!B:C,2,FALSE)</f>
        <v>RAW_MATERIAL</v>
      </c>
      <c r="AG136" s="1">
        <v>8</v>
      </c>
      <c r="AH136" s="1" t="str">
        <f>VLOOKUP(AG136,t_entry_status!A:AE,2,FALSE)</f>
        <v>PENDING</v>
      </c>
      <c r="AI136" s="7">
        <v>45560</v>
      </c>
      <c r="AJ136" s="1" t="s">
        <v>7455</v>
      </c>
      <c r="AK136" s="7">
        <v>45560</v>
      </c>
      <c r="AL136" s="1" t="s">
        <v>7455</v>
      </c>
    </row>
    <row r="137" spans="1:38" s="20" customFormat="1" x14ac:dyDescent="0.3">
      <c r="A137" s="14">
        <v>136</v>
      </c>
      <c r="B137" s="14" t="str">
        <f>_xlfn.CONCAT(AE137,"-",VLOOKUP(AE137,t_objeto!B:D,3,FALSE),"-",A137)</f>
        <v>RMAT-PERCCO-136</v>
      </c>
      <c r="C137" s="22" t="str">
        <f t="shared" si="29"/>
        <v>LAMINA_LISA__ACERO_ROLADA EN FRIO_3'X8'_23</v>
      </c>
      <c r="D137" s="14" t="s">
        <v>7412</v>
      </c>
      <c r="E137" s="14" t="s">
        <v>7385</v>
      </c>
      <c r="F137" s="21" t="s">
        <v>7405</v>
      </c>
      <c r="G137" s="22" t="s">
        <v>7387</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7356</v>
      </c>
      <c r="AF137" s="1" t="str">
        <f>VLOOKUP(AE137,t_objeto!B:C,2,FALSE)</f>
        <v>RAW_MATERIAL</v>
      </c>
      <c r="AG137" s="1">
        <v>8</v>
      </c>
      <c r="AH137" s="1" t="str">
        <f>VLOOKUP(AG137,t_entry_status!A:AE,2,FALSE)</f>
        <v>PENDING</v>
      </c>
      <c r="AI137" s="7">
        <v>45560</v>
      </c>
      <c r="AJ137" s="1" t="s">
        <v>7455</v>
      </c>
      <c r="AK137" s="7">
        <v>45560</v>
      </c>
      <c r="AL137" s="1" t="s">
        <v>7455</v>
      </c>
    </row>
    <row r="138" spans="1:38" s="20" customFormat="1" x14ac:dyDescent="0.3">
      <c r="A138" s="14">
        <v>137</v>
      </c>
      <c r="B138" s="14" t="str">
        <f>_xlfn.CONCAT(AE138,"-",VLOOKUP(AE138,t_objeto!B:D,3,FALSE),"-",A138)</f>
        <v>RMAT-PERCCO-137</v>
      </c>
      <c r="C138" s="22" t="str">
        <f t="shared" si="29"/>
        <v>LAMINA_LISA__ACERO_ROLADA EN FRIO_3'X8'_24</v>
      </c>
      <c r="D138" s="14" t="s">
        <v>7412</v>
      </c>
      <c r="E138" s="14" t="s">
        <v>7385</v>
      </c>
      <c r="F138" s="21" t="s">
        <v>7405</v>
      </c>
      <c r="G138" s="22" t="s">
        <v>7387</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7356</v>
      </c>
      <c r="AF138" s="1" t="str">
        <f>VLOOKUP(AE138,t_objeto!B:C,2,FALSE)</f>
        <v>RAW_MATERIAL</v>
      </c>
      <c r="AG138" s="1">
        <v>8</v>
      </c>
      <c r="AH138" s="1" t="str">
        <f>VLOOKUP(AG138,t_entry_status!A:AE,2,FALSE)</f>
        <v>PENDING</v>
      </c>
      <c r="AI138" s="7">
        <v>45560</v>
      </c>
      <c r="AJ138" s="1" t="s">
        <v>7455</v>
      </c>
      <c r="AK138" s="7">
        <v>45560</v>
      </c>
      <c r="AL138" s="1" t="s">
        <v>7455</v>
      </c>
    </row>
    <row r="139" spans="1:38" s="20" customFormat="1" x14ac:dyDescent="0.3">
      <c r="A139" s="14">
        <v>138</v>
      </c>
      <c r="B139" s="14" t="str">
        <f>_xlfn.CONCAT(AE139,"-",VLOOKUP(AE139,t_objeto!B:D,3,FALSE),"-",A139)</f>
        <v>RMAT-PERCCO-138</v>
      </c>
      <c r="C139" s="22" t="str">
        <f t="shared" si="29"/>
        <v>LAMINA_LISA__ACERO_ROLADA EN FRIO_3'X8'_25</v>
      </c>
      <c r="D139" s="14" t="s">
        <v>7412</v>
      </c>
      <c r="E139" s="14" t="s">
        <v>7385</v>
      </c>
      <c r="F139" s="21" t="s">
        <v>7405</v>
      </c>
      <c r="G139" s="22" t="s">
        <v>7387</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7356</v>
      </c>
      <c r="AF139" s="1" t="str">
        <f>VLOOKUP(AE139,t_objeto!B:C,2,FALSE)</f>
        <v>RAW_MATERIAL</v>
      </c>
      <c r="AG139" s="1">
        <v>8</v>
      </c>
      <c r="AH139" s="1" t="str">
        <f>VLOOKUP(AG139,t_entry_status!A:AE,2,FALSE)</f>
        <v>PENDING</v>
      </c>
      <c r="AI139" s="7">
        <v>45560</v>
      </c>
      <c r="AJ139" s="1" t="s">
        <v>7455</v>
      </c>
      <c r="AK139" s="7">
        <v>45560</v>
      </c>
      <c r="AL139" s="1" t="s">
        <v>7455</v>
      </c>
    </row>
    <row r="140" spans="1:38" s="20" customFormat="1" x14ac:dyDescent="0.3">
      <c r="A140" s="14">
        <v>139</v>
      </c>
      <c r="B140" s="14" t="str">
        <f>_xlfn.CONCAT(AE140,"-",VLOOKUP(AE140,t_objeto!B:D,3,FALSE),"-",A140)</f>
        <v>RMAT-PERCCO-139</v>
      </c>
      <c r="C140" s="22" t="str">
        <f t="shared" si="29"/>
        <v>LAMINA_LISA__ACERO_ROLADA EN FRIO_3'X8'_26</v>
      </c>
      <c r="D140" s="14" t="s">
        <v>7412</v>
      </c>
      <c r="E140" s="14" t="s">
        <v>7385</v>
      </c>
      <c r="F140" s="21" t="s">
        <v>7405</v>
      </c>
      <c r="G140" s="22" t="s">
        <v>7387</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7356</v>
      </c>
      <c r="AF140" s="1" t="str">
        <f>VLOOKUP(AE140,t_objeto!B:C,2,FALSE)</f>
        <v>RAW_MATERIAL</v>
      </c>
      <c r="AG140" s="1">
        <v>8</v>
      </c>
      <c r="AH140" s="1" t="str">
        <f>VLOOKUP(AG140,t_entry_status!A:AE,2,FALSE)</f>
        <v>PENDING</v>
      </c>
      <c r="AI140" s="7">
        <v>45560</v>
      </c>
      <c r="AJ140" s="1" t="s">
        <v>7455</v>
      </c>
      <c r="AK140" s="7">
        <v>45560</v>
      </c>
      <c r="AL140" s="1" t="s">
        <v>7455</v>
      </c>
    </row>
    <row r="141" spans="1:38" s="20" customFormat="1" x14ac:dyDescent="0.3">
      <c r="A141" s="14">
        <v>140</v>
      </c>
      <c r="B141" s="14" t="str">
        <f>_xlfn.CONCAT(AE141,"-",VLOOKUP(AE141,t_objeto!B:D,3,FALSE),"-",A141)</f>
        <v>RMAT-PERCCO-140</v>
      </c>
      <c r="C141" s="22" t="str">
        <f t="shared" si="29"/>
        <v>LAMINA_LISA__ACERO_ROLADA EN FRIO_3'X8'_27</v>
      </c>
      <c r="D141" s="14" t="s">
        <v>7412</v>
      </c>
      <c r="E141" s="14" t="s">
        <v>7385</v>
      </c>
      <c r="F141" s="21" t="s">
        <v>7405</v>
      </c>
      <c r="G141" s="22" t="s">
        <v>7387</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7356</v>
      </c>
      <c r="AF141" s="1" t="str">
        <f>VLOOKUP(AE141,t_objeto!B:C,2,FALSE)</f>
        <v>RAW_MATERIAL</v>
      </c>
      <c r="AG141" s="1">
        <v>8</v>
      </c>
      <c r="AH141" s="1" t="str">
        <f>VLOOKUP(AG141,t_entry_status!A:AE,2,FALSE)</f>
        <v>PENDING</v>
      </c>
      <c r="AI141" s="7">
        <v>45560</v>
      </c>
      <c r="AJ141" s="1" t="s">
        <v>7455</v>
      </c>
      <c r="AK141" s="7">
        <v>45560</v>
      </c>
      <c r="AL141" s="1" t="s">
        <v>7455</v>
      </c>
    </row>
    <row r="142" spans="1:38" s="20" customFormat="1" x14ac:dyDescent="0.3">
      <c r="A142" s="14">
        <v>141</v>
      </c>
      <c r="B142" s="14" t="str">
        <f>_xlfn.CONCAT(AE142,"-",VLOOKUP(AE142,t_objeto!B:D,3,FALSE),"-",A142)</f>
        <v>RMAT-PERCCO-141</v>
      </c>
      <c r="C142" s="22" t="str">
        <f t="shared" si="29"/>
        <v>LAMINA_LISA__ACERO_ROLADA EN FRIO_3'X8'_28</v>
      </c>
      <c r="D142" s="14" t="s">
        <v>7412</v>
      </c>
      <c r="E142" s="14" t="s">
        <v>7385</v>
      </c>
      <c r="F142" s="21" t="s">
        <v>7405</v>
      </c>
      <c r="G142" s="22" t="s">
        <v>7387</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7356</v>
      </c>
      <c r="AF142" s="1" t="str">
        <f>VLOOKUP(AE142,t_objeto!B:C,2,FALSE)</f>
        <v>RAW_MATERIAL</v>
      </c>
      <c r="AG142" s="1">
        <v>8</v>
      </c>
      <c r="AH142" s="1" t="str">
        <f>VLOOKUP(AG142,t_entry_status!A:AE,2,FALSE)</f>
        <v>PENDING</v>
      </c>
      <c r="AI142" s="7">
        <v>45560</v>
      </c>
      <c r="AJ142" s="1" t="s">
        <v>7455</v>
      </c>
      <c r="AK142" s="7">
        <v>45560</v>
      </c>
      <c r="AL142" s="1" t="s">
        <v>7455</v>
      </c>
    </row>
    <row r="143" spans="1:38" s="20" customFormat="1" x14ac:dyDescent="0.3">
      <c r="A143" s="14">
        <v>142</v>
      </c>
      <c r="B143" s="14" t="str">
        <f>_xlfn.CONCAT(AE143,"-",VLOOKUP(AE143,t_objeto!B:D,3,FALSE),"-",A143)</f>
        <v>RMAT-PERCCO-142</v>
      </c>
      <c r="C143" s="22" t="str">
        <f t="shared" si="29"/>
        <v>LAMINA_LISA__ACERO_ROLADA EN FRIO_3'X8'_29</v>
      </c>
      <c r="D143" s="14" t="s">
        <v>7412</v>
      </c>
      <c r="E143" s="14" t="s">
        <v>7385</v>
      </c>
      <c r="F143" s="21" t="s">
        <v>7405</v>
      </c>
      <c r="G143" s="22" t="s">
        <v>7387</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7356</v>
      </c>
      <c r="AF143" s="1" t="str">
        <f>VLOOKUP(AE143,t_objeto!B:C,2,FALSE)</f>
        <v>RAW_MATERIAL</v>
      </c>
      <c r="AG143" s="1">
        <v>8</v>
      </c>
      <c r="AH143" s="1" t="str">
        <f>VLOOKUP(AG143,t_entry_status!A:AE,2,FALSE)</f>
        <v>PENDING</v>
      </c>
      <c r="AI143" s="7">
        <v>45560</v>
      </c>
      <c r="AJ143" s="1" t="s">
        <v>7455</v>
      </c>
      <c r="AK143" s="7">
        <v>45560</v>
      </c>
      <c r="AL143" s="1" t="s">
        <v>7455</v>
      </c>
    </row>
    <row r="144" spans="1:38" s="20" customFormat="1" x14ac:dyDescent="0.3">
      <c r="A144" s="14">
        <v>143</v>
      </c>
      <c r="B144" s="14" t="str">
        <f>_xlfn.CONCAT(AE144,"-",VLOOKUP(AE144,t_objeto!B:D,3,FALSE),"-",A144)</f>
        <v>RMAT-PERCCO-143</v>
      </c>
      <c r="C144" s="22" t="str">
        <f t="shared" si="29"/>
        <v>LAMINA_LISA__ACERO_ROLADA EN FRIO_3'X8'_30</v>
      </c>
      <c r="D144" s="14" t="s">
        <v>7412</v>
      </c>
      <c r="E144" s="14" t="s">
        <v>7385</v>
      </c>
      <c r="F144" s="21" t="s">
        <v>7405</v>
      </c>
      <c r="G144" s="22" t="s">
        <v>7387</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7356</v>
      </c>
      <c r="AF144" s="1" t="str">
        <f>VLOOKUP(AE144,t_objeto!B:C,2,FALSE)</f>
        <v>RAW_MATERIAL</v>
      </c>
      <c r="AG144" s="1">
        <v>8</v>
      </c>
      <c r="AH144" s="1" t="str">
        <f>VLOOKUP(AG144,t_entry_status!A:AE,2,FALSE)</f>
        <v>PENDING</v>
      </c>
      <c r="AI144" s="7">
        <v>45560</v>
      </c>
      <c r="AJ144" s="1" t="s">
        <v>7455</v>
      </c>
      <c r="AK144" s="7">
        <v>45560</v>
      </c>
      <c r="AL144" s="1" t="s">
        <v>7455</v>
      </c>
    </row>
    <row r="145" spans="1:38" s="20" customFormat="1" x14ac:dyDescent="0.3">
      <c r="A145" s="14">
        <v>144</v>
      </c>
      <c r="B145" s="14" t="str">
        <f>_xlfn.CONCAT(AE145,"-",VLOOKUP(AE145,t_objeto!B:D,3,FALSE),"-",A145)</f>
        <v>RMAT-PERCCO-144</v>
      </c>
      <c r="C145" s="22" t="str">
        <f t="shared" si="29"/>
        <v>LAMINA_LISA__INOX_304/316 L_3'X8'_10</v>
      </c>
      <c r="D145" s="14" t="s">
        <v>7412</v>
      </c>
      <c r="E145" s="14" t="s">
        <v>7408</v>
      </c>
      <c r="F145" s="21" t="s">
        <v>7409</v>
      </c>
      <c r="G145" s="22" t="s">
        <v>7387</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7356</v>
      </c>
      <c r="AF145" s="1" t="str">
        <f>VLOOKUP(AE145,t_objeto!B:C,2,FALSE)</f>
        <v>RAW_MATERIAL</v>
      </c>
      <c r="AG145" s="1">
        <v>8</v>
      </c>
      <c r="AH145" s="1" t="str">
        <f>VLOOKUP(AG145,t_entry_status!A:AE,2,FALSE)</f>
        <v>PENDING</v>
      </c>
      <c r="AI145" s="7">
        <v>45560</v>
      </c>
      <c r="AJ145" s="1" t="s">
        <v>7455</v>
      </c>
      <c r="AK145" s="7">
        <v>45560</v>
      </c>
      <c r="AL145" s="1" t="s">
        <v>7455</v>
      </c>
    </row>
    <row r="146" spans="1:38" s="20" customFormat="1" x14ac:dyDescent="0.3">
      <c r="A146" s="14">
        <v>145</v>
      </c>
      <c r="B146" s="14" t="str">
        <f>_xlfn.CONCAT(AE146,"-",VLOOKUP(AE146,t_objeto!B:D,3,FALSE),"-",A146)</f>
        <v>RMAT-PERCCO-145</v>
      </c>
      <c r="C146" s="22" t="str">
        <f t="shared" si="29"/>
        <v>LAMINA_LISA__INOX_304/316 L_3'X8'_11</v>
      </c>
      <c r="D146" s="14" t="s">
        <v>7412</v>
      </c>
      <c r="E146" s="14" t="s">
        <v>7408</v>
      </c>
      <c r="F146" s="21" t="s">
        <v>7409</v>
      </c>
      <c r="G146" s="22" t="s">
        <v>7387</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7356</v>
      </c>
      <c r="AF146" s="1" t="str">
        <f>VLOOKUP(AE146,t_objeto!B:C,2,FALSE)</f>
        <v>RAW_MATERIAL</v>
      </c>
      <c r="AG146" s="1">
        <v>8</v>
      </c>
      <c r="AH146" s="1" t="str">
        <f>VLOOKUP(AG146,t_entry_status!A:AE,2,FALSE)</f>
        <v>PENDING</v>
      </c>
      <c r="AI146" s="7">
        <v>45560</v>
      </c>
      <c r="AJ146" s="1" t="s">
        <v>7455</v>
      </c>
      <c r="AK146" s="7">
        <v>45560</v>
      </c>
      <c r="AL146" s="1" t="s">
        <v>7455</v>
      </c>
    </row>
    <row r="147" spans="1:38" s="20" customFormat="1" x14ac:dyDescent="0.3">
      <c r="A147" s="14">
        <v>146</v>
      </c>
      <c r="B147" s="14" t="str">
        <f>_xlfn.CONCAT(AE147,"-",VLOOKUP(AE147,t_objeto!B:D,3,FALSE),"-",A147)</f>
        <v>RMAT-PERCCO-146</v>
      </c>
      <c r="C147" s="22" t="str">
        <f t="shared" si="29"/>
        <v>LAMINA_LISA__INOX_304/316 L_3'X8'_12</v>
      </c>
      <c r="D147" s="14" t="s">
        <v>7412</v>
      </c>
      <c r="E147" s="14" t="s">
        <v>7408</v>
      </c>
      <c r="F147" s="21" t="s">
        <v>7409</v>
      </c>
      <c r="G147" s="22" t="s">
        <v>7387</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7356</v>
      </c>
      <c r="AF147" s="1" t="str">
        <f>VLOOKUP(AE147,t_objeto!B:C,2,FALSE)</f>
        <v>RAW_MATERIAL</v>
      </c>
      <c r="AG147" s="1">
        <v>8</v>
      </c>
      <c r="AH147" s="1" t="str">
        <f>VLOOKUP(AG147,t_entry_status!A:AE,2,FALSE)</f>
        <v>PENDING</v>
      </c>
      <c r="AI147" s="7">
        <v>45560</v>
      </c>
      <c r="AJ147" s="1" t="s">
        <v>7455</v>
      </c>
      <c r="AK147" s="7">
        <v>45560</v>
      </c>
      <c r="AL147" s="1" t="s">
        <v>7455</v>
      </c>
    </row>
    <row r="148" spans="1:38" s="20" customFormat="1" x14ac:dyDescent="0.3">
      <c r="A148" s="14">
        <v>147</v>
      </c>
      <c r="B148" s="14" t="str">
        <f>_xlfn.CONCAT(AE148,"-",VLOOKUP(AE148,t_objeto!B:D,3,FALSE),"-",A148)</f>
        <v>RMAT-PERCCO-147</v>
      </c>
      <c r="C148" s="22" t="str">
        <f t="shared" si="29"/>
        <v>LAMINA_LISA__INOX_304/316 L_3'X8'_13</v>
      </c>
      <c r="D148" s="14" t="s">
        <v>7412</v>
      </c>
      <c r="E148" s="14" t="s">
        <v>7408</v>
      </c>
      <c r="F148" s="21" t="s">
        <v>7409</v>
      </c>
      <c r="G148" s="22" t="s">
        <v>7387</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7356</v>
      </c>
      <c r="AF148" s="1" t="str">
        <f>VLOOKUP(AE148,t_objeto!B:C,2,FALSE)</f>
        <v>RAW_MATERIAL</v>
      </c>
      <c r="AG148" s="1">
        <v>8</v>
      </c>
      <c r="AH148" s="1" t="str">
        <f>VLOOKUP(AG148,t_entry_status!A:AE,2,FALSE)</f>
        <v>PENDING</v>
      </c>
      <c r="AI148" s="7">
        <v>45560</v>
      </c>
      <c r="AJ148" s="1" t="s">
        <v>7455</v>
      </c>
      <c r="AK148" s="7">
        <v>45560</v>
      </c>
      <c r="AL148" s="1" t="s">
        <v>7455</v>
      </c>
    </row>
    <row r="149" spans="1:38" s="20" customFormat="1" x14ac:dyDescent="0.3">
      <c r="A149" s="14">
        <v>148</v>
      </c>
      <c r="B149" s="14" t="str">
        <f>_xlfn.CONCAT(AE149,"-",VLOOKUP(AE149,t_objeto!B:D,3,FALSE),"-",A149)</f>
        <v>RMAT-PERCCO-148</v>
      </c>
      <c r="C149" s="22" t="str">
        <f t="shared" si="29"/>
        <v>LAMINA_LISA__INOX_304/316 L_3'X8'_14</v>
      </c>
      <c r="D149" s="14" t="s">
        <v>7412</v>
      </c>
      <c r="E149" s="14" t="s">
        <v>7408</v>
      </c>
      <c r="F149" s="21" t="s">
        <v>7409</v>
      </c>
      <c r="G149" s="22" t="s">
        <v>7387</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7356</v>
      </c>
      <c r="AF149" s="1" t="str">
        <f>VLOOKUP(AE149,t_objeto!B:C,2,FALSE)</f>
        <v>RAW_MATERIAL</v>
      </c>
      <c r="AG149" s="1">
        <v>8</v>
      </c>
      <c r="AH149" s="1" t="str">
        <f>VLOOKUP(AG149,t_entry_status!A:AE,2,FALSE)</f>
        <v>PENDING</v>
      </c>
      <c r="AI149" s="7">
        <v>45560</v>
      </c>
      <c r="AJ149" s="1" t="s">
        <v>7455</v>
      </c>
      <c r="AK149" s="7">
        <v>45560</v>
      </c>
      <c r="AL149" s="1" t="s">
        <v>7455</v>
      </c>
    </row>
    <row r="150" spans="1:38" s="20" customFormat="1" x14ac:dyDescent="0.3">
      <c r="A150" s="14">
        <v>149</v>
      </c>
      <c r="B150" s="14" t="str">
        <f>_xlfn.CONCAT(AE150,"-",VLOOKUP(AE150,t_objeto!B:D,3,FALSE),"-",A150)</f>
        <v>RMAT-PERCCO-149</v>
      </c>
      <c r="C150" s="22" t="str">
        <f t="shared" si="29"/>
        <v>LAMINA_LISA__INOX_304/316 L_3'X8'_15</v>
      </c>
      <c r="D150" s="14" t="s">
        <v>7412</v>
      </c>
      <c r="E150" s="14" t="s">
        <v>7408</v>
      </c>
      <c r="F150" s="21" t="s">
        <v>7409</v>
      </c>
      <c r="G150" s="22" t="s">
        <v>7387</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7356</v>
      </c>
      <c r="AF150" s="1" t="str">
        <f>VLOOKUP(AE150,t_objeto!B:C,2,FALSE)</f>
        <v>RAW_MATERIAL</v>
      </c>
      <c r="AG150" s="1">
        <v>8</v>
      </c>
      <c r="AH150" s="1" t="str">
        <f>VLOOKUP(AG150,t_entry_status!A:AE,2,FALSE)</f>
        <v>PENDING</v>
      </c>
      <c r="AI150" s="7">
        <v>45560</v>
      </c>
      <c r="AJ150" s="1" t="s">
        <v>7455</v>
      </c>
      <c r="AK150" s="7">
        <v>45560</v>
      </c>
      <c r="AL150" s="1" t="s">
        <v>7455</v>
      </c>
    </row>
    <row r="151" spans="1:38" s="20" customFormat="1" x14ac:dyDescent="0.3">
      <c r="A151" s="14">
        <v>150</v>
      </c>
      <c r="B151" s="14" t="str">
        <f>_xlfn.CONCAT(AE151,"-",VLOOKUP(AE151,t_objeto!B:D,3,FALSE),"-",A151)</f>
        <v>RMAT-PERCCO-150</v>
      </c>
      <c r="C151" s="22" t="str">
        <f t="shared" si="29"/>
        <v>LAMINA_LISA__INOX_304/316 L_3'X8'_16</v>
      </c>
      <c r="D151" s="14" t="s">
        <v>7412</v>
      </c>
      <c r="E151" s="14" t="s">
        <v>7408</v>
      </c>
      <c r="F151" s="21" t="s">
        <v>7409</v>
      </c>
      <c r="G151" s="22" t="s">
        <v>7387</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7356</v>
      </c>
      <c r="AF151" s="1" t="str">
        <f>VLOOKUP(AE151,t_objeto!B:C,2,FALSE)</f>
        <v>RAW_MATERIAL</v>
      </c>
      <c r="AG151" s="1">
        <v>8</v>
      </c>
      <c r="AH151" s="1" t="str">
        <f>VLOOKUP(AG151,t_entry_status!A:AE,2,FALSE)</f>
        <v>PENDING</v>
      </c>
      <c r="AI151" s="7">
        <v>45560</v>
      </c>
      <c r="AJ151" s="1" t="s">
        <v>7455</v>
      </c>
      <c r="AK151" s="7">
        <v>45560</v>
      </c>
      <c r="AL151" s="1" t="s">
        <v>7455</v>
      </c>
    </row>
    <row r="152" spans="1:38" s="20" customFormat="1" x14ac:dyDescent="0.3">
      <c r="A152" s="14">
        <v>151</v>
      </c>
      <c r="B152" s="14" t="str">
        <f>_xlfn.CONCAT(AE152,"-",VLOOKUP(AE152,t_objeto!B:D,3,FALSE),"-",A152)</f>
        <v>RMAT-PERCCO-151</v>
      </c>
      <c r="C152" s="22" t="str">
        <f t="shared" si="29"/>
        <v>LAMINA_LISA__INOX_304/316 L_3'X8'_17</v>
      </c>
      <c r="D152" s="14" t="s">
        <v>7412</v>
      </c>
      <c r="E152" s="14" t="s">
        <v>7408</v>
      </c>
      <c r="F152" s="21" t="s">
        <v>7409</v>
      </c>
      <c r="G152" s="22" t="s">
        <v>7387</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7356</v>
      </c>
      <c r="AF152" s="1" t="str">
        <f>VLOOKUP(AE152,t_objeto!B:C,2,FALSE)</f>
        <v>RAW_MATERIAL</v>
      </c>
      <c r="AG152" s="1">
        <v>8</v>
      </c>
      <c r="AH152" s="1" t="str">
        <f>VLOOKUP(AG152,t_entry_status!A:AE,2,FALSE)</f>
        <v>PENDING</v>
      </c>
      <c r="AI152" s="7">
        <v>45560</v>
      </c>
      <c r="AJ152" s="1" t="s">
        <v>7455</v>
      </c>
      <c r="AK152" s="7">
        <v>45560</v>
      </c>
      <c r="AL152" s="1" t="s">
        <v>7455</v>
      </c>
    </row>
    <row r="153" spans="1:38" s="20" customFormat="1" x14ac:dyDescent="0.3">
      <c r="A153" s="14">
        <v>152</v>
      </c>
      <c r="B153" s="14" t="str">
        <f>_xlfn.CONCAT(AE153,"-",VLOOKUP(AE153,t_objeto!B:D,3,FALSE),"-",A153)</f>
        <v>RMAT-PERCCO-152</v>
      </c>
      <c r="C153" s="22" t="str">
        <f t="shared" si="29"/>
        <v>LAMINA_LISA__INOX_304/316 L_3'X8'_18</v>
      </c>
      <c r="D153" s="14" t="s">
        <v>7412</v>
      </c>
      <c r="E153" s="14" t="s">
        <v>7408</v>
      </c>
      <c r="F153" s="21" t="s">
        <v>7409</v>
      </c>
      <c r="G153" s="22" t="s">
        <v>7387</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7356</v>
      </c>
      <c r="AF153" s="1" t="str">
        <f>VLOOKUP(AE153,t_objeto!B:C,2,FALSE)</f>
        <v>RAW_MATERIAL</v>
      </c>
      <c r="AG153" s="1">
        <v>8</v>
      </c>
      <c r="AH153" s="1" t="str">
        <f>VLOOKUP(AG153,t_entry_status!A:AE,2,FALSE)</f>
        <v>PENDING</v>
      </c>
      <c r="AI153" s="7">
        <v>45560</v>
      </c>
      <c r="AJ153" s="1" t="s">
        <v>7455</v>
      </c>
      <c r="AK153" s="7">
        <v>45560</v>
      </c>
      <c r="AL153" s="1" t="s">
        <v>7455</v>
      </c>
    </row>
    <row r="154" spans="1:38" s="20" customFormat="1" x14ac:dyDescent="0.3">
      <c r="A154" s="14">
        <v>153</v>
      </c>
      <c r="B154" s="14" t="str">
        <f>_xlfn.CONCAT(AE154,"-",VLOOKUP(AE154,t_objeto!B:D,3,FALSE),"-",A154)</f>
        <v>RMAT-PERCCO-153</v>
      </c>
      <c r="C154" s="22" t="str">
        <f t="shared" si="29"/>
        <v>LAMINA_LISA__INOX_304/316 L_3'X8'_19</v>
      </c>
      <c r="D154" s="14" t="s">
        <v>7412</v>
      </c>
      <c r="E154" s="14" t="s">
        <v>7408</v>
      </c>
      <c r="F154" s="21" t="s">
        <v>7409</v>
      </c>
      <c r="G154" s="22" t="s">
        <v>7387</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7356</v>
      </c>
      <c r="AF154" s="1" t="str">
        <f>VLOOKUP(AE154,t_objeto!B:C,2,FALSE)</f>
        <v>RAW_MATERIAL</v>
      </c>
      <c r="AG154" s="1">
        <v>8</v>
      </c>
      <c r="AH154" s="1" t="str">
        <f>VLOOKUP(AG154,t_entry_status!A:AE,2,FALSE)</f>
        <v>PENDING</v>
      </c>
      <c r="AI154" s="7">
        <v>45560</v>
      </c>
      <c r="AJ154" s="1" t="s">
        <v>7455</v>
      </c>
      <c r="AK154" s="7">
        <v>45560</v>
      </c>
      <c r="AL154" s="1" t="s">
        <v>7455</v>
      </c>
    </row>
    <row r="155" spans="1:38" s="20" customFormat="1" x14ac:dyDescent="0.3">
      <c r="A155" s="14">
        <v>154</v>
      </c>
      <c r="B155" s="14" t="str">
        <f>_xlfn.CONCAT(AE155,"-",VLOOKUP(AE155,t_objeto!B:D,3,FALSE),"-",A155)</f>
        <v>RMAT-PERCCO-154</v>
      </c>
      <c r="C155" s="22" t="str">
        <f t="shared" si="29"/>
        <v>LAMINA_LISA__INOX_304/316 L_3'X8'_20</v>
      </c>
      <c r="D155" s="14" t="s">
        <v>7412</v>
      </c>
      <c r="E155" s="14" t="s">
        <v>7408</v>
      </c>
      <c r="F155" s="21" t="s">
        <v>7409</v>
      </c>
      <c r="G155" s="22" t="s">
        <v>7387</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7356</v>
      </c>
      <c r="AF155" s="1" t="str">
        <f>VLOOKUP(AE155,t_objeto!B:C,2,FALSE)</f>
        <v>RAW_MATERIAL</v>
      </c>
      <c r="AG155" s="1">
        <v>8</v>
      </c>
      <c r="AH155" s="1" t="str">
        <f>VLOOKUP(AG155,t_entry_status!A:AE,2,FALSE)</f>
        <v>PENDING</v>
      </c>
      <c r="AI155" s="7">
        <v>45560</v>
      </c>
      <c r="AJ155" s="1" t="s">
        <v>7455</v>
      </c>
      <c r="AK155" s="7">
        <v>45560</v>
      </c>
      <c r="AL155" s="1" t="s">
        <v>7455</v>
      </c>
    </row>
    <row r="156" spans="1:38" s="20" customFormat="1" x14ac:dyDescent="0.3">
      <c r="A156" s="14">
        <v>155</v>
      </c>
      <c r="B156" s="14" t="str">
        <f>_xlfn.CONCAT(AE156,"-",VLOOKUP(AE156,t_objeto!B:D,3,FALSE),"-",A156)</f>
        <v>RMAT-PERCCO-155</v>
      </c>
      <c r="C156" s="22" t="str">
        <f t="shared" si="29"/>
        <v>LAMINA_LISA__INOX_304/316 L_3'X8'_21</v>
      </c>
      <c r="D156" s="14" t="s">
        <v>7412</v>
      </c>
      <c r="E156" s="14" t="s">
        <v>7408</v>
      </c>
      <c r="F156" s="21" t="s">
        <v>7409</v>
      </c>
      <c r="G156" s="22" t="s">
        <v>7387</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7356</v>
      </c>
      <c r="AF156" s="1" t="str">
        <f>VLOOKUP(AE156,t_objeto!B:C,2,FALSE)</f>
        <v>RAW_MATERIAL</v>
      </c>
      <c r="AG156" s="1">
        <v>8</v>
      </c>
      <c r="AH156" s="1" t="str">
        <f>VLOOKUP(AG156,t_entry_status!A:AE,2,FALSE)</f>
        <v>PENDING</v>
      </c>
      <c r="AI156" s="7">
        <v>45560</v>
      </c>
      <c r="AJ156" s="1" t="s">
        <v>7455</v>
      </c>
      <c r="AK156" s="7">
        <v>45560</v>
      </c>
      <c r="AL156" s="1" t="s">
        <v>7455</v>
      </c>
    </row>
    <row r="157" spans="1:38" s="20" customFormat="1" x14ac:dyDescent="0.3">
      <c r="A157" s="14">
        <v>156</v>
      </c>
      <c r="B157" s="14" t="str">
        <f>_xlfn.CONCAT(AE157,"-",VLOOKUP(AE157,t_objeto!B:D,3,FALSE),"-",A157)</f>
        <v>RMAT-PERCCO-156</v>
      </c>
      <c r="C157" s="22" t="str">
        <f t="shared" si="29"/>
        <v>LAMINA_LISA__INOX_304/316 L_3'X8'_22</v>
      </c>
      <c r="D157" s="14" t="s">
        <v>7412</v>
      </c>
      <c r="E157" s="14" t="s">
        <v>7408</v>
      </c>
      <c r="F157" s="21" t="s">
        <v>7409</v>
      </c>
      <c r="G157" s="22" t="s">
        <v>7387</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7356</v>
      </c>
      <c r="AF157" s="1" t="str">
        <f>VLOOKUP(AE157,t_objeto!B:C,2,FALSE)</f>
        <v>RAW_MATERIAL</v>
      </c>
      <c r="AG157" s="1">
        <v>8</v>
      </c>
      <c r="AH157" s="1" t="str">
        <f>VLOOKUP(AG157,t_entry_status!A:AE,2,FALSE)</f>
        <v>PENDING</v>
      </c>
      <c r="AI157" s="7">
        <v>45560</v>
      </c>
      <c r="AJ157" s="1" t="s">
        <v>7455</v>
      </c>
      <c r="AK157" s="7">
        <v>45560</v>
      </c>
      <c r="AL157" s="1" t="s">
        <v>7455</v>
      </c>
    </row>
    <row r="158" spans="1:38" s="20" customFormat="1" x14ac:dyDescent="0.3">
      <c r="A158" s="14">
        <v>157</v>
      </c>
      <c r="B158" s="14" t="str">
        <f>_xlfn.CONCAT(AE158,"-",VLOOKUP(AE158,t_objeto!B:D,3,FALSE),"-",A158)</f>
        <v>RMAT-PERCCO-157</v>
      </c>
      <c r="C158" s="22" t="str">
        <f t="shared" si="29"/>
        <v>LAMINA_LISA__INOX_304/316 L_3'X8'_23</v>
      </c>
      <c r="D158" s="14" t="s">
        <v>7412</v>
      </c>
      <c r="E158" s="14" t="s">
        <v>7408</v>
      </c>
      <c r="F158" s="21" t="s">
        <v>7409</v>
      </c>
      <c r="G158" s="22" t="s">
        <v>7387</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7356</v>
      </c>
      <c r="AF158" s="1" t="str">
        <f>VLOOKUP(AE158,t_objeto!B:C,2,FALSE)</f>
        <v>RAW_MATERIAL</v>
      </c>
      <c r="AG158" s="1">
        <v>8</v>
      </c>
      <c r="AH158" s="1" t="str">
        <f>VLOOKUP(AG158,t_entry_status!A:AE,2,FALSE)</f>
        <v>PENDING</v>
      </c>
      <c r="AI158" s="7">
        <v>45560</v>
      </c>
      <c r="AJ158" s="1" t="s">
        <v>7455</v>
      </c>
      <c r="AK158" s="7">
        <v>45560</v>
      </c>
      <c r="AL158" s="1" t="s">
        <v>7455</v>
      </c>
    </row>
    <row r="159" spans="1:38" s="20" customFormat="1" x14ac:dyDescent="0.3">
      <c r="A159" s="14">
        <v>158</v>
      </c>
      <c r="B159" s="14" t="str">
        <f>_xlfn.CONCAT(AE159,"-",VLOOKUP(AE159,t_objeto!B:D,3,FALSE),"-",A159)</f>
        <v>RMAT-PERCCO-158</v>
      </c>
      <c r="C159" s="22" t="str">
        <f t="shared" si="29"/>
        <v>LAMINA_LISA__INOX_304/316 L_3'X8'_24</v>
      </c>
      <c r="D159" s="14" t="s">
        <v>7412</v>
      </c>
      <c r="E159" s="14" t="s">
        <v>7408</v>
      </c>
      <c r="F159" s="21" t="s">
        <v>7409</v>
      </c>
      <c r="G159" s="22" t="s">
        <v>7387</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7356</v>
      </c>
      <c r="AF159" s="1" t="str">
        <f>VLOOKUP(AE159,t_objeto!B:C,2,FALSE)</f>
        <v>RAW_MATERIAL</v>
      </c>
      <c r="AG159" s="1">
        <v>8</v>
      </c>
      <c r="AH159" s="1" t="str">
        <f>VLOOKUP(AG159,t_entry_status!A:AE,2,FALSE)</f>
        <v>PENDING</v>
      </c>
      <c r="AI159" s="7">
        <v>45560</v>
      </c>
      <c r="AJ159" s="1" t="s">
        <v>7455</v>
      </c>
      <c r="AK159" s="7">
        <v>45560</v>
      </c>
      <c r="AL159" s="1" t="s">
        <v>7455</v>
      </c>
    </row>
    <row r="160" spans="1:38" s="20" customFormat="1" x14ac:dyDescent="0.3">
      <c r="A160" s="14">
        <v>159</v>
      </c>
      <c r="B160" s="14" t="str">
        <f>_xlfn.CONCAT(AE160,"-",VLOOKUP(AE160,t_objeto!B:D,3,FALSE),"-",A160)</f>
        <v>RMAT-PERCCO-159</v>
      </c>
      <c r="C160" s="22" t="str">
        <f t="shared" si="29"/>
        <v>LAMINA_LISA__INOX_304/316 L_3'X8'_25</v>
      </c>
      <c r="D160" s="14" t="s">
        <v>7412</v>
      </c>
      <c r="E160" s="14" t="s">
        <v>7408</v>
      </c>
      <c r="F160" s="21" t="s">
        <v>7409</v>
      </c>
      <c r="G160" s="22" t="s">
        <v>7387</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7356</v>
      </c>
      <c r="AF160" s="1" t="str">
        <f>VLOOKUP(AE160,t_objeto!B:C,2,FALSE)</f>
        <v>RAW_MATERIAL</v>
      </c>
      <c r="AG160" s="1">
        <v>8</v>
      </c>
      <c r="AH160" s="1" t="str">
        <f>VLOOKUP(AG160,t_entry_status!A:AE,2,FALSE)</f>
        <v>PENDING</v>
      </c>
      <c r="AI160" s="7">
        <v>45560</v>
      </c>
      <c r="AJ160" s="1" t="s">
        <v>7455</v>
      </c>
      <c r="AK160" s="7">
        <v>45560</v>
      </c>
      <c r="AL160" s="1" t="s">
        <v>7455</v>
      </c>
    </row>
    <row r="161" spans="1:38" s="20" customFormat="1" x14ac:dyDescent="0.3">
      <c r="A161" s="14">
        <v>160</v>
      </c>
      <c r="B161" s="14" t="str">
        <f>_xlfn.CONCAT(AE161,"-",VLOOKUP(AE161,t_objeto!B:D,3,FALSE),"-",A161)</f>
        <v>RMAT-PERCCO-160</v>
      </c>
      <c r="C161" s="22" t="str">
        <f t="shared" si="29"/>
        <v>LAMINA_LISA__INOX_304/316 L_3'X8'_26</v>
      </c>
      <c r="D161" s="14" t="s">
        <v>7412</v>
      </c>
      <c r="E161" s="14" t="s">
        <v>7408</v>
      </c>
      <c r="F161" s="21" t="s">
        <v>7409</v>
      </c>
      <c r="G161" s="22" t="s">
        <v>7387</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7356</v>
      </c>
      <c r="AF161" s="1" t="str">
        <f>VLOOKUP(AE161,t_objeto!B:C,2,FALSE)</f>
        <v>RAW_MATERIAL</v>
      </c>
      <c r="AG161" s="1">
        <v>8</v>
      </c>
      <c r="AH161" s="1" t="str">
        <f>VLOOKUP(AG161,t_entry_status!A:AE,2,FALSE)</f>
        <v>PENDING</v>
      </c>
      <c r="AI161" s="7">
        <v>45560</v>
      </c>
      <c r="AJ161" s="1" t="s">
        <v>7455</v>
      </c>
      <c r="AK161" s="7">
        <v>45560</v>
      </c>
      <c r="AL161" s="1" t="s">
        <v>7455</v>
      </c>
    </row>
    <row r="162" spans="1:38" s="20" customFormat="1" x14ac:dyDescent="0.3">
      <c r="A162" s="14">
        <v>161</v>
      </c>
      <c r="B162" s="14" t="str">
        <f>_xlfn.CONCAT(AE162,"-",VLOOKUP(AE162,t_objeto!B:D,3,FALSE),"-",A162)</f>
        <v>RMAT-PERCCO-161</v>
      </c>
      <c r="C162" s="22" t="str">
        <f t="shared" si="29"/>
        <v>LAMINA_LISA__ACERO_GALVANIZADA_3'X10'_10</v>
      </c>
      <c r="D162" s="14" t="s">
        <v>7412</v>
      </c>
      <c r="E162" s="14" t="s">
        <v>7385</v>
      </c>
      <c r="F162" s="21" t="s">
        <v>7386</v>
      </c>
      <c r="G162" s="22" t="s">
        <v>7387</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7356</v>
      </c>
      <c r="AF162" s="1" t="str">
        <f>VLOOKUP(AE162,t_objeto!B:C,2,FALSE)</f>
        <v>RAW_MATERIAL</v>
      </c>
      <c r="AG162" s="1">
        <v>8</v>
      </c>
      <c r="AH162" s="1" t="str">
        <f>VLOOKUP(AG162,t_entry_status!A:AE,2,FALSE)</f>
        <v>PENDING</v>
      </c>
      <c r="AI162" s="7">
        <v>45560</v>
      </c>
      <c r="AJ162" s="1" t="s">
        <v>7455</v>
      </c>
      <c r="AK162" s="7">
        <v>45560</v>
      </c>
      <c r="AL162" s="1" t="s">
        <v>7455</v>
      </c>
    </row>
    <row r="163" spans="1:38" s="20" customFormat="1" x14ac:dyDescent="0.3">
      <c r="A163" s="14">
        <v>162</v>
      </c>
      <c r="B163" s="14" t="str">
        <f>_xlfn.CONCAT(AE163,"-",VLOOKUP(AE163,t_objeto!B:D,3,FALSE),"-",A163)</f>
        <v>RMAT-PERCCO-162</v>
      </c>
      <c r="C163" s="22" t="str">
        <f t="shared" si="29"/>
        <v>LAMINA_LISA__ACERO_GALVANIZADA_3'X10'_11</v>
      </c>
      <c r="D163" s="14" t="s">
        <v>7412</v>
      </c>
      <c r="E163" s="14" t="s">
        <v>7385</v>
      </c>
      <c r="F163" s="21" t="s">
        <v>7386</v>
      </c>
      <c r="G163" s="22" t="s">
        <v>7387</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7356</v>
      </c>
      <c r="AF163" s="1" t="str">
        <f>VLOOKUP(AE163,t_objeto!B:C,2,FALSE)</f>
        <v>RAW_MATERIAL</v>
      </c>
      <c r="AG163" s="1">
        <v>8</v>
      </c>
      <c r="AH163" s="1" t="str">
        <f>VLOOKUP(AG163,t_entry_status!A:AE,2,FALSE)</f>
        <v>PENDING</v>
      </c>
      <c r="AI163" s="7">
        <v>45560</v>
      </c>
      <c r="AJ163" s="1" t="s">
        <v>7455</v>
      </c>
      <c r="AK163" s="7">
        <v>45560</v>
      </c>
      <c r="AL163" s="1" t="s">
        <v>7455</v>
      </c>
    </row>
    <row r="164" spans="1:38" s="20" customFormat="1" x14ac:dyDescent="0.3">
      <c r="A164" s="14">
        <v>163</v>
      </c>
      <c r="B164" s="14" t="str">
        <f>_xlfn.CONCAT(AE164,"-",VLOOKUP(AE164,t_objeto!B:D,3,FALSE),"-",A164)</f>
        <v>RMAT-PERCCO-163</v>
      </c>
      <c r="C164" s="22" t="str">
        <f t="shared" si="29"/>
        <v>LAMINA_LISA__ACERO_GALVANIZADA_3'X10'_12</v>
      </c>
      <c r="D164" s="14" t="s">
        <v>7412</v>
      </c>
      <c r="E164" s="14" t="s">
        <v>7385</v>
      </c>
      <c r="F164" s="21" t="s">
        <v>7386</v>
      </c>
      <c r="G164" s="22" t="s">
        <v>7387</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7356</v>
      </c>
      <c r="AF164" s="1" t="str">
        <f>VLOOKUP(AE164,t_objeto!B:C,2,FALSE)</f>
        <v>RAW_MATERIAL</v>
      </c>
      <c r="AG164" s="1">
        <v>8</v>
      </c>
      <c r="AH164" s="1" t="str">
        <f>VLOOKUP(AG164,t_entry_status!A:AE,2,FALSE)</f>
        <v>PENDING</v>
      </c>
      <c r="AI164" s="7">
        <v>45560</v>
      </c>
      <c r="AJ164" s="1" t="s">
        <v>7455</v>
      </c>
      <c r="AK164" s="7">
        <v>45560</v>
      </c>
      <c r="AL164" s="1" t="s">
        <v>7455</v>
      </c>
    </row>
    <row r="165" spans="1:38" s="20" customFormat="1" x14ac:dyDescent="0.3">
      <c r="A165" s="14">
        <v>164</v>
      </c>
      <c r="B165" s="14" t="str">
        <f>_xlfn.CONCAT(AE165,"-",VLOOKUP(AE165,t_objeto!B:D,3,FALSE),"-",A165)</f>
        <v>RMAT-PERCCO-164</v>
      </c>
      <c r="C165" s="22" t="str">
        <f t="shared" si="29"/>
        <v>LAMINA_LISA__ACERO_GALVANIZADA_3'X10'_13</v>
      </c>
      <c r="D165" s="14" t="s">
        <v>7412</v>
      </c>
      <c r="E165" s="14" t="s">
        <v>7385</v>
      </c>
      <c r="F165" s="21" t="s">
        <v>7386</v>
      </c>
      <c r="G165" s="22" t="s">
        <v>7387</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7356</v>
      </c>
      <c r="AF165" s="1" t="str">
        <f>VLOOKUP(AE165,t_objeto!B:C,2,FALSE)</f>
        <v>RAW_MATERIAL</v>
      </c>
      <c r="AG165" s="1">
        <v>8</v>
      </c>
      <c r="AH165" s="1" t="str">
        <f>VLOOKUP(AG165,t_entry_status!A:AE,2,FALSE)</f>
        <v>PENDING</v>
      </c>
      <c r="AI165" s="7">
        <v>45560</v>
      </c>
      <c r="AJ165" s="1" t="s">
        <v>7455</v>
      </c>
      <c r="AK165" s="7">
        <v>45560</v>
      </c>
      <c r="AL165" s="1" t="s">
        <v>7455</v>
      </c>
    </row>
    <row r="166" spans="1:38" s="20" customFormat="1" ht="18" x14ac:dyDescent="0.35">
      <c r="A166" s="14">
        <v>165</v>
      </c>
      <c r="B166" s="14" t="str">
        <f>_xlfn.CONCAT(AE166,"-",VLOOKUP(AE166,t_objeto!B:D,3,FALSE),"-",A166)</f>
        <v>RMAT-PERCCO-165</v>
      </c>
      <c r="C166" s="22" t="str">
        <f t="shared" si="29"/>
        <v>LAMINA_LISA__ACERO_GALVANIZADA_3'X10'_14</v>
      </c>
      <c r="D166" s="14" t="s">
        <v>7412</v>
      </c>
      <c r="E166" s="14" t="s">
        <v>7385</v>
      </c>
      <c r="F166" s="21" t="s">
        <v>7386</v>
      </c>
      <c r="G166" s="22" t="s">
        <v>7387</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7356</v>
      </c>
      <c r="AF166" s="1" t="str">
        <f>VLOOKUP(AE166,t_objeto!B:C,2,FALSE)</f>
        <v>RAW_MATERIAL</v>
      </c>
      <c r="AG166" s="1">
        <v>8</v>
      </c>
      <c r="AH166" s="1" t="str">
        <f>VLOOKUP(AG166,t_entry_status!A:AE,2,FALSE)</f>
        <v>PENDING</v>
      </c>
      <c r="AI166" s="7">
        <v>45560</v>
      </c>
      <c r="AJ166" s="1" t="s">
        <v>7455</v>
      </c>
      <c r="AK166" s="7">
        <v>45560</v>
      </c>
      <c r="AL166" s="1" t="s">
        <v>7455</v>
      </c>
    </row>
    <row r="167" spans="1:38" s="20" customFormat="1" x14ac:dyDescent="0.3">
      <c r="A167" s="14">
        <v>166</v>
      </c>
      <c r="B167" s="14" t="str">
        <f>_xlfn.CONCAT(AE167,"-",VLOOKUP(AE167,t_objeto!B:D,3,FALSE),"-",A167)</f>
        <v>RMAT-PERCCO-166</v>
      </c>
      <c r="C167" s="22" t="str">
        <f t="shared" si="29"/>
        <v>LAMINA_LISA__ACERO_GALVANIZADA_3'X10'_15</v>
      </c>
      <c r="D167" s="14" t="s">
        <v>7412</v>
      </c>
      <c r="E167" s="14" t="s">
        <v>7385</v>
      </c>
      <c r="F167" s="21" t="s">
        <v>7386</v>
      </c>
      <c r="G167" s="22" t="s">
        <v>7387</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7356</v>
      </c>
      <c r="AF167" s="1" t="str">
        <f>VLOOKUP(AE167,t_objeto!B:C,2,FALSE)</f>
        <v>RAW_MATERIAL</v>
      </c>
      <c r="AG167" s="1">
        <v>8</v>
      </c>
      <c r="AH167" s="1" t="str">
        <f>VLOOKUP(AG167,t_entry_status!A:AE,2,FALSE)</f>
        <v>PENDING</v>
      </c>
      <c r="AI167" s="7">
        <v>45560</v>
      </c>
      <c r="AJ167" s="1" t="s">
        <v>7455</v>
      </c>
      <c r="AK167" s="7">
        <v>45560</v>
      </c>
      <c r="AL167" s="1" t="s">
        <v>7455</v>
      </c>
    </row>
    <row r="168" spans="1:38" s="20" customFormat="1" x14ac:dyDescent="0.3">
      <c r="A168" s="14">
        <v>167</v>
      </c>
      <c r="B168" s="14" t="str">
        <f>_xlfn.CONCAT(AE168,"-",VLOOKUP(AE168,t_objeto!B:D,3,FALSE),"-",A168)</f>
        <v>RMAT-PERCCO-167</v>
      </c>
      <c r="C168" s="22" t="str">
        <f t="shared" si="29"/>
        <v>LAMINA_LISA__ACERO_GALVANIZADA_3'X10'_16</v>
      </c>
      <c r="D168" s="14" t="s">
        <v>7412</v>
      </c>
      <c r="E168" s="14" t="s">
        <v>7385</v>
      </c>
      <c r="F168" s="21" t="s">
        <v>7386</v>
      </c>
      <c r="G168" s="22" t="s">
        <v>7387</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7356</v>
      </c>
      <c r="AF168" s="1" t="str">
        <f>VLOOKUP(AE168,t_objeto!B:C,2,FALSE)</f>
        <v>RAW_MATERIAL</v>
      </c>
      <c r="AG168" s="1">
        <v>8</v>
      </c>
      <c r="AH168" s="1" t="str">
        <f>VLOOKUP(AG168,t_entry_status!A:AE,2,FALSE)</f>
        <v>PENDING</v>
      </c>
      <c r="AI168" s="7">
        <v>45560</v>
      </c>
      <c r="AJ168" s="1" t="s">
        <v>7455</v>
      </c>
      <c r="AK168" s="7">
        <v>45560</v>
      </c>
      <c r="AL168" s="1" t="s">
        <v>7455</v>
      </c>
    </row>
    <row r="169" spans="1:38" s="20" customFormat="1" x14ac:dyDescent="0.3">
      <c r="A169" s="14">
        <v>168</v>
      </c>
      <c r="B169" s="14" t="str">
        <f>_xlfn.CONCAT(AE169,"-",VLOOKUP(AE169,t_objeto!B:D,3,FALSE),"-",A169)</f>
        <v>RMAT-PERCCO-168</v>
      </c>
      <c r="C169" s="22" t="str">
        <f t="shared" si="29"/>
        <v>LAMINA_LISA__ACERO_GALVANIZADA_3'X10'_17</v>
      </c>
      <c r="D169" s="14" t="s">
        <v>7412</v>
      </c>
      <c r="E169" s="14" t="s">
        <v>7385</v>
      </c>
      <c r="F169" s="21" t="s">
        <v>7386</v>
      </c>
      <c r="G169" s="22" t="s">
        <v>7387</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7356</v>
      </c>
      <c r="AF169" s="1" t="str">
        <f>VLOOKUP(AE169,t_objeto!B:C,2,FALSE)</f>
        <v>RAW_MATERIAL</v>
      </c>
      <c r="AG169" s="1">
        <v>8</v>
      </c>
      <c r="AH169" s="1" t="str">
        <f>VLOOKUP(AG169,t_entry_status!A:AE,2,FALSE)</f>
        <v>PENDING</v>
      </c>
      <c r="AI169" s="7">
        <v>45560</v>
      </c>
      <c r="AJ169" s="1" t="s">
        <v>7455</v>
      </c>
      <c r="AK169" s="7">
        <v>45560</v>
      </c>
      <c r="AL169" s="1" t="s">
        <v>7455</v>
      </c>
    </row>
    <row r="170" spans="1:38" s="20" customFormat="1" x14ac:dyDescent="0.3">
      <c r="A170" s="14">
        <v>169</v>
      </c>
      <c r="B170" s="14" t="str">
        <f>_xlfn.CONCAT(AE170,"-",VLOOKUP(AE170,t_objeto!B:D,3,FALSE),"-",A170)</f>
        <v>RMAT-PERCCO-169</v>
      </c>
      <c r="C170" s="22" t="str">
        <f t="shared" si="29"/>
        <v>LAMINA_LISA__ACERO_GALVANIZADA_3'X10'_18</v>
      </c>
      <c r="D170" s="14" t="s">
        <v>7412</v>
      </c>
      <c r="E170" s="14" t="s">
        <v>7385</v>
      </c>
      <c r="F170" s="21" t="s">
        <v>7386</v>
      </c>
      <c r="G170" s="22" t="s">
        <v>7387</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7356</v>
      </c>
      <c r="AF170" s="1" t="str">
        <f>VLOOKUP(AE170,t_objeto!B:C,2,FALSE)</f>
        <v>RAW_MATERIAL</v>
      </c>
      <c r="AG170" s="1">
        <v>8</v>
      </c>
      <c r="AH170" s="1" t="str">
        <f>VLOOKUP(AG170,t_entry_status!A:AE,2,FALSE)</f>
        <v>PENDING</v>
      </c>
      <c r="AI170" s="7">
        <v>45560</v>
      </c>
      <c r="AJ170" s="1" t="s">
        <v>7455</v>
      </c>
      <c r="AK170" s="7">
        <v>45560</v>
      </c>
      <c r="AL170" s="1" t="s">
        <v>7455</v>
      </c>
    </row>
    <row r="171" spans="1:38" s="20" customFormat="1" x14ac:dyDescent="0.3">
      <c r="A171" s="14">
        <v>170</v>
      </c>
      <c r="B171" s="14" t="str">
        <f>_xlfn.CONCAT(AE171,"-",VLOOKUP(AE171,t_objeto!B:D,3,FALSE),"-",A171)</f>
        <v>RMAT-PERCCO-170</v>
      </c>
      <c r="C171" s="22" t="str">
        <f t="shared" si="29"/>
        <v>LAMINA_LISA__ACERO_GALVANIZADA_3'X10'_19</v>
      </c>
      <c r="D171" s="14" t="s">
        <v>7412</v>
      </c>
      <c r="E171" s="14" t="s">
        <v>7385</v>
      </c>
      <c r="F171" s="21" t="s">
        <v>7386</v>
      </c>
      <c r="G171" s="22" t="s">
        <v>7387</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7356</v>
      </c>
      <c r="AF171" s="1" t="str">
        <f>VLOOKUP(AE171,t_objeto!B:C,2,FALSE)</f>
        <v>RAW_MATERIAL</v>
      </c>
      <c r="AG171" s="1">
        <v>8</v>
      </c>
      <c r="AH171" s="1" t="str">
        <f>VLOOKUP(AG171,t_entry_status!A:AE,2,FALSE)</f>
        <v>PENDING</v>
      </c>
      <c r="AI171" s="7">
        <v>45560</v>
      </c>
      <c r="AJ171" s="1" t="s">
        <v>7455</v>
      </c>
      <c r="AK171" s="7">
        <v>45560</v>
      </c>
      <c r="AL171" s="1" t="s">
        <v>7455</v>
      </c>
    </row>
    <row r="172" spans="1:38" s="20" customFormat="1" x14ac:dyDescent="0.3">
      <c r="A172" s="14">
        <v>171</v>
      </c>
      <c r="B172" s="14" t="str">
        <f>_xlfn.CONCAT(AE172,"-",VLOOKUP(AE172,t_objeto!B:D,3,FALSE),"-",A172)</f>
        <v>RMAT-PERCCO-171</v>
      </c>
      <c r="C172" s="22" t="str">
        <f t="shared" si="29"/>
        <v>LAMINA_LISA__ACERO_GALVANIZADA_3'X10'_20</v>
      </c>
      <c r="D172" s="14" t="s">
        <v>7412</v>
      </c>
      <c r="E172" s="14" t="s">
        <v>7385</v>
      </c>
      <c r="F172" s="21" t="s">
        <v>7386</v>
      </c>
      <c r="G172" s="22" t="s">
        <v>7387</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7356</v>
      </c>
      <c r="AF172" s="1" t="str">
        <f>VLOOKUP(AE172,t_objeto!B:C,2,FALSE)</f>
        <v>RAW_MATERIAL</v>
      </c>
      <c r="AG172" s="1">
        <v>8</v>
      </c>
      <c r="AH172" s="1" t="str">
        <f>VLOOKUP(AG172,t_entry_status!A:AE,2,FALSE)</f>
        <v>PENDING</v>
      </c>
      <c r="AI172" s="7">
        <v>45560</v>
      </c>
      <c r="AJ172" s="1" t="s">
        <v>7455</v>
      </c>
      <c r="AK172" s="7">
        <v>45560</v>
      </c>
      <c r="AL172" s="1" t="s">
        <v>7455</v>
      </c>
    </row>
    <row r="173" spans="1:38" s="20" customFormat="1" x14ac:dyDescent="0.3">
      <c r="A173" s="14">
        <v>172</v>
      </c>
      <c r="B173" s="14" t="str">
        <f>_xlfn.CONCAT(AE173,"-",VLOOKUP(AE173,t_objeto!B:D,3,FALSE),"-",A173)</f>
        <v>RMAT-PERCCO-172</v>
      </c>
      <c r="C173" s="22" t="str">
        <f t="shared" si="29"/>
        <v>LAMINA_LISA__ACERO_GALVANIZADA_3'X10'_21</v>
      </c>
      <c r="D173" s="14" t="s">
        <v>7412</v>
      </c>
      <c r="E173" s="14" t="s">
        <v>7385</v>
      </c>
      <c r="F173" s="21" t="s">
        <v>7386</v>
      </c>
      <c r="G173" s="22" t="s">
        <v>7387</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7356</v>
      </c>
      <c r="AF173" s="1" t="str">
        <f>VLOOKUP(AE173,t_objeto!B:C,2,FALSE)</f>
        <v>RAW_MATERIAL</v>
      </c>
      <c r="AG173" s="1">
        <v>8</v>
      </c>
      <c r="AH173" s="1" t="str">
        <f>VLOOKUP(AG173,t_entry_status!A:AE,2,FALSE)</f>
        <v>PENDING</v>
      </c>
      <c r="AI173" s="7">
        <v>45560</v>
      </c>
      <c r="AJ173" s="1" t="s">
        <v>7455</v>
      </c>
      <c r="AK173" s="7">
        <v>45560</v>
      </c>
      <c r="AL173" s="1" t="s">
        <v>7455</v>
      </c>
    </row>
    <row r="174" spans="1:38" s="20" customFormat="1" x14ac:dyDescent="0.3">
      <c r="A174" s="14">
        <v>173</v>
      </c>
      <c r="B174" s="14" t="str">
        <f>_xlfn.CONCAT(AE174,"-",VLOOKUP(AE174,t_objeto!B:D,3,FALSE),"-",A174)</f>
        <v>RMAT-PERCCO-173</v>
      </c>
      <c r="C174" s="22" t="str">
        <f t="shared" si="29"/>
        <v>LAMINA_LISA__ACERO_GALVANIZADA_3'X10'_22</v>
      </c>
      <c r="D174" s="14" t="s">
        <v>7412</v>
      </c>
      <c r="E174" s="14" t="s">
        <v>7385</v>
      </c>
      <c r="F174" s="21" t="s">
        <v>7386</v>
      </c>
      <c r="G174" s="22" t="s">
        <v>7387</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7356</v>
      </c>
      <c r="AF174" s="1" t="str">
        <f>VLOOKUP(AE174,t_objeto!B:C,2,FALSE)</f>
        <v>RAW_MATERIAL</v>
      </c>
      <c r="AG174" s="1">
        <v>8</v>
      </c>
      <c r="AH174" s="1" t="str">
        <f>VLOOKUP(AG174,t_entry_status!A:AE,2,FALSE)</f>
        <v>PENDING</v>
      </c>
      <c r="AI174" s="7">
        <v>45560</v>
      </c>
      <c r="AJ174" s="1" t="s">
        <v>7455</v>
      </c>
      <c r="AK174" s="7">
        <v>45560</v>
      </c>
      <c r="AL174" s="1" t="s">
        <v>7455</v>
      </c>
    </row>
    <row r="175" spans="1:38" s="20" customFormat="1" x14ac:dyDescent="0.3">
      <c r="A175" s="14">
        <v>174</v>
      </c>
      <c r="B175" s="14" t="str">
        <f>_xlfn.CONCAT(AE175,"-",VLOOKUP(AE175,t_objeto!B:D,3,FALSE),"-",A175)</f>
        <v>RMAT-PERCCO-174</v>
      </c>
      <c r="C175" s="22" t="str">
        <f t="shared" si="29"/>
        <v>LAMINA_LISA__ACERO_GALVANIZADA_3'X10'_23</v>
      </c>
      <c r="D175" s="14" t="s">
        <v>7412</v>
      </c>
      <c r="E175" s="14" t="s">
        <v>7385</v>
      </c>
      <c r="F175" s="21" t="s">
        <v>7386</v>
      </c>
      <c r="G175" s="22" t="s">
        <v>7387</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7356</v>
      </c>
      <c r="AF175" s="1" t="str">
        <f>VLOOKUP(AE175,t_objeto!B:C,2,FALSE)</f>
        <v>RAW_MATERIAL</v>
      </c>
      <c r="AG175" s="1">
        <v>8</v>
      </c>
      <c r="AH175" s="1" t="str">
        <f>VLOOKUP(AG175,t_entry_status!A:AE,2,FALSE)</f>
        <v>PENDING</v>
      </c>
      <c r="AI175" s="7">
        <v>45560</v>
      </c>
      <c r="AJ175" s="1" t="s">
        <v>7455</v>
      </c>
      <c r="AK175" s="7">
        <v>45560</v>
      </c>
      <c r="AL175" s="1" t="s">
        <v>7455</v>
      </c>
    </row>
    <row r="176" spans="1:38" s="20" customFormat="1" x14ac:dyDescent="0.3">
      <c r="A176" s="14">
        <v>175</v>
      </c>
      <c r="B176" s="14" t="str">
        <f>_xlfn.CONCAT(AE176,"-",VLOOKUP(AE176,t_objeto!B:D,3,FALSE),"-",A176)</f>
        <v>RMAT-PERCCO-175</v>
      </c>
      <c r="C176" s="22" t="str">
        <f t="shared" si="29"/>
        <v>LAMINA_LISA__ACERO_GALVANIZADA_3'X10'_24</v>
      </c>
      <c r="D176" s="14" t="s">
        <v>7412</v>
      </c>
      <c r="E176" s="14" t="s">
        <v>7385</v>
      </c>
      <c r="F176" s="21" t="s">
        <v>7386</v>
      </c>
      <c r="G176" s="22" t="s">
        <v>7387</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7356</v>
      </c>
      <c r="AF176" s="1" t="str">
        <f>VLOOKUP(AE176,t_objeto!B:C,2,FALSE)</f>
        <v>RAW_MATERIAL</v>
      </c>
      <c r="AG176" s="1">
        <v>8</v>
      </c>
      <c r="AH176" s="1" t="str">
        <f>VLOOKUP(AG176,t_entry_status!A:AE,2,FALSE)</f>
        <v>PENDING</v>
      </c>
      <c r="AI176" s="7">
        <v>45560</v>
      </c>
      <c r="AJ176" s="1" t="s">
        <v>7455</v>
      </c>
      <c r="AK176" s="7">
        <v>45560</v>
      </c>
      <c r="AL176" s="1" t="s">
        <v>7455</v>
      </c>
    </row>
    <row r="177" spans="1:38" s="20" customFormat="1" x14ac:dyDescent="0.3">
      <c r="A177" s="14">
        <v>176</v>
      </c>
      <c r="B177" s="14" t="str">
        <f>_xlfn.CONCAT(AE177,"-",VLOOKUP(AE177,t_objeto!B:D,3,FALSE),"-",A177)</f>
        <v>RMAT-PERCCO-176</v>
      </c>
      <c r="C177" s="22" t="str">
        <f t="shared" si="29"/>
        <v>LAMINA_LISA__ACERO_GALVANIZADA_3'X10'_25</v>
      </c>
      <c r="D177" s="14" t="s">
        <v>7412</v>
      </c>
      <c r="E177" s="14" t="s">
        <v>7385</v>
      </c>
      <c r="F177" s="21" t="s">
        <v>7386</v>
      </c>
      <c r="G177" s="22" t="s">
        <v>7387</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7356</v>
      </c>
      <c r="AF177" s="1" t="str">
        <f>VLOOKUP(AE177,t_objeto!B:C,2,FALSE)</f>
        <v>RAW_MATERIAL</v>
      </c>
      <c r="AG177" s="1">
        <v>8</v>
      </c>
      <c r="AH177" s="1" t="str">
        <f>VLOOKUP(AG177,t_entry_status!A:AE,2,FALSE)</f>
        <v>PENDING</v>
      </c>
      <c r="AI177" s="7">
        <v>45560</v>
      </c>
      <c r="AJ177" s="1" t="s">
        <v>7455</v>
      </c>
      <c r="AK177" s="7">
        <v>45560</v>
      </c>
      <c r="AL177" s="1" t="s">
        <v>7455</v>
      </c>
    </row>
    <row r="178" spans="1:38" s="20" customFormat="1" x14ac:dyDescent="0.3">
      <c r="A178" s="14">
        <v>177</v>
      </c>
      <c r="B178" s="14" t="str">
        <f>_xlfn.CONCAT(AE178,"-",VLOOKUP(AE178,t_objeto!B:D,3,FALSE),"-",A178)</f>
        <v>RMAT-PERCCO-177</v>
      </c>
      <c r="C178" s="22" t="str">
        <f t="shared" si="29"/>
        <v>LAMINA_LISA__ACERO_GALVANIZADA_3'X10'_26</v>
      </c>
      <c r="D178" s="14" t="s">
        <v>7412</v>
      </c>
      <c r="E178" s="14" t="s">
        <v>7385</v>
      </c>
      <c r="F178" s="21" t="s">
        <v>7386</v>
      </c>
      <c r="G178" s="22" t="s">
        <v>7387</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7356</v>
      </c>
      <c r="AF178" s="1" t="str">
        <f>VLOOKUP(AE178,t_objeto!B:C,2,FALSE)</f>
        <v>RAW_MATERIAL</v>
      </c>
      <c r="AG178" s="1">
        <v>8</v>
      </c>
      <c r="AH178" s="1" t="str">
        <f>VLOOKUP(AG178,t_entry_status!A:AE,2,FALSE)</f>
        <v>PENDING</v>
      </c>
      <c r="AI178" s="7">
        <v>45560</v>
      </c>
      <c r="AJ178" s="1" t="s">
        <v>7455</v>
      </c>
      <c r="AK178" s="7">
        <v>45560</v>
      </c>
      <c r="AL178" s="1" t="s">
        <v>7455</v>
      </c>
    </row>
    <row r="179" spans="1:38" s="20" customFormat="1" x14ac:dyDescent="0.3">
      <c r="A179" s="14">
        <v>178</v>
      </c>
      <c r="B179" s="14" t="str">
        <f>_xlfn.CONCAT(AE179,"-",VLOOKUP(AE179,t_objeto!B:D,3,FALSE),"-",A179)</f>
        <v>RMAT-PERCCO-178</v>
      </c>
      <c r="C179" s="22" t="str">
        <f t="shared" si="29"/>
        <v>LAMINA_LISA__ACERO_GALVANIZADA_3'X10'_27</v>
      </c>
      <c r="D179" s="14" t="s">
        <v>7412</v>
      </c>
      <c r="E179" s="14" t="s">
        <v>7385</v>
      </c>
      <c r="F179" s="21" t="s">
        <v>7386</v>
      </c>
      <c r="G179" s="22" t="s">
        <v>7387</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7356</v>
      </c>
      <c r="AF179" s="1" t="str">
        <f>VLOOKUP(AE179,t_objeto!B:C,2,FALSE)</f>
        <v>RAW_MATERIAL</v>
      </c>
      <c r="AG179" s="1">
        <v>8</v>
      </c>
      <c r="AH179" s="1" t="str">
        <f>VLOOKUP(AG179,t_entry_status!A:AE,2,FALSE)</f>
        <v>PENDING</v>
      </c>
      <c r="AI179" s="7">
        <v>45560</v>
      </c>
      <c r="AJ179" s="1" t="s">
        <v>7455</v>
      </c>
      <c r="AK179" s="7">
        <v>45560</v>
      </c>
      <c r="AL179" s="1" t="s">
        <v>7455</v>
      </c>
    </row>
    <row r="180" spans="1:38" s="20" customFormat="1" x14ac:dyDescent="0.3">
      <c r="A180" s="14">
        <v>179</v>
      </c>
      <c r="B180" s="14" t="str">
        <f>_xlfn.CONCAT(AE180,"-",VLOOKUP(AE180,t_objeto!B:D,3,FALSE),"-",A180)</f>
        <v>RMAT-PERCCO-179</v>
      </c>
      <c r="C180" s="22" t="str">
        <f t="shared" si="29"/>
        <v>LAMINA_LISA__ACERO_GALVANIZADA_3'X10'_28</v>
      </c>
      <c r="D180" s="14" t="s">
        <v>7412</v>
      </c>
      <c r="E180" s="14" t="s">
        <v>7385</v>
      </c>
      <c r="F180" s="21" t="s">
        <v>7386</v>
      </c>
      <c r="G180" s="22" t="s">
        <v>7387</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7356</v>
      </c>
      <c r="AF180" s="1" t="str">
        <f>VLOOKUP(AE180,t_objeto!B:C,2,FALSE)</f>
        <v>RAW_MATERIAL</v>
      </c>
      <c r="AG180" s="1">
        <v>8</v>
      </c>
      <c r="AH180" s="1" t="str">
        <f>VLOOKUP(AG180,t_entry_status!A:AE,2,FALSE)</f>
        <v>PENDING</v>
      </c>
      <c r="AI180" s="7">
        <v>45560</v>
      </c>
      <c r="AJ180" s="1" t="s">
        <v>7455</v>
      </c>
      <c r="AK180" s="7">
        <v>45560</v>
      </c>
      <c r="AL180" s="1" t="s">
        <v>7455</v>
      </c>
    </row>
    <row r="181" spans="1:38" s="20" customFormat="1" x14ac:dyDescent="0.3">
      <c r="A181" s="14">
        <v>180</v>
      </c>
      <c r="B181" s="14" t="str">
        <f>_xlfn.CONCAT(AE181,"-",VLOOKUP(AE181,t_objeto!B:D,3,FALSE),"-",A181)</f>
        <v>RMAT-PERCCO-180</v>
      </c>
      <c r="C181" s="22" t="str">
        <f t="shared" si="29"/>
        <v>LAMINA_LISA__ACERO_GALVANIZADA_3'X10'_29</v>
      </c>
      <c r="D181" s="14" t="s">
        <v>7412</v>
      </c>
      <c r="E181" s="14" t="s">
        <v>7385</v>
      </c>
      <c r="F181" s="21" t="s">
        <v>7386</v>
      </c>
      <c r="G181" s="22" t="s">
        <v>7387</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7356</v>
      </c>
      <c r="AF181" s="1" t="str">
        <f>VLOOKUP(AE181,t_objeto!B:C,2,FALSE)</f>
        <v>RAW_MATERIAL</v>
      </c>
      <c r="AG181" s="1">
        <v>8</v>
      </c>
      <c r="AH181" s="1" t="str">
        <f>VLOOKUP(AG181,t_entry_status!A:AE,2,FALSE)</f>
        <v>PENDING</v>
      </c>
      <c r="AI181" s="7">
        <v>45560</v>
      </c>
      <c r="AJ181" s="1" t="s">
        <v>7455</v>
      </c>
      <c r="AK181" s="7">
        <v>45560</v>
      </c>
      <c r="AL181" s="1" t="s">
        <v>7455</v>
      </c>
    </row>
    <row r="182" spans="1:38" s="20" customFormat="1" x14ac:dyDescent="0.3">
      <c r="A182" s="14">
        <v>181</v>
      </c>
      <c r="B182" s="14" t="str">
        <f>_xlfn.CONCAT(AE182,"-",VLOOKUP(AE182,t_objeto!B:D,3,FALSE),"-",A182)</f>
        <v>RMAT-PERCCO-181</v>
      </c>
      <c r="C182" s="22" t="str">
        <f t="shared" si="29"/>
        <v>LAMINA_LISA__ACERO_GALVANIZADA_3'X10'_30</v>
      </c>
      <c r="D182" s="14" t="s">
        <v>7412</v>
      </c>
      <c r="E182" s="14" t="s">
        <v>7385</v>
      </c>
      <c r="F182" s="21" t="s">
        <v>7386</v>
      </c>
      <c r="G182" s="22" t="s">
        <v>7387</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7356</v>
      </c>
      <c r="AF182" s="1" t="str">
        <f>VLOOKUP(AE182,t_objeto!B:C,2,FALSE)</f>
        <v>RAW_MATERIAL</v>
      </c>
      <c r="AG182" s="1">
        <v>8</v>
      </c>
      <c r="AH182" s="1" t="str">
        <f>VLOOKUP(AG182,t_entry_status!A:AE,2,FALSE)</f>
        <v>PENDING</v>
      </c>
      <c r="AI182" s="7">
        <v>45560</v>
      </c>
      <c r="AJ182" s="1" t="s">
        <v>7455</v>
      </c>
      <c r="AK182" s="7">
        <v>45560</v>
      </c>
      <c r="AL182" s="1" t="s">
        <v>7455</v>
      </c>
    </row>
    <row r="183" spans="1:38" s="20" customFormat="1" x14ac:dyDescent="0.3">
      <c r="A183" s="14">
        <v>182</v>
      </c>
      <c r="B183" s="14" t="str">
        <f>_xlfn.CONCAT(AE183,"-",VLOOKUP(AE183,t_objeto!B:D,3,FALSE),"-",A183)</f>
        <v>RMAT-PERCCO-182</v>
      </c>
      <c r="C183" s="22" t="str">
        <f t="shared" si="29"/>
        <v>PLACA__ACERO_ROLADA EN CALIENTE_3'X10'_1"</v>
      </c>
      <c r="D183" s="14" t="s">
        <v>7390</v>
      </c>
      <c r="E183" s="14" t="s">
        <v>7385</v>
      </c>
      <c r="F183" s="21" t="s">
        <v>7391</v>
      </c>
      <c r="G183" s="22" t="s">
        <v>7387</v>
      </c>
      <c r="H183" s="14" t="s">
        <v>7392</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7356</v>
      </c>
      <c r="AF183" s="1" t="str">
        <f>VLOOKUP(AE183,t_objeto!B:C,2,FALSE)</f>
        <v>RAW_MATERIAL</v>
      </c>
      <c r="AG183" s="1">
        <v>8</v>
      </c>
      <c r="AH183" s="1" t="str">
        <f>VLOOKUP(AG183,t_entry_status!A:AE,2,FALSE)</f>
        <v>PENDING</v>
      </c>
      <c r="AI183" s="7">
        <v>45560</v>
      </c>
      <c r="AJ183" s="1" t="s">
        <v>7455</v>
      </c>
      <c r="AK183" s="7">
        <v>45560</v>
      </c>
      <c r="AL183" s="1" t="s">
        <v>7455</v>
      </c>
    </row>
    <row r="184" spans="1:38" s="20" customFormat="1" x14ac:dyDescent="0.3">
      <c r="A184" s="14">
        <v>183</v>
      </c>
      <c r="B184" s="14" t="str">
        <f>_xlfn.CONCAT(AE184,"-",VLOOKUP(AE184,t_objeto!B:D,3,FALSE),"-",A184)</f>
        <v>RMAT-PERCCO-183</v>
      </c>
      <c r="C184" s="22" t="str">
        <f t="shared" si="29"/>
        <v>PLACA__ACERO_ROLADA EN CALIENTE_3'X10'_7/8"</v>
      </c>
      <c r="D184" s="14" t="s">
        <v>7390</v>
      </c>
      <c r="E184" s="14" t="s">
        <v>7385</v>
      </c>
      <c r="F184" s="21" t="s">
        <v>7391</v>
      </c>
      <c r="G184" s="22" t="s">
        <v>7387</v>
      </c>
      <c r="H184" s="14" t="s">
        <v>7393</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7356</v>
      </c>
      <c r="AF184" s="1" t="str">
        <f>VLOOKUP(AE184,t_objeto!B:C,2,FALSE)</f>
        <v>RAW_MATERIAL</v>
      </c>
      <c r="AG184" s="1">
        <v>8</v>
      </c>
      <c r="AH184" s="1" t="str">
        <f>VLOOKUP(AG184,t_entry_status!A:AE,2,FALSE)</f>
        <v>PENDING</v>
      </c>
      <c r="AI184" s="7">
        <v>45560</v>
      </c>
      <c r="AJ184" s="1" t="s">
        <v>7455</v>
      </c>
      <c r="AK184" s="7">
        <v>45560</v>
      </c>
      <c r="AL184" s="1" t="s">
        <v>7455</v>
      </c>
    </row>
    <row r="185" spans="1:38" s="20" customFormat="1" x14ac:dyDescent="0.3">
      <c r="A185" s="14">
        <v>184</v>
      </c>
      <c r="B185" s="14" t="str">
        <f>_xlfn.CONCAT(AE185,"-",VLOOKUP(AE185,t_objeto!B:D,3,FALSE),"-",A185)</f>
        <v>RMAT-PERCCO-184</v>
      </c>
      <c r="C185" s="22" t="str">
        <f t="shared" si="29"/>
        <v>PLACA__ACERO_ROLADA EN CALIENTE_3'X10'_3/4"</v>
      </c>
      <c r="D185" s="14" t="s">
        <v>7390</v>
      </c>
      <c r="E185" s="14" t="s">
        <v>7385</v>
      </c>
      <c r="F185" s="21" t="s">
        <v>7391</v>
      </c>
      <c r="G185" s="22" t="s">
        <v>7387</v>
      </c>
      <c r="H185" s="14" t="s">
        <v>7394</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7356</v>
      </c>
      <c r="AF185" s="1" t="str">
        <f>VLOOKUP(AE185,t_objeto!B:C,2,FALSE)</f>
        <v>RAW_MATERIAL</v>
      </c>
      <c r="AG185" s="1">
        <v>8</v>
      </c>
      <c r="AH185" s="1" t="str">
        <f>VLOOKUP(AG185,t_entry_status!A:AE,2,FALSE)</f>
        <v>PENDING</v>
      </c>
      <c r="AI185" s="7">
        <v>45560</v>
      </c>
      <c r="AJ185" s="1" t="s">
        <v>7455</v>
      </c>
      <c r="AK185" s="7">
        <v>45560</v>
      </c>
      <c r="AL185" s="1" t="s">
        <v>7455</v>
      </c>
    </row>
    <row r="186" spans="1:38" s="20" customFormat="1" x14ac:dyDescent="0.3">
      <c r="A186" s="14">
        <v>185</v>
      </c>
      <c r="B186" s="14" t="str">
        <f>_xlfn.CONCAT(AE186,"-",VLOOKUP(AE186,t_objeto!B:D,3,FALSE),"-",A186)</f>
        <v>RMAT-PERCCO-185</v>
      </c>
      <c r="C186" s="22" t="str">
        <f t="shared" si="29"/>
        <v>PLACA__ACERO_ROLADA EN CALIENTE_3'X10'_11/16"</v>
      </c>
      <c r="D186" s="14" t="s">
        <v>7390</v>
      </c>
      <c r="E186" s="14" t="s">
        <v>7385</v>
      </c>
      <c r="F186" s="21" t="s">
        <v>7391</v>
      </c>
      <c r="G186" s="22" t="s">
        <v>7387</v>
      </c>
      <c r="H186" s="14" t="s">
        <v>7395</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7356</v>
      </c>
      <c r="AF186" s="1" t="str">
        <f>VLOOKUP(AE186,t_objeto!B:C,2,FALSE)</f>
        <v>RAW_MATERIAL</v>
      </c>
      <c r="AG186" s="1">
        <v>8</v>
      </c>
      <c r="AH186" s="1" t="str">
        <f>VLOOKUP(AG186,t_entry_status!A:AE,2,FALSE)</f>
        <v>PENDING</v>
      </c>
      <c r="AI186" s="7">
        <v>45560</v>
      </c>
      <c r="AJ186" s="1" t="s">
        <v>7455</v>
      </c>
      <c r="AK186" s="7">
        <v>45560</v>
      </c>
      <c r="AL186" s="1" t="s">
        <v>7455</v>
      </c>
    </row>
    <row r="187" spans="1:38" s="20" customFormat="1" x14ac:dyDescent="0.3">
      <c r="A187" s="14">
        <v>186</v>
      </c>
      <c r="B187" s="14" t="str">
        <f>_xlfn.CONCAT(AE187,"-",VLOOKUP(AE187,t_objeto!B:D,3,FALSE),"-",A187)</f>
        <v>RMAT-PERCCO-186</v>
      </c>
      <c r="C187" s="22" t="str">
        <f t="shared" si="29"/>
        <v>PLACA__ACERO_ROLADA EN CALIENTE_3'X10'_5/8"</v>
      </c>
      <c r="D187" s="14" t="s">
        <v>7390</v>
      </c>
      <c r="E187" s="14" t="s">
        <v>7385</v>
      </c>
      <c r="F187" s="21" t="s">
        <v>7391</v>
      </c>
      <c r="G187" s="22" t="s">
        <v>7387</v>
      </c>
      <c r="H187" s="14" t="s">
        <v>7396</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7356</v>
      </c>
      <c r="AF187" s="1" t="str">
        <f>VLOOKUP(AE187,t_objeto!B:C,2,FALSE)</f>
        <v>RAW_MATERIAL</v>
      </c>
      <c r="AG187" s="1">
        <v>8</v>
      </c>
      <c r="AH187" s="1" t="str">
        <f>VLOOKUP(AG187,t_entry_status!A:AE,2,FALSE)</f>
        <v>PENDING</v>
      </c>
      <c r="AI187" s="7">
        <v>45560</v>
      </c>
      <c r="AJ187" s="1" t="s">
        <v>7455</v>
      </c>
      <c r="AK187" s="7">
        <v>45560</v>
      </c>
      <c r="AL187" s="1" t="s">
        <v>7455</v>
      </c>
    </row>
    <row r="188" spans="1:38" s="20" customFormat="1" x14ac:dyDescent="0.3">
      <c r="A188" s="14">
        <v>187</v>
      </c>
      <c r="B188" s="14" t="str">
        <f>_xlfn.CONCAT(AE188,"-",VLOOKUP(AE188,t_objeto!B:D,3,FALSE),"-",A188)</f>
        <v>RMAT-PERCCO-187</v>
      </c>
      <c r="C188" s="22" t="str">
        <f t="shared" si="29"/>
        <v>PLACA__ACERO_ROLADA EN CALIENTE_3'X10'_9/16"</v>
      </c>
      <c r="D188" s="14" t="s">
        <v>7390</v>
      </c>
      <c r="E188" s="14" t="s">
        <v>7385</v>
      </c>
      <c r="F188" s="21" t="s">
        <v>7391</v>
      </c>
      <c r="G188" s="22" t="s">
        <v>7387</v>
      </c>
      <c r="H188" s="14" t="s">
        <v>7397</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7356</v>
      </c>
      <c r="AF188" s="1" t="str">
        <f>VLOOKUP(AE188,t_objeto!B:C,2,FALSE)</f>
        <v>RAW_MATERIAL</v>
      </c>
      <c r="AG188" s="1">
        <v>8</v>
      </c>
      <c r="AH188" s="1" t="str">
        <f>VLOOKUP(AG188,t_entry_status!A:AE,2,FALSE)</f>
        <v>PENDING</v>
      </c>
      <c r="AI188" s="7">
        <v>45560</v>
      </c>
      <c r="AJ188" s="1" t="s">
        <v>7455</v>
      </c>
      <c r="AK188" s="7">
        <v>45560</v>
      </c>
      <c r="AL188" s="1" t="s">
        <v>7455</v>
      </c>
    </row>
    <row r="189" spans="1:38" s="20" customFormat="1" x14ac:dyDescent="0.3">
      <c r="A189" s="14">
        <v>188</v>
      </c>
      <c r="B189" s="14" t="str">
        <f>_xlfn.CONCAT(AE189,"-",VLOOKUP(AE189,t_objeto!B:D,3,FALSE),"-",A189)</f>
        <v>RMAT-PERCCO-188</v>
      </c>
      <c r="C189" s="22" t="str">
        <f t="shared" si="29"/>
        <v>PLACA__ACERO_ROLADA EN CALIENTE_3'X10'_1/2"</v>
      </c>
      <c r="D189" s="14" t="s">
        <v>7390</v>
      </c>
      <c r="E189" s="14" t="s">
        <v>7385</v>
      </c>
      <c r="F189" s="21" t="s">
        <v>7391</v>
      </c>
      <c r="G189" s="22" t="s">
        <v>7387</v>
      </c>
      <c r="H189" s="14" t="s">
        <v>7398</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7356</v>
      </c>
      <c r="AF189" s="1" t="str">
        <f>VLOOKUP(AE189,t_objeto!B:C,2,FALSE)</f>
        <v>RAW_MATERIAL</v>
      </c>
      <c r="AG189" s="1">
        <v>8</v>
      </c>
      <c r="AH189" s="1" t="str">
        <f>VLOOKUP(AG189,t_entry_status!A:AE,2,FALSE)</f>
        <v>PENDING</v>
      </c>
      <c r="AI189" s="7">
        <v>45560</v>
      </c>
      <c r="AJ189" s="1" t="s">
        <v>7455</v>
      </c>
      <c r="AK189" s="7">
        <v>45560</v>
      </c>
      <c r="AL189" s="1" t="s">
        <v>7455</v>
      </c>
    </row>
    <row r="190" spans="1:38" s="20" customFormat="1" x14ac:dyDescent="0.3">
      <c r="A190" s="14">
        <v>189</v>
      </c>
      <c r="B190" s="14" t="str">
        <f>_xlfn.CONCAT(AE190,"-",VLOOKUP(AE190,t_objeto!B:D,3,FALSE),"-",A190)</f>
        <v>RMAT-PERCCO-189</v>
      </c>
      <c r="C190" s="22" t="str">
        <f t="shared" si="29"/>
        <v>PLACA__ACERO_ROLADA EN CALIENTE_3'X10'_7/16"</v>
      </c>
      <c r="D190" s="14" t="s">
        <v>7390</v>
      </c>
      <c r="E190" s="14" t="s">
        <v>7385</v>
      </c>
      <c r="F190" s="21" t="s">
        <v>7391</v>
      </c>
      <c r="G190" s="22" t="s">
        <v>7387</v>
      </c>
      <c r="H190" s="14" t="s">
        <v>7399</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7356</v>
      </c>
      <c r="AF190" s="1" t="str">
        <f>VLOOKUP(AE190,t_objeto!B:C,2,FALSE)</f>
        <v>RAW_MATERIAL</v>
      </c>
      <c r="AG190" s="1">
        <v>8</v>
      </c>
      <c r="AH190" s="1" t="str">
        <f>VLOOKUP(AG190,t_entry_status!A:AE,2,FALSE)</f>
        <v>PENDING</v>
      </c>
      <c r="AI190" s="7">
        <v>45560</v>
      </c>
      <c r="AJ190" s="1" t="s">
        <v>7455</v>
      </c>
      <c r="AK190" s="7">
        <v>45560</v>
      </c>
      <c r="AL190" s="1" t="s">
        <v>7455</v>
      </c>
    </row>
    <row r="191" spans="1:38" s="20" customFormat="1" x14ac:dyDescent="0.3">
      <c r="A191" s="14">
        <v>190</v>
      </c>
      <c r="B191" s="14" t="str">
        <f>_xlfn.CONCAT(AE191,"-",VLOOKUP(AE191,t_objeto!B:D,3,FALSE),"-",A191)</f>
        <v>RMAT-PERCCO-190</v>
      </c>
      <c r="C191" s="22" t="str">
        <f t="shared" si="29"/>
        <v>PLACA__ACERO_ROLADA EN CALIENTE_3'X10'_3/8"</v>
      </c>
      <c r="D191" s="14" t="s">
        <v>7390</v>
      </c>
      <c r="E191" s="14" t="s">
        <v>7385</v>
      </c>
      <c r="F191" s="21" t="s">
        <v>7391</v>
      </c>
      <c r="G191" s="22" t="s">
        <v>7387</v>
      </c>
      <c r="H191" s="14" t="s">
        <v>7400</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7356</v>
      </c>
      <c r="AF191" s="1" t="str">
        <f>VLOOKUP(AE191,t_objeto!B:C,2,FALSE)</f>
        <v>RAW_MATERIAL</v>
      </c>
      <c r="AG191" s="1">
        <v>8</v>
      </c>
      <c r="AH191" s="1" t="str">
        <f>VLOOKUP(AG191,t_entry_status!A:AE,2,FALSE)</f>
        <v>PENDING</v>
      </c>
      <c r="AI191" s="7">
        <v>45560</v>
      </c>
      <c r="AJ191" s="1" t="s">
        <v>7455</v>
      </c>
      <c r="AK191" s="7">
        <v>45560</v>
      </c>
      <c r="AL191" s="1" t="s">
        <v>7455</v>
      </c>
    </row>
    <row r="192" spans="1:38" s="20" customFormat="1" x14ac:dyDescent="0.3">
      <c r="A192" s="14">
        <v>191</v>
      </c>
      <c r="B192" s="14" t="str">
        <f>_xlfn.CONCAT(AE192,"-",VLOOKUP(AE192,t_objeto!B:D,3,FALSE),"-",A192)</f>
        <v>RMAT-PERCCO-191</v>
      </c>
      <c r="C192" s="22" t="str">
        <f t="shared" si="29"/>
        <v>PLACA__ACERO_ROLADA EN CALIENTE_3'X10'_5/16"</v>
      </c>
      <c r="D192" s="14" t="s">
        <v>7390</v>
      </c>
      <c r="E192" s="14" t="s">
        <v>7385</v>
      </c>
      <c r="F192" s="21" t="s">
        <v>7391</v>
      </c>
      <c r="G192" s="22" t="s">
        <v>7387</v>
      </c>
      <c r="H192" s="14" t="s">
        <v>7401</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7356</v>
      </c>
      <c r="AF192" s="1" t="str">
        <f>VLOOKUP(AE192,t_objeto!B:C,2,FALSE)</f>
        <v>RAW_MATERIAL</v>
      </c>
      <c r="AG192" s="1">
        <v>8</v>
      </c>
      <c r="AH192" s="1" t="str">
        <f>VLOOKUP(AG192,t_entry_status!A:AE,2,FALSE)</f>
        <v>PENDING</v>
      </c>
      <c r="AI192" s="7">
        <v>45560</v>
      </c>
      <c r="AJ192" s="1" t="s">
        <v>7455</v>
      </c>
      <c r="AK192" s="7">
        <v>45560</v>
      </c>
      <c r="AL192" s="1" t="s">
        <v>7455</v>
      </c>
    </row>
    <row r="193" spans="1:38" s="20" customFormat="1" x14ac:dyDescent="0.3">
      <c r="A193" s="14">
        <v>192</v>
      </c>
      <c r="B193" s="14" t="str">
        <f>_xlfn.CONCAT(AE193,"-",VLOOKUP(AE193,t_objeto!B:D,3,FALSE),"-",A193)</f>
        <v>RMAT-PERCCO-192</v>
      </c>
      <c r="C193" s="22" t="str">
        <f t="shared" si="29"/>
        <v>PLACA__ACERO_ROLADA EN CALIENTE_3'X10'_1/4"</v>
      </c>
      <c r="D193" s="14" t="s">
        <v>7390</v>
      </c>
      <c r="E193" s="14" t="s">
        <v>7385</v>
      </c>
      <c r="F193" s="21" t="s">
        <v>7391</v>
      </c>
      <c r="G193" s="22" t="s">
        <v>7387</v>
      </c>
      <c r="H193" s="14" t="s">
        <v>7402</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7356</v>
      </c>
      <c r="AF193" s="1" t="str">
        <f>VLOOKUP(AE193,t_objeto!B:C,2,FALSE)</f>
        <v>RAW_MATERIAL</v>
      </c>
      <c r="AG193" s="1">
        <v>8</v>
      </c>
      <c r="AH193" s="1" t="str">
        <f>VLOOKUP(AG193,t_entry_status!A:AE,2,FALSE)</f>
        <v>PENDING</v>
      </c>
      <c r="AI193" s="7">
        <v>45560</v>
      </c>
      <c r="AJ193" s="1" t="s">
        <v>7455</v>
      </c>
      <c r="AK193" s="7">
        <v>45560</v>
      </c>
      <c r="AL193" s="1" t="s">
        <v>7455</v>
      </c>
    </row>
    <row r="194" spans="1:38" s="20" customFormat="1" x14ac:dyDescent="0.3">
      <c r="A194" s="14">
        <v>193</v>
      </c>
      <c r="B194" s="14" t="str">
        <f>_xlfn.CONCAT(AE194,"-",VLOOKUP(AE194,t_objeto!B:D,3,FALSE),"-",A194)</f>
        <v>RMAT-PERCCO-193</v>
      </c>
      <c r="C194" s="22" t="str">
        <f t="shared" si="29"/>
        <v>PLACA__ACERO_ROLADA EN CALIENTE_3'X10'_3/16"</v>
      </c>
      <c r="D194" s="14" t="s">
        <v>7390</v>
      </c>
      <c r="E194" s="14" t="s">
        <v>7385</v>
      </c>
      <c r="F194" s="21" t="s">
        <v>7391</v>
      </c>
      <c r="G194" s="22" t="s">
        <v>7387</v>
      </c>
      <c r="H194" s="14" t="s">
        <v>7403</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7356</v>
      </c>
      <c r="AF194" s="1" t="str">
        <f>VLOOKUP(AE194,t_objeto!B:C,2,FALSE)</f>
        <v>RAW_MATERIAL</v>
      </c>
      <c r="AG194" s="1">
        <v>8</v>
      </c>
      <c r="AH194" s="1" t="str">
        <f>VLOOKUP(AG194,t_entry_status!A:AE,2,FALSE)</f>
        <v>PENDING</v>
      </c>
      <c r="AI194" s="7">
        <v>45560</v>
      </c>
      <c r="AJ194" s="1" t="s">
        <v>7455</v>
      </c>
      <c r="AK194" s="7">
        <v>45560</v>
      </c>
      <c r="AL194" s="1" t="s">
        <v>7455</v>
      </c>
    </row>
    <row r="195" spans="1:38" s="20" customFormat="1" x14ac:dyDescent="0.3">
      <c r="A195" s="14">
        <v>194</v>
      </c>
      <c r="B195" s="14" t="str">
        <f>_xlfn.CONCAT(AE195,"-",VLOOKUP(AE195,t_objeto!B:D,3,FALSE),"-",A195)</f>
        <v>RMAT-PERCCO-194</v>
      </c>
      <c r="C195" s="22" t="str">
        <f t="shared" ref="C195:C258" si="39">_xlfn.CONCAT(D195,"_","_",E195,"_",F195,"_",R195,"'","X",S195,"'","_",H195)</f>
        <v>LAMINA_LISA__ACERO_ROLADA EN CALIENTE_3'X10'_4</v>
      </c>
      <c r="D195" s="14" t="s">
        <v>7412</v>
      </c>
      <c r="E195" s="14" t="s">
        <v>7385</v>
      </c>
      <c r="F195" s="21" t="s">
        <v>7391</v>
      </c>
      <c r="G195" s="22" t="s">
        <v>7387</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7356</v>
      </c>
      <c r="AF195" s="1" t="str">
        <f>VLOOKUP(AE195,t_objeto!B:C,2,FALSE)</f>
        <v>RAW_MATERIAL</v>
      </c>
      <c r="AG195" s="1">
        <v>8</v>
      </c>
      <c r="AH195" s="1" t="str">
        <f>VLOOKUP(AG195,t_entry_status!A:AE,2,FALSE)</f>
        <v>PENDING</v>
      </c>
      <c r="AI195" s="7">
        <v>45560</v>
      </c>
      <c r="AJ195" s="1" t="s">
        <v>7455</v>
      </c>
      <c r="AK195" s="7">
        <v>45560</v>
      </c>
      <c r="AL195" s="1" t="s">
        <v>7455</v>
      </c>
    </row>
    <row r="196" spans="1:38" s="20" customFormat="1" x14ac:dyDescent="0.3">
      <c r="A196" s="14">
        <v>195</v>
      </c>
      <c r="B196" s="14" t="str">
        <f>_xlfn.CONCAT(AE196,"-",VLOOKUP(AE196,t_objeto!B:D,3,FALSE),"-",A196)</f>
        <v>RMAT-PERCCO-195</v>
      </c>
      <c r="C196" s="22" t="str">
        <f t="shared" si="39"/>
        <v>LAMINA_LISA__ACERO_ROLADA EN CALIENTE_3'X10'_5</v>
      </c>
      <c r="D196" s="14" t="s">
        <v>7412</v>
      </c>
      <c r="E196" s="14" t="s">
        <v>7385</v>
      </c>
      <c r="F196" s="21" t="s">
        <v>7391</v>
      </c>
      <c r="G196" s="22" t="s">
        <v>7387</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7356</v>
      </c>
      <c r="AF196" s="1" t="str">
        <f>VLOOKUP(AE196,t_objeto!B:C,2,FALSE)</f>
        <v>RAW_MATERIAL</v>
      </c>
      <c r="AG196" s="1">
        <v>8</v>
      </c>
      <c r="AH196" s="1" t="str">
        <f>VLOOKUP(AG196,t_entry_status!A:AE,2,FALSE)</f>
        <v>PENDING</v>
      </c>
      <c r="AI196" s="7">
        <v>45560</v>
      </c>
      <c r="AJ196" s="1" t="s">
        <v>7455</v>
      </c>
      <c r="AK196" s="7">
        <v>45560</v>
      </c>
      <c r="AL196" s="1" t="s">
        <v>7455</v>
      </c>
    </row>
    <row r="197" spans="1:38" s="20" customFormat="1" x14ac:dyDescent="0.3">
      <c r="A197" s="14">
        <v>196</v>
      </c>
      <c r="B197" s="14" t="str">
        <f>_xlfn.CONCAT(AE197,"-",VLOOKUP(AE197,t_objeto!B:D,3,FALSE),"-",A197)</f>
        <v>RMAT-PERCCO-196</v>
      </c>
      <c r="C197" s="22" t="str">
        <f t="shared" si="39"/>
        <v>LAMINA_LISA__ACERO_ROLADA EN CALIENTE_3'X10'_6</v>
      </c>
      <c r="D197" s="14" t="s">
        <v>7412</v>
      </c>
      <c r="E197" s="14" t="s">
        <v>7385</v>
      </c>
      <c r="F197" s="21" t="s">
        <v>7391</v>
      </c>
      <c r="G197" s="22" t="s">
        <v>7387</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7356</v>
      </c>
      <c r="AF197" s="1" t="str">
        <f>VLOOKUP(AE197,t_objeto!B:C,2,FALSE)</f>
        <v>RAW_MATERIAL</v>
      </c>
      <c r="AG197" s="1">
        <v>8</v>
      </c>
      <c r="AH197" s="1" t="str">
        <f>VLOOKUP(AG197,t_entry_status!A:AE,2,FALSE)</f>
        <v>PENDING</v>
      </c>
      <c r="AI197" s="7">
        <v>45560</v>
      </c>
      <c r="AJ197" s="1" t="s">
        <v>7455</v>
      </c>
      <c r="AK197" s="7">
        <v>45560</v>
      </c>
      <c r="AL197" s="1" t="s">
        <v>7455</v>
      </c>
    </row>
    <row r="198" spans="1:38" s="20" customFormat="1" x14ac:dyDescent="0.3">
      <c r="A198" s="14">
        <v>197</v>
      </c>
      <c r="B198" s="14" t="str">
        <f>_xlfn.CONCAT(AE198,"-",VLOOKUP(AE198,t_objeto!B:D,3,FALSE),"-",A198)</f>
        <v>RMAT-PERCCO-197</v>
      </c>
      <c r="C198" s="22" t="str">
        <f t="shared" si="39"/>
        <v>LAMINA_LISA__ACERO_ROLADA EN CALIENTE_3'X10'_7</v>
      </c>
      <c r="D198" s="14" t="s">
        <v>7412</v>
      </c>
      <c r="E198" s="14" t="s">
        <v>7385</v>
      </c>
      <c r="F198" s="21" t="s">
        <v>7391</v>
      </c>
      <c r="G198" s="22" t="s">
        <v>7387</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7356</v>
      </c>
      <c r="AF198" s="1" t="str">
        <f>VLOOKUP(AE198,t_objeto!B:C,2,FALSE)</f>
        <v>RAW_MATERIAL</v>
      </c>
      <c r="AG198" s="1">
        <v>8</v>
      </c>
      <c r="AH198" s="1" t="str">
        <f>VLOOKUP(AG198,t_entry_status!A:AE,2,FALSE)</f>
        <v>PENDING</v>
      </c>
      <c r="AI198" s="7">
        <v>45560</v>
      </c>
      <c r="AJ198" s="1" t="s">
        <v>7455</v>
      </c>
      <c r="AK198" s="7">
        <v>45560</v>
      </c>
      <c r="AL198" s="1" t="s">
        <v>7455</v>
      </c>
    </row>
    <row r="199" spans="1:38" s="20" customFormat="1" x14ac:dyDescent="0.3">
      <c r="A199" s="14">
        <v>198</v>
      </c>
      <c r="B199" s="14" t="str">
        <f>_xlfn.CONCAT(AE199,"-",VLOOKUP(AE199,t_objeto!B:D,3,FALSE),"-",A199)</f>
        <v>RMAT-PERCCO-198</v>
      </c>
      <c r="C199" s="22" t="str">
        <f t="shared" si="39"/>
        <v>LAMINA_LISA__ACERO_ROLADA EN CALIENTE_3'X10'_8</v>
      </c>
      <c r="D199" s="14" t="s">
        <v>7412</v>
      </c>
      <c r="E199" s="14" t="s">
        <v>7385</v>
      </c>
      <c r="F199" s="21" t="s">
        <v>7391</v>
      </c>
      <c r="G199" s="22" t="s">
        <v>7387</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7356</v>
      </c>
      <c r="AF199" s="1" t="str">
        <f>VLOOKUP(AE199,t_objeto!B:C,2,FALSE)</f>
        <v>RAW_MATERIAL</v>
      </c>
      <c r="AG199" s="1">
        <v>8</v>
      </c>
      <c r="AH199" s="1" t="str">
        <f>VLOOKUP(AG199,t_entry_status!A:AE,2,FALSE)</f>
        <v>PENDING</v>
      </c>
      <c r="AI199" s="7">
        <v>45560</v>
      </c>
      <c r="AJ199" s="1" t="s">
        <v>7455</v>
      </c>
      <c r="AK199" s="7">
        <v>45560</v>
      </c>
      <c r="AL199" s="1" t="s">
        <v>7455</v>
      </c>
    </row>
    <row r="200" spans="1:38" s="20" customFormat="1" x14ac:dyDescent="0.3">
      <c r="A200" s="14">
        <v>199</v>
      </c>
      <c r="B200" s="14" t="str">
        <f>_xlfn.CONCAT(AE200,"-",VLOOKUP(AE200,t_objeto!B:D,3,FALSE),"-",A200)</f>
        <v>RMAT-PERCCO-199</v>
      </c>
      <c r="C200" s="22" t="str">
        <f t="shared" si="39"/>
        <v>LAMINA_LISA__ACERO_ROLADA EN CALIENTE_3'X10'_9</v>
      </c>
      <c r="D200" s="14" t="s">
        <v>7412</v>
      </c>
      <c r="E200" s="14" t="s">
        <v>7385</v>
      </c>
      <c r="F200" s="21" t="s">
        <v>7391</v>
      </c>
      <c r="G200" s="22" t="s">
        <v>7387</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7356</v>
      </c>
      <c r="AF200" s="1" t="str">
        <f>VLOOKUP(AE200,t_objeto!B:C,2,FALSE)</f>
        <v>RAW_MATERIAL</v>
      </c>
      <c r="AG200" s="1">
        <v>8</v>
      </c>
      <c r="AH200" s="1" t="str">
        <f>VLOOKUP(AG200,t_entry_status!A:AE,2,FALSE)</f>
        <v>PENDING</v>
      </c>
      <c r="AI200" s="7">
        <v>45560</v>
      </c>
      <c r="AJ200" s="1" t="s">
        <v>7455</v>
      </c>
      <c r="AK200" s="7">
        <v>45560</v>
      </c>
      <c r="AL200" s="1" t="s">
        <v>7455</v>
      </c>
    </row>
    <row r="201" spans="1:38" s="20" customFormat="1" x14ac:dyDescent="0.3">
      <c r="A201" s="14">
        <v>200</v>
      </c>
      <c r="B201" s="14" t="str">
        <f>_xlfn.CONCAT(AE201,"-",VLOOKUP(AE201,t_objeto!B:D,3,FALSE),"-",A201)</f>
        <v>RMAT-PERCCO-200</v>
      </c>
      <c r="C201" s="22" t="str">
        <f t="shared" si="39"/>
        <v>LAMINA_LISA__ACERO_ROLADA EN CALIENTE_3'X10'_10</v>
      </c>
      <c r="D201" s="14" t="s">
        <v>7412</v>
      </c>
      <c r="E201" s="14" t="s">
        <v>7385</v>
      </c>
      <c r="F201" s="21" t="s">
        <v>7391</v>
      </c>
      <c r="G201" s="22" t="s">
        <v>7387</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7356</v>
      </c>
      <c r="AF201" s="1" t="str">
        <f>VLOOKUP(AE201,t_objeto!B:C,2,FALSE)</f>
        <v>RAW_MATERIAL</v>
      </c>
      <c r="AG201" s="1">
        <v>8</v>
      </c>
      <c r="AH201" s="1" t="str">
        <f>VLOOKUP(AG201,t_entry_status!A:AE,2,FALSE)</f>
        <v>PENDING</v>
      </c>
      <c r="AI201" s="7">
        <v>45560</v>
      </c>
      <c r="AJ201" s="1" t="s">
        <v>7455</v>
      </c>
      <c r="AK201" s="7">
        <v>45560</v>
      </c>
      <c r="AL201" s="1" t="s">
        <v>7455</v>
      </c>
    </row>
    <row r="202" spans="1:38" s="20" customFormat="1" x14ac:dyDescent="0.3">
      <c r="A202" s="14">
        <v>201</v>
      </c>
      <c r="B202" s="14" t="str">
        <f>_xlfn.CONCAT(AE202,"-",VLOOKUP(AE202,t_objeto!B:D,3,FALSE),"-",A202)</f>
        <v>RMAT-PERCCO-201</v>
      </c>
      <c r="C202" s="22" t="str">
        <f t="shared" si="39"/>
        <v>LAMINA_LISA__ACERO_ROLADA EN CALIENTE_3'X10'_1/8"</v>
      </c>
      <c r="D202" s="14" t="s">
        <v>7412</v>
      </c>
      <c r="E202" s="14" t="s">
        <v>7385</v>
      </c>
      <c r="F202" s="21" t="s">
        <v>7391</v>
      </c>
      <c r="G202" s="22" t="s">
        <v>7387</v>
      </c>
      <c r="H202" s="14" t="s">
        <v>7404</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7356</v>
      </c>
      <c r="AF202" s="1" t="str">
        <f>VLOOKUP(AE202,t_objeto!B:C,2,FALSE)</f>
        <v>RAW_MATERIAL</v>
      </c>
      <c r="AG202" s="1">
        <v>8</v>
      </c>
      <c r="AH202" s="1" t="str">
        <f>VLOOKUP(AG202,t_entry_status!A:AE,2,FALSE)</f>
        <v>PENDING</v>
      </c>
      <c r="AI202" s="7">
        <v>45560</v>
      </c>
      <c r="AJ202" s="1" t="s">
        <v>7455</v>
      </c>
      <c r="AK202" s="7">
        <v>45560</v>
      </c>
      <c r="AL202" s="1" t="s">
        <v>7455</v>
      </c>
    </row>
    <row r="203" spans="1:38" s="20" customFormat="1" x14ac:dyDescent="0.3">
      <c r="A203" s="14">
        <v>202</v>
      </c>
      <c r="B203" s="14" t="str">
        <f>_xlfn.CONCAT(AE203,"-",VLOOKUP(AE203,t_objeto!B:D,3,FALSE),"-",A203)</f>
        <v>RMAT-PERCCO-202</v>
      </c>
      <c r="C203" s="22" t="str">
        <f t="shared" si="39"/>
        <v>LAMINA_LISA__ACERO_ROLADA EN CALIENTE_3'X10'_11</v>
      </c>
      <c r="D203" s="14" t="s">
        <v>7412</v>
      </c>
      <c r="E203" s="14" t="s">
        <v>7385</v>
      </c>
      <c r="F203" s="21" t="s">
        <v>7391</v>
      </c>
      <c r="G203" s="22" t="s">
        <v>7387</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7356</v>
      </c>
      <c r="AF203" s="1" t="str">
        <f>VLOOKUP(AE203,t_objeto!B:C,2,FALSE)</f>
        <v>RAW_MATERIAL</v>
      </c>
      <c r="AG203" s="1">
        <v>8</v>
      </c>
      <c r="AH203" s="1" t="str">
        <f>VLOOKUP(AG203,t_entry_status!A:AE,2,FALSE)</f>
        <v>PENDING</v>
      </c>
      <c r="AI203" s="7">
        <v>45560</v>
      </c>
      <c r="AJ203" s="1" t="s">
        <v>7455</v>
      </c>
      <c r="AK203" s="7">
        <v>45560</v>
      </c>
      <c r="AL203" s="1" t="s">
        <v>7455</v>
      </c>
    </row>
    <row r="204" spans="1:38" s="20" customFormat="1" x14ac:dyDescent="0.3">
      <c r="A204" s="14">
        <v>203</v>
      </c>
      <c r="B204" s="14" t="str">
        <f>_xlfn.CONCAT(AE204,"-",VLOOKUP(AE204,t_objeto!B:D,3,FALSE),"-",A204)</f>
        <v>RMAT-PERCCO-203</v>
      </c>
      <c r="C204" s="22" t="str">
        <f t="shared" si="39"/>
        <v>LAMINA_LISA__ACERO_ROLADA EN CALIENTE_3'X10'_12</v>
      </c>
      <c r="D204" s="14" t="s">
        <v>7412</v>
      </c>
      <c r="E204" s="14" t="s">
        <v>7385</v>
      </c>
      <c r="F204" s="21" t="s">
        <v>7391</v>
      </c>
      <c r="G204" s="22" t="s">
        <v>7387</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7356</v>
      </c>
      <c r="AF204" s="1" t="str">
        <f>VLOOKUP(AE204,t_objeto!B:C,2,FALSE)</f>
        <v>RAW_MATERIAL</v>
      </c>
      <c r="AG204" s="1">
        <v>8</v>
      </c>
      <c r="AH204" s="1" t="str">
        <f>VLOOKUP(AG204,t_entry_status!A:AE,2,FALSE)</f>
        <v>PENDING</v>
      </c>
      <c r="AI204" s="7">
        <v>45560</v>
      </c>
      <c r="AJ204" s="1" t="s">
        <v>7455</v>
      </c>
      <c r="AK204" s="7">
        <v>45560</v>
      </c>
      <c r="AL204" s="1" t="s">
        <v>7455</v>
      </c>
    </row>
    <row r="205" spans="1:38" s="20" customFormat="1" x14ac:dyDescent="0.3">
      <c r="A205" s="14">
        <v>204</v>
      </c>
      <c r="B205" s="14" t="str">
        <f>_xlfn.CONCAT(AE205,"-",VLOOKUP(AE205,t_objeto!B:D,3,FALSE),"-",A205)</f>
        <v>RMAT-PERCCO-204</v>
      </c>
      <c r="C205" s="22" t="str">
        <f t="shared" si="39"/>
        <v>LAMINA_LISA__ACERO_ROLADA EN CALIENTE_3'X10'_13</v>
      </c>
      <c r="D205" s="14" t="s">
        <v>7412</v>
      </c>
      <c r="E205" s="14" t="s">
        <v>7385</v>
      </c>
      <c r="F205" s="21" t="s">
        <v>7391</v>
      </c>
      <c r="G205" s="22" t="s">
        <v>7387</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7356</v>
      </c>
      <c r="AF205" s="1" t="str">
        <f>VLOOKUP(AE205,t_objeto!B:C,2,FALSE)</f>
        <v>RAW_MATERIAL</v>
      </c>
      <c r="AG205" s="1">
        <v>8</v>
      </c>
      <c r="AH205" s="1" t="str">
        <f>VLOOKUP(AG205,t_entry_status!A:AE,2,FALSE)</f>
        <v>PENDING</v>
      </c>
      <c r="AI205" s="7">
        <v>45560</v>
      </c>
      <c r="AJ205" s="1" t="s">
        <v>7455</v>
      </c>
      <c r="AK205" s="7">
        <v>45560</v>
      </c>
      <c r="AL205" s="1" t="s">
        <v>7455</v>
      </c>
    </row>
    <row r="206" spans="1:38" s="20" customFormat="1" x14ac:dyDescent="0.3">
      <c r="A206" s="14">
        <v>205</v>
      </c>
      <c r="B206" s="14" t="str">
        <f>_xlfn.CONCAT(AE206,"-",VLOOKUP(AE206,t_objeto!B:D,3,FALSE),"-",A206)</f>
        <v>RMAT-PERCCO-205</v>
      </c>
      <c r="C206" s="22" t="str">
        <f t="shared" si="39"/>
        <v>LAMINA_LISA__ACERO_ROLADA EN CALIENTE_3'X10'_14</v>
      </c>
      <c r="D206" s="14" t="s">
        <v>7412</v>
      </c>
      <c r="E206" s="14" t="s">
        <v>7385</v>
      </c>
      <c r="F206" s="21" t="s">
        <v>7391</v>
      </c>
      <c r="G206" s="22" t="s">
        <v>7387</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7356</v>
      </c>
      <c r="AF206" s="1" t="str">
        <f>VLOOKUP(AE206,t_objeto!B:C,2,FALSE)</f>
        <v>RAW_MATERIAL</v>
      </c>
      <c r="AG206" s="1">
        <v>8</v>
      </c>
      <c r="AH206" s="1" t="str">
        <f>VLOOKUP(AG206,t_entry_status!A:AE,2,FALSE)</f>
        <v>PENDING</v>
      </c>
      <c r="AI206" s="7">
        <v>45560</v>
      </c>
      <c r="AJ206" s="1" t="s">
        <v>7455</v>
      </c>
      <c r="AK206" s="7">
        <v>45560</v>
      </c>
      <c r="AL206" s="1" t="s">
        <v>7455</v>
      </c>
    </row>
    <row r="207" spans="1:38" s="20" customFormat="1" x14ac:dyDescent="0.3">
      <c r="A207" s="14">
        <v>206</v>
      </c>
      <c r="B207" s="14" t="str">
        <f>_xlfn.CONCAT(AE207,"-",VLOOKUP(AE207,t_objeto!B:D,3,FALSE),"-",A207)</f>
        <v>RMAT-PERCCO-206</v>
      </c>
      <c r="C207" s="22" t="str">
        <f t="shared" si="39"/>
        <v>LAMINA_LISA__ACERO_ROLADA EN CALIENTE_3'X10'_15</v>
      </c>
      <c r="D207" s="14" t="s">
        <v>7412</v>
      </c>
      <c r="E207" s="14" t="s">
        <v>7385</v>
      </c>
      <c r="F207" s="21" t="s">
        <v>7391</v>
      </c>
      <c r="G207" s="22" t="s">
        <v>7387</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7356</v>
      </c>
      <c r="AF207" s="1" t="str">
        <f>VLOOKUP(AE207,t_objeto!B:C,2,FALSE)</f>
        <v>RAW_MATERIAL</v>
      </c>
      <c r="AG207" s="1">
        <v>8</v>
      </c>
      <c r="AH207" s="1" t="str">
        <f>VLOOKUP(AG207,t_entry_status!A:AE,2,FALSE)</f>
        <v>PENDING</v>
      </c>
      <c r="AI207" s="7">
        <v>45560</v>
      </c>
      <c r="AJ207" s="1" t="s">
        <v>7455</v>
      </c>
      <c r="AK207" s="7">
        <v>45560</v>
      </c>
      <c r="AL207" s="1" t="s">
        <v>7455</v>
      </c>
    </row>
    <row r="208" spans="1:38" s="20" customFormat="1" x14ac:dyDescent="0.3">
      <c r="A208" s="14">
        <v>207</v>
      </c>
      <c r="B208" s="14" t="str">
        <f>_xlfn.CONCAT(AE208,"-",VLOOKUP(AE208,t_objeto!B:D,3,FALSE),"-",A208)</f>
        <v>RMAT-PERCCO-207</v>
      </c>
      <c r="C208" s="22" t="str">
        <f t="shared" si="39"/>
        <v>LAMINA_LISA__ACERO_ROLADA EN CALIENTE_3'X10'_16</v>
      </c>
      <c r="D208" s="14" t="s">
        <v>7412</v>
      </c>
      <c r="E208" s="14" t="s">
        <v>7385</v>
      </c>
      <c r="F208" s="21" t="s">
        <v>7391</v>
      </c>
      <c r="G208" s="22" t="s">
        <v>7387</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7356</v>
      </c>
      <c r="AF208" s="1" t="str">
        <f>VLOOKUP(AE208,t_objeto!B:C,2,FALSE)</f>
        <v>RAW_MATERIAL</v>
      </c>
      <c r="AG208" s="1">
        <v>8</v>
      </c>
      <c r="AH208" s="1" t="str">
        <f>VLOOKUP(AG208,t_entry_status!A:AE,2,FALSE)</f>
        <v>PENDING</v>
      </c>
      <c r="AI208" s="7">
        <v>45560</v>
      </c>
      <c r="AJ208" s="1" t="s">
        <v>7455</v>
      </c>
      <c r="AK208" s="7">
        <v>45560</v>
      </c>
      <c r="AL208" s="1" t="s">
        <v>7455</v>
      </c>
    </row>
    <row r="209" spans="1:38" s="20" customFormat="1" x14ac:dyDescent="0.3">
      <c r="A209" s="14">
        <v>208</v>
      </c>
      <c r="B209" s="14" t="str">
        <f>_xlfn.CONCAT(AE209,"-",VLOOKUP(AE209,t_objeto!B:D,3,FALSE),"-",A209)</f>
        <v>RMAT-PERCCO-208</v>
      </c>
      <c r="C209" s="22" t="str">
        <f t="shared" si="39"/>
        <v>LAMINA_LISA__ACERO_ROLADA EN CALIENTE_3'X10'_17</v>
      </c>
      <c r="D209" s="14" t="s">
        <v>7412</v>
      </c>
      <c r="E209" s="14" t="s">
        <v>7385</v>
      </c>
      <c r="F209" s="21" t="s">
        <v>7391</v>
      </c>
      <c r="G209" s="22" t="s">
        <v>7387</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7356</v>
      </c>
      <c r="AF209" s="1" t="str">
        <f>VLOOKUP(AE209,t_objeto!B:C,2,FALSE)</f>
        <v>RAW_MATERIAL</v>
      </c>
      <c r="AG209" s="1">
        <v>8</v>
      </c>
      <c r="AH209" s="1" t="str">
        <f>VLOOKUP(AG209,t_entry_status!A:AE,2,FALSE)</f>
        <v>PENDING</v>
      </c>
      <c r="AI209" s="7">
        <v>45560</v>
      </c>
      <c r="AJ209" s="1" t="s">
        <v>7455</v>
      </c>
      <c r="AK209" s="7">
        <v>45560</v>
      </c>
      <c r="AL209" s="1" t="s">
        <v>7455</v>
      </c>
    </row>
    <row r="210" spans="1:38" s="20" customFormat="1" x14ac:dyDescent="0.3">
      <c r="A210" s="14">
        <v>209</v>
      </c>
      <c r="B210" s="14" t="str">
        <f>_xlfn.CONCAT(AE210,"-",VLOOKUP(AE210,t_objeto!B:D,3,FALSE),"-",A210)</f>
        <v>RMAT-PERCCO-209</v>
      </c>
      <c r="C210" s="22" t="str">
        <f t="shared" si="39"/>
        <v>LAMINA_LISA__ACERO_ROLADA EN CALIENTE_3'X10'_18</v>
      </c>
      <c r="D210" s="14" t="s">
        <v>7412</v>
      </c>
      <c r="E210" s="14" t="s">
        <v>7385</v>
      </c>
      <c r="F210" s="21" t="s">
        <v>7391</v>
      </c>
      <c r="G210" s="22" t="s">
        <v>7387</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7356</v>
      </c>
      <c r="AF210" s="1" t="str">
        <f>VLOOKUP(AE210,t_objeto!B:C,2,FALSE)</f>
        <v>RAW_MATERIAL</v>
      </c>
      <c r="AG210" s="1">
        <v>8</v>
      </c>
      <c r="AH210" s="1" t="str">
        <f>VLOOKUP(AG210,t_entry_status!A:AE,2,FALSE)</f>
        <v>PENDING</v>
      </c>
      <c r="AI210" s="7">
        <v>45560</v>
      </c>
      <c r="AJ210" s="1" t="s">
        <v>7455</v>
      </c>
      <c r="AK210" s="7">
        <v>45560</v>
      </c>
      <c r="AL210" s="1" t="s">
        <v>7455</v>
      </c>
    </row>
    <row r="211" spans="1:38" s="20" customFormat="1" x14ac:dyDescent="0.3">
      <c r="A211" s="14">
        <v>210</v>
      </c>
      <c r="B211" s="14" t="str">
        <f>_xlfn.CONCAT(AE211,"-",VLOOKUP(AE211,t_objeto!B:D,3,FALSE),"-",A211)</f>
        <v>RMAT-PERCCO-210</v>
      </c>
      <c r="C211" s="22" t="str">
        <f t="shared" si="39"/>
        <v>LAMINA_LISA__ACERO_ROLADA EN CALIENTE_3'X10'_19</v>
      </c>
      <c r="D211" s="14" t="s">
        <v>7412</v>
      </c>
      <c r="E211" s="14" t="s">
        <v>7385</v>
      </c>
      <c r="F211" s="21" t="s">
        <v>7391</v>
      </c>
      <c r="G211" s="22" t="s">
        <v>7387</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7356</v>
      </c>
      <c r="AF211" s="1" t="str">
        <f>VLOOKUP(AE211,t_objeto!B:C,2,FALSE)</f>
        <v>RAW_MATERIAL</v>
      </c>
      <c r="AG211" s="1">
        <v>8</v>
      </c>
      <c r="AH211" s="1" t="str">
        <f>VLOOKUP(AG211,t_entry_status!A:AE,2,FALSE)</f>
        <v>PENDING</v>
      </c>
      <c r="AI211" s="7">
        <v>45560</v>
      </c>
      <c r="AJ211" s="1" t="s">
        <v>7455</v>
      </c>
      <c r="AK211" s="7">
        <v>45560</v>
      </c>
      <c r="AL211" s="1" t="s">
        <v>7455</v>
      </c>
    </row>
    <row r="212" spans="1:38" s="20" customFormat="1" x14ac:dyDescent="0.3">
      <c r="A212" s="14">
        <v>211</v>
      </c>
      <c r="B212" s="14" t="str">
        <f>_xlfn.CONCAT(AE212,"-",VLOOKUP(AE212,t_objeto!B:D,3,FALSE),"-",A212)</f>
        <v>RMAT-PERCCO-211</v>
      </c>
      <c r="C212" s="22" t="str">
        <f t="shared" si="39"/>
        <v>LAMINA_LISA__ACERO_ROLADA EN CALIENTE_3'X10'_20</v>
      </c>
      <c r="D212" s="14" t="s">
        <v>7412</v>
      </c>
      <c r="E212" s="14" t="s">
        <v>7385</v>
      </c>
      <c r="F212" s="21" t="s">
        <v>7391</v>
      </c>
      <c r="G212" s="22" t="s">
        <v>7387</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7356</v>
      </c>
      <c r="AF212" s="1" t="str">
        <f>VLOOKUP(AE212,t_objeto!B:C,2,FALSE)</f>
        <v>RAW_MATERIAL</v>
      </c>
      <c r="AG212" s="1">
        <v>8</v>
      </c>
      <c r="AH212" s="1" t="str">
        <f>VLOOKUP(AG212,t_entry_status!A:AE,2,FALSE)</f>
        <v>PENDING</v>
      </c>
      <c r="AI212" s="7">
        <v>45560</v>
      </c>
      <c r="AJ212" s="1" t="s">
        <v>7455</v>
      </c>
      <c r="AK212" s="7">
        <v>45560</v>
      </c>
      <c r="AL212" s="1" t="s">
        <v>7455</v>
      </c>
    </row>
    <row r="213" spans="1:38" s="20" customFormat="1" x14ac:dyDescent="0.3">
      <c r="A213" s="14">
        <v>212</v>
      </c>
      <c r="B213" s="14" t="str">
        <f>_xlfn.CONCAT(AE213,"-",VLOOKUP(AE213,t_objeto!B:D,3,FALSE),"-",A213)</f>
        <v>RMAT-PERCCO-212</v>
      </c>
      <c r="C213" s="22" t="str">
        <f t="shared" si="39"/>
        <v>LAMINA_LISA__ACERO_ROLADA EN CALIENTE_3'X10'_21</v>
      </c>
      <c r="D213" s="14" t="s">
        <v>7412</v>
      </c>
      <c r="E213" s="14" t="s">
        <v>7385</v>
      </c>
      <c r="F213" s="21" t="s">
        <v>7391</v>
      </c>
      <c r="G213" s="22" t="s">
        <v>7387</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7356</v>
      </c>
      <c r="AF213" s="1" t="str">
        <f>VLOOKUP(AE213,t_objeto!B:C,2,FALSE)</f>
        <v>RAW_MATERIAL</v>
      </c>
      <c r="AG213" s="1">
        <v>8</v>
      </c>
      <c r="AH213" s="1" t="str">
        <f>VLOOKUP(AG213,t_entry_status!A:AE,2,FALSE)</f>
        <v>PENDING</v>
      </c>
      <c r="AI213" s="7">
        <v>45560</v>
      </c>
      <c r="AJ213" s="1" t="s">
        <v>7455</v>
      </c>
      <c r="AK213" s="7">
        <v>45560</v>
      </c>
      <c r="AL213" s="1" t="s">
        <v>7455</v>
      </c>
    </row>
    <row r="214" spans="1:38" s="20" customFormat="1" x14ac:dyDescent="0.3">
      <c r="A214" s="14">
        <v>213</v>
      </c>
      <c r="B214" s="14" t="str">
        <f>_xlfn.CONCAT(AE214,"-",VLOOKUP(AE214,t_objeto!B:D,3,FALSE),"-",A214)</f>
        <v>RMAT-PERCCO-213</v>
      </c>
      <c r="C214" s="22" t="str">
        <f t="shared" si="39"/>
        <v>LAMINA_LISA__ACERO_ROLADA EN CALIENTE_3'X10'_22</v>
      </c>
      <c r="D214" s="14" t="s">
        <v>7412</v>
      </c>
      <c r="E214" s="14" t="s">
        <v>7385</v>
      </c>
      <c r="F214" s="21" t="s">
        <v>7391</v>
      </c>
      <c r="G214" s="22" t="s">
        <v>7387</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7356</v>
      </c>
      <c r="AF214" s="1" t="str">
        <f>VLOOKUP(AE214,t_objeto!B:C,2,FALSE)</f>
        <v>RAW_MATERIAL</v>
      </c>
      <c r="AG214" s="1">
        <v>8</v>
      </c>
      <c r="AH214" s="1" t="str">
        <f>VLOOKUP(AG214,t_entry_status!A:AE,2,FALSE)</f>
        <v>PENDING</v>
      </c>
      <c r="AI214" s="7">
        <v>45560</v>
      </c>
      <c r="AJ214" s="1" t="s">
        <v>7455</v>
      </c>
      <c r="AK214" s="7">
        <v>45560</v>
      </c>
      <c r="AL214" s="1" t="s">
        <v>7455</v>
      </c>
    </row>
    <row r="215" spans="1:38" s="20" customFormat="1" x14ac:dyDescent="0.3">
      <c r="A215" s="14">
        <v>214</v>
      </c>
      <c r="B215" s="14" t="str">
        <f>_xlfn.CONCAT(AE215,"-",VLOOKUP(AE215,t_objeto!B:D,3,FALSE),"-",A215)</f>
        <v>RMAT-PERCCO-214</v>
      </c>
      <c r="C215" s="22" t="str">
        <f t="shared" si="39"/>
        <v>LAMINA_LISA__ACERO_ROLADA EN CALIENTE_3'X10'_23</v>
      </c>
      <c r="D215" s="14" t="s">
        <v>7412</v>
      </c>
      <c r="E215" s="14" t="s">
        <v>7385</v>
      </c>
      <c r="F215" s="21" t="s">
        <v>7391</v>
      </c>
      <c r="G215" s="22" t="s">
        <v>7387</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7356</v>
      </c>
      <c r="AF215" s="1" t="str">
        <f>VLOOKUP(AE215,t_objeto!B:C,2,FALSE)</f>
        <v>RAW_MATERIAL</v>
      </c>
      <c r="AG215" s="1">
        <v>8</v>
      </c>
      <c r="AH215" s="1" t="str">
        <f>VLOOKUP(AG215,t_entry_status!A:AE,2,FALSE)</f>
        <v>PENDING</v>
      </c>
      <c r="AI215" s="7">
        <v>45560</v>
      </c>
      <c r="AJ215" s="1" t="s">
        <v>7455</v>
      </c>
      <c r="AK215" s="7">
        <v>45560</v>
      </c>
      <c r="AL215" s="1" t="s">
        <v>7455</v>
      </c>
    </row>
    <row r="216" spans="1:38" s="20" customFormat="1" x14ac:dyDescent="0.3">
      <c r="A216" s="14">
        <v>215</v>
      </c>
      <c r="B216" s="14" t="str">
        <f>_xlfn.CONCAT(AE216,"-",VLOOKUP(AE216,t_objeto!B:D,3,FALSE),"-",A216)</f>
        <v>RMAT-PERCCO-215</v>
      </c>
      <c r="C216" s="22" t="str">
        <f t="shared" si="39"/>
        <v>LAMINA_LISA__ACERO_ROLADA EN CALIENTE_3'X10'_24</v>
      </c>
      <c r="D216" s="14" t="s">
        <v>7412</v>
      </c>
      <c r="E216" s="14" t="s">
        <v>7385</v>
      </c>
      <c r="F216" s="21" t="s">
        <v>7391</v>
      </c>
      <c r="G216" s="22" t="s">
        <v>7387</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7356</v>
      </c>
      <c r="AF216" s="1" t="str">
        <f>VLOOKUP(AE216,t_objeto!B:C,2,FALSE)</f>
        <v>RAW_MATERIAL</v>
      </c>
      <c r="AG216" s="1">
        <v>8</v>
      </c>
      <c r="AH216" s="1" t="str">
        <f>VLOOKUP(AG216,t_entry_status!A:AE,2,FALSE)</f>
        <v>PENDING</v>
      </c>
      <c r="AI216" s="7">
        <v>45560</v>
      </c>
      <c r="AJ216" s="1" t="s">
        <v>7455</v>
      </c>
      <c r="AK216" s="7">
        <v>45560</v>
      </c>
      <c r="AL216" s="1" t="s">
        <v>7455</v>
      </c>
    </row>
    <row r="217" spans="1:38" s="20" customFormat="1" x14ac:dyDescent="0.3">
      <c r="A217" s="14">
        <v>216</v>
      </c>
      <c r="B217" s="14" t="str">
        <f>_xlfn.CONCAT(AE217,"-",VLOOKUP(AE217,t_objeto!B:D,3,FALSE),"-",A217)</f>
        <v>RMAT-PERCCO-216</v>
      </c>
      <c r="C217" s="22" t="str">
        <f t="shared" si="39"/>
        <v>LAMINA_LISA__ACERO_ROLADA EN CALIENTE_3'X10'_25</v>
      </c>
      <c r="D217" s="14" t="s">
        <v>7412</v>
      </c>
      <c r="E217" s="14" t="s">
        <v>7385</v>
      </c>
      <c r="F217" s="21" t="s">
        <v>7391</v>
      </c>
      <c r="G217" s="22" t="s">
        <v>7387</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7356</v>
      </c>
      <c r="AF217" s="1" t="str">
        <f>VLOOKUP(AE217,t_objeto!B:C,2,FALSE)</f>
        <v>RAW_MATERIAL</v>
      </c>
      <c r="AG217" s="1">
        <v>8</v>
      </c>
      <c r="AH217" s="1" t="str">
        <f>VLOOKUP(AG217,t_entry_status!A:AE,2,FALSE)</f>
        <v>PENDING</v>
      </c>
      <c r="AI217" s="7">
        <v>45560</v>
      </c>
      <c r="AJ217" s="1" t="s">
        <v>7455</v>
      </c>
      <c r="AK217" s="7">
        <v>45560</v>
      </c>
      <c r="AL217" s="1" t="s">
        <v>7455</v>
      </c>
    </row>
    <row r="218" spans="1:38" s="20" customFormat="1" x14ac:dyDescent="0.3">
      <c r="A218" s="14">
        <v>217</v>
      </c>
      <c r="B218" s="14" t="str">
        <f>_xlfn.CONCAT(AE218,"-",VLOOKUP(AE218,t_objeto!B:D,3,FALSE),"-",A218)</f>
        <v>RMAT-PERCCO-217</v>
      </c>
      <c r="C218" s="22" t="str">
        <f t="shared" si="39"/>
        <v>LAMINA_LISA__ACERO_ROLADA EN CALIENTE_3'X10'_26</v>
      </c>
      <c r="D218" s="14" t="s">
        <v>7412</v>
      </c>
      <c r="E218" s="14" t="s">
        <v>7385</v>
      </c>
      <c r="F218" s="21" t="s">
        <v>7391</v>
      </c>
      <c r="G218" s="22" t="s">
        <v>7387</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7356</v>
      </c>
      <c r="AF218" s="1" t="str">
        <f>VLOOKUP(AE218,t_objeto!B:C,2,FALSE)</f>
        <v>RAW_MATERIAL</v>
      </c>
      <c r="AG218" s="1">
        <v>8</v>
      </c>
      <c r="AH218" s="1" t="str">
        <f>VLOOKUP(AG218,t_entry_status!A:AE,2,FALSE)</f>
        <v>PENDING</v>
      </c>
      <c r="AI218" s="7">
        <v>45560</v>
      </c>
      <c r="AJ218" s="1" t="s">
        <v>7455</v>
      </c>
      <c r="AK218" s="7">
        <v>45560</v>
      </c>
      <c r="AL218" s="1" t="s">
        <v>7455</v>
      </c>
    </row>
    <row r="219" spans="1:38" s="20" customFormat="1" x14ac:dyDescent="0.3">
      <c r="A219" s="14">
        <v>218</v>
      </c>
      <c r="B219" s="14" t="str">
        <f>_xlfn.CONCAT(AE219,"-",VLOOKUP(AE219,t_objeto!B:D,3,FALSE),"-",A219)</f>
        <v>RMAT-PERCCO-218</v>
      </c>
      <c r="C219" s="22" t="str">
        <f t="shared" si="39"/>
        <v>LAMINA_LISA__ACERO_ROLADA EN CALIENTE_3'X10'_27</v>
      </c>
      <c r="D219" s="14" t="s">
        <v>7412</v>
      </c>
      <c r="E219" s="14" t="s">
        <v>7385</v>
      </c>
      <c r="F219" s="21" t="s">
        <v>7391</v>
      </c>
      <c r="G219" s="22" t="s">
        <v>7387</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7356</v>
      </c>
      <c r="AF219" s="1" t="str">
        <f>VLOOKUP(AE219,t_objeto!B:C,2,FALSE)</f>
        <v>RAW_MATERIAL</v>
      </c>
      <c r="AG219" s="1">
        <v>8</v>
      </c>
      <c r="AH219" s="1" t="str">
        <f>VLOOKUP(AG219,t_entry_status!A:AE,2,FALSE)</f>
        <v>PENDING</v>
      </c>
      <c r="AI219" s="7">
        <v>45560</v>
      </c>
      <c r="AJ219" s="1" t="s">
        <v>7455</v>
      </c>
      <c r="AK219" s="7">
        <v>45560</v>
      </c>
      <c r="AL219" s="1" t="s">
        <v>7455</v>
      </c>
    </row>
    <row r="220" spans="1:38" s="20" customFormat="1" x14ac:dyDescent="0.3">
      <c r="A220" s="14">
        <v>219</v>
      </c>
      <c r="B220" s="14" t="str">
        <f>_xlfn.CONCAT(AE220,"-",VLOOKUP(AE220,t_objeto!B:D,3,FALSE),"-",A220)</f>
        <v>RMAT-PERCCO-219</v>
      </c>
      <c r="C220" s="22" t="str">
        <f t="shared" si="39"/>
        <v>LAMINA_LISA__ACERO_ROLADA EN CALIENTE_3'X10'_28</v>
      </c>
      <c r="D220" s="14" t="s">
        <v>7412</v>
      </c>
      <c r="E220" s="14" t="s">
        <v>7385</v>
      </c>
      <c r="F220" s="21" t="s">
        <v>7391</v>
      </c>
      <c r="G220" s="22" t="s">
        <v>7387</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7356</v>
      </c>
      <c r="AF220" s="1" t="str">
        <f>VLOOKUP(AE220,t_objeto!B:C,2,FALSE)</f>
        <v>RAW_MATERIAL</v>
      </c>
      <c r="AG220" s="1">
        <v>8</v>
      </c>
      <c r="AH220" s="1" t="str">
        <f>VLOOKUP(AG220,t_entry_status!A:AE,2,FALSE)</f>
        <v>PENDING</v>
      </c>
      <c r="AI220" s="7">
        <v>45560</v>
      </c>
      <c r="AJ220" s="1" t="s">
        <v>7455</v>
      </c>
      <c r="AK220" s="7">
        <v>45560</v>
      </c>
      <c r="AL220" s="1" t="s">
        <v>7455</v>
      </c>
    </row>
    <row r="221" spans="1:38" s="20" customFormat="1" x14ac:dyDescent="0.3">
      <c r="A221" s="14">
        <v>220</v>
      </c>
      <c r="B221" s="14" t="str">
        <f>_xlfn.CONCAT(AE221,"-",VLOOKUP(AE221,t_objeto!B:D,3,FALSE),"-",A221)</f>
        <v>RMAT-PERCCO-220</v>
      </c>
      <c r="C221" s="22" t="str">
        <f t="shared" si="39"/>
        <v>LAMINA_LISA__ACERO_ROLADA EN CALIENTE_3'X10'_29</v>
      </c>
      <c r="D221" s="14" t="s">
        <v>7412</v>
      </c>
      <c r="E221" s="14" t="s">
        <v>7385</v>
      </c>
      <c r="F221" s="21" t="s">
        <v>7391</v>
      </c>
      <c r="G221" s="22" t="s">
        <v>7387</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7356</v>
      </c>
      <c r="AF221" s="1" t="str">
        <f>VLOOKUP(AE221,t_objeto!B:C,2,FALSE)</f>
        <v>RAW_MATERIAL</v>
      </c>
      <c r="AG221" s="1">
        <v>8</v>
      </c>
      <c r="AH221" s="1" t="str">
        <f>VLOOKUP(AG221,t_entry_status!A:AE,2,FALSE)</f>
        <v>PENDING</v>
      </c>
      <c r="AI221" s="7">
        <v>45560</v>
      </c>
      <c r="AJ221" s="1" t="s">
        <v>7455</v>
      </c>
      <c r="AK221" s="7">
        <v>45560</v>
      </c>
      <c r="AL221" s="1" t="s">
        <v>7455</v>
      </c>
    </row>
    <row r="222" spans="1:38" s="20" customFormat="1" x14ac:dyDescent="0.3">
      <c r="A222" s="14">
        <v>221</v>
      </c>
      <c r="B222" s="14" t="str">
        <f>_xlfn.CONCAT(AE222,"-",VLOOKUP(AE222,t_objeto!B:D,3,FALSE),"-",A222)</f>
        <v>RMAT-PERCCO-221</v>
      </c>
      <c r="C222" s="22" t="str">
        <f t="shared" si="39"/>
        <v>LAMINA_LISA__ACERO_ROLADA EN CALIENTE_3'X10'_30</v>
      </c>
      <c r="D222" s="14" t="s">
        <v>7412</v>
      </c>
      <c r="E222" s="14" t="s">
        <v>7385</v>
      </c>
      <c r="F222" s="21" t="s">
        <v>7391</v>
      </c>
      <c r="G222" s="22" t="s">
        <v>7387</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7356</v>
      </c>
      <c r="AF222" s="1" t="str">
        <f>VLOOKUP(AE222,t_objeto!B:C,2,FALSE)</f>
        <v>RAW_MATERIAL</v>
      </c>
      <c r="AG222" s="1">
        <v>8</v>
      </c>
      <c r="AH222" s="1" t="str">
        <f>VLOOKUP(AG222,t_entry_status!A:AE,2,FALSE)</f>
        <v>PENDING</v>
      </c>
      <c r="AI222" s="7">
        <v>45560</v>
      </c>
      <c r="AJ222" s="1" t="s">
        <v>7455</v>
      </c>
      <c r="AK222" s="7">
        <v>45560</v>
      </c>
      <c r="AL222" s="1" t="s">
        <v>7455</v>
      </c>
    </row>
    <row r="223" spans="1:38" s="20" customFormat="1" x14ac:dyDescent="0.3">
      <c r="A223" s="14">
        <v>222</v>
      </c>
      <c r="B223" s="14" t="str">
        <f>_xlfn.CONCAT(AE223,"-",VLOOKUP(AE223,t_objeto!B:D,3,FALSE),"-",A223)</f>
        <v>RMAT-PERCCO-222</v>
      </c>
      <c r="C223" s="22" t="str">
        <f t="shared" si="39"/>
        <v>PLACA__ACERO_ROLADA EN FRIO_3'X10'_1"</v>
      </c>
      <c r="D223" s="14" t="s">
        <v>7390</v>
      </c>
      <c r="E223" s="14" t="s">
        <v>7385</v>
      </c>
      <c r="F223" s="21" t="s">
        <v>7405</v>
      </c>
      <c r="G223" s="22" t="s">
        <v>7387</v>
      </c>
      <c r="H223" s="14" t="s">
        <v>7392</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7356</v>
      </c>
      <c r="AF223" s="1" t="str">
        <f>VLOOKUP(AE223,t_objeto!B:C,2,FALSE)</f>
        <v>RAW_MATERIAL</v>
      </c>
      <c r="AG223" s="1">
        <v>8</v>
      </c>
      <c r="AH223" s="1" t="str">
        <f>VLOOKUP(AG223,t_entry_status!A:AE,2,FALSE)</f>
        <v>PENDING</v>
      </c>
      <c r="AI223" s="7">
        <v>45560</v>
      </c>
      <c r="AJ223" s="1" t="s">
        <v>7455</v>
      </c>
      <c r="AK223" s="7">
        <v>45560</v>
      </c>
      <c r="AL223" s="1" t="s">
        <v>7455</v>
      </c>
    </row>
    <row r="224" spans="1:38" s="20" customFormat="1" x14ac:dyDescent="0.3">
      <c r="A224" s="14">
        <v>223</v>
      </c>
      <c r="B224" s="14" t="str">
        <f>_xlfn.CONCAT(AE224,"-",VLOOKUP(AE224,t_objeto!B:D,3,FALSE),"-",A224)</f>
        <v>RMAT-PERCCO-223</v>
      </c>
      <c r="C224" s="22" t="str">
        <f t="shared" si="39"/>
        <v>PLACA__ACERO_ROLADA EN FRIO_3'X10'_7/8"</v>
      </c>
      <c r="D224" s="14" t="s">
        <v>7390</v>
      </c>
      <c r="E224" s="14" t="s">
        <v>7385</v>
      </c>
      <c r="F224" s="21" t="s">
        <v>7405</v>
      </c>
      <c r="G224" s="22" t="s">
        <v>7387</v>
      </c>
      <c r="H224" s="14" t="s">
        <v>7393</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7356</v>
      </c>
      <c r="AF224" s="1" t="str">
        <f>VLOOKUP(AE224,t_objeto!B:C,2,FALSE)</f>
        <v>RAW_MATERIAL</v>
      </c>
      <c r="AG224" s="1">
        <v>8</v>
      </c>
      <c r="AH224" s="1" t="str">
        <f>VLOOKUP(AG224,t_entry_status!A:AE,2,FALSE)</f>
        <v>PENDING</v>
      </c>
      <c r="AI224" s="7">
        <v>45560</v>
      </c>
      <c r="AJ224" s="1" t="s">
        <v>7455</v>
      </c>
      <c r="AK224" s="7">
        <v>45560</v>
      </c>
      <c r="AL224" s="1" t="s">
        <v>7455</v>
      </c>
    </row>
    <row r="225" spans="1:38" s="20" customFormat="1" x14ac:dyDescent="0.3">
      <c r="A225" s="14">
        <v>224</v>
      </c>
      <c r="B225" s="14" t="str">
        <f>_xlfn.CONCAT(AE225,"-",VLOOKUP(AE225,t_objeto!B:D,3,FALSE),"-",A225)</f>
        <v>RMAT-PERCCO-224</v>
      </c>
      <c r="C225" s="22" t="str">
        <f t="shared" si="39"/>
        <v>PLACA__ACERO_ROLADA EN FRIO_3'X10'_3/4"</v>
      </c>
      <c r="D225" s="14" t="s">
        <v>7390</v>
      </c>
      <c r="E225" s="14" t="s">
        <v>7385</v>
      </c>
      <c r="F225" s="21" t="s">
        <v>7405</v>
      </c>
      <c r="G225" s="22" t="s">
        <v>7387</v>
      </c>
      <c r="H225" s="14" t="s">
        <v>7394</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7356</v>
      </c>
      <c r="AF225" s="1" t="str">
        <f>VLOOKUP(AE225,t_objeto!B:C,2,FALSE)</f>
        <v>RAW_MATERIAL</v>
      </c>
      <c r="AG225" s="1">
        <v>8</v>
      </c>
      <c r="AH225" s="1" t="str">
        <f>VLOOKUP(AG225,t_entry_status!A:AE,2,FALSE)</f>
        <v>PENDING</v>
      </c>
      <c r="AI225" s="7">
        <v>45560</v>
      </c>
      <c r="AJ225" s="1" t="s">
        <v>7455</v>
      </c>
      <c r="AK225" s="7">
        <v>45560</v>
      </c>
      <c r="AL225" s="1" t="s">
        <v>7455</v>
      </c>
    </row>
    <row r="226" spans="1:38" s="20" customFormat="1" x14ac:dyDescent="0.3">
      <c r="A226" s="14">
        <v>225</v>
      </c>
      <c r="B226" s="14" t="str">
        <f>_xlfn.CONCAT(AE226,"-",VLOOKUP(AE226,t_objeto!B:D,3,FALSE),"-",A226)</f>
        <v>RMAT-PERCCO-225</v>
      </c>
      <c r="C226" s="22" t="str">
        <f t="shared" si="39"/>
        <v>PLACA__ACERO_ROLADA EN FRIO_3'X10'_11/16"</v>
      </c>
      <c r="D226" s="14" t="s">
        <v>7390</v>
      </c>
      <c r="E226" s="14" t="s">
        <v>7385</v>
      </c>
      <c r="F226" s="21" t="s">
        <v>7405</v>
      </c>
      <c r="G226" s="22" t="s">
        <v>7387</v>
      </c>
      <c r="H226" s="14" t="s">
        <v>7395</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7356</v>
      </c>
      <c r="AF226" s="1" t="str">
        <f>VLOOKUP(AE226,t_objeto!B:C,2,FALSE)</f>
        <v>RAW_MATERIAL</v>
      </c>
      <c r="AG226" s="1">
        <v>8</v>
      </c>
      <c r="AH226" s="1" t="str">
        <f>VLOOKUP(AG226,t_entry_status!A:AE,2,FALSE)</f>
        <v>PENDING</v>
      </c>
      <c r="AI226" s="7">
        <v>45560</v>
      </c>
      <c r="AJ226" s="1" t="s">
        <v>7455</v>
      </c>
      <c r="AK226" s="7">
        <v>45560</v>
      </c>
      <c r="AL226" s="1" t="s">
        <v>7455</v>
      </c>
    </row>
    <row r="227" spans="1:38" s="20" customFormat="1" x14ac:dyDescent="0.3">
      <c r="A227" s="14">
        <v>226</v>
      </c>
      <c r="B227" s="14" t="str">
        <f>_xlfn.CONCAT(AE227,"-",VLOOKUP(AE227,t_objeto!B:D,3,FALSE),"-",A227)</f>
        <v>RMAT-PERCCO-226</v>
      </c>
      <c r="C227" s="22" t="str">
        <f t="shared" si="39"/>
        <v>PLACA__ACERO_ROLADA EN FRIO_3'X10'_5/8"</v>
      </c>
      <c r="D227" s="14" t="s">
        <v>7390</v>
      </c>
      <c r="E227" s="14" t="s">
        <v>7385</v>
      </c>
      <c r="F227" s="21" t="s">
        <v>7405</v>
      </c>
      <c r="G227" s="22" t="s">
        <v>7387</v>
      </c>
      <c r="H227" s="14" t="s">
        <v>7396</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7356</v>
      </c>
      <c r="AF227" s="1" t="str">
        <f>VLOOKUP(AE227,t_objeto!B:C,2,FALSE)</f>
        <v>RAW_MATERIAL</v>
      </c>
      <c r="AG227" s="1">
        <v>8</v>
      </c>
      <c r="AH227" s="1" t="str">
        <f>VLOOKUP(AG227,t_entry_status!A:AE,2,FALSE)</f>
        <v>PENDING</v>
      </c>
      <c r="AI227" s="7">
        <v>45560</v>
      </c>
      <c r="AJ227" s="1" t="s">
        <v>7455</v>
      </c>
      <c r="AK227" s="7">
        <v>45560</v>
      </c>
      <c r="AL227" s="1" t="s">
        <v>7455</v>
      </c>
    </row>
    <row r="228" spans="1:38" s="20" customFormat="1" x14ac:dyDescent="0.3">
      <c r="A228" s="14">
        <v>227</v>
      </c>
      <c r="B228" s="14" t="str">
        <f>_xlfn.CONCAT(AE228,"-",VLOOKUP(AE228,t_objeto!B:D,3,FALSE),"-",A228)</f>
        <v>RMAT-PERCCO-227</v>
      </c>
      <c r="C228" s="22" t="str">
        <f t="shared" si="39"/>
        <v>PLACA__ACERO_ROLADA EN FRIO_3'X10'_9/16"</v>
      </c>
      <c r="D228" s="14" t="s">
        <v>7390</v>
      </c>
      <c r="E228" s="14" t="s">
        <v>7385</v>
      </c>
      <c r="F228" s="21" t="s">
        <v>7405</v>
      </c>
      <c r="G228" s="22" t="s">
        <v>7387</v>
      </c>
      <c r="H228" s="14" t="s">
        <v>7397</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7356</v>
      </c>
      <c r="AF228" s="1" t="str">
        <f>VLOOKUP(AE228,t_objeto!B:C,2,FALSE)</f>
        <v>RAW_MATERIAL</v>
      </c>
      <c r="AG228" s="1">
        <v>8</v>
      </c>
      <c r="AH228" s="1" t="str">
        <f>VLOOKUP(AG228,t_entry_status!A:AE,2,FALSE)</f>
        <v>PENDING</v>
      </c>
      <c r="AI228" s="7">
        <v>45560</v>
      </c>
      <c r="AJ228" s="1" t="s">
        <v>7455</v>
      </c>
      <c r="AK228" s="7">
        <v>45560</v>
      </c>
      <c r="AL228" s="1" t="s">
        <v>7455</v>
      </c>
    </row>
    <row r="229" spans="1:38" s="20" customFormat="1" x14ac:dyDescent="0.3">
      <c r="A229" s="14">
        <v>228</v>
      </c>
      <c r="B229" s="14" t="str">
        <f>_xlfn.CONCAT(AE229,"-",VLOOKUP(AE229,t_objeto!B:D,3,FALSE),"-",A229)</f>
        <v>RMAT-PERCCO-228</v>
      </c>
      <c r="C229" s="22" t="str">
        <f t="shared" si="39"/>
        <v>PLACA__ACERO_ROLADA EN FRIO_3'X10'_1/2"</v>
      </c>
      <c r="D229" s="14" t="s">
        <v>7390</v>
      </c>
      <c r="E229" s="14" t="s">
        <v>7385</v>
      </c>
      <c r="F229" s="21" t="s">
        <v>7405</v>
      </c>
      <c r="G229" s="22" t="s">
        <v>7387</v>
      </c>
      <c r="H229" s="14" t="s">
        <v>7398</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7356</v>
      </c>
      <c r="AF229" s="1" t="str">
        <f>VLOOKUP(AE229,t_objeto!B:C,2,FALSE)</f>
        <v>RAW_MATERIAL</v>
      </c>
      <c r="AG229" s="1">
        <v>8</v>
      </c>
      <c r="AH229" s="1" t="str">
        <f>VLOOKUP(AG229,t_entry_status!A:AE,2,FALSE)</f>
        <v>PENDING</v>
      </c>
      <c r="AI229" s="7">
        <v>45560</v>
      </c>
      <c r="AJ229" s="1" t="s">
        <v>7455</v>
      </c>
      <c r="AK229" s="7">
        <v>45560</v>
      </c>
      <c r="AL229" s="1" t="s">
        <v>7455</v>
      </c>
    </row>
    <row r="230" spans="1:38" s="20" customFormat="1" x14ac:dyDescent="0.3">
      <c r="A230" s="14">
        <v>229</v>
      </c>
      <c r="B230" s="14" t="str">
        <f>_xlfn.CONCAT(AE230,"-",VLOOKUP(AE230,t_objeto!B:D,3,FALSE),"-",A230)</f>
        <v>RMAT-PERCCO-229</v>
      </c>
      <c r="C230" s="22" t="str">
        <f t="shared" si="39"/>
        <v>PLACA__ACERO_ROLADA EN FRIO_3'X10'_7/16"</v>
      </c>
      <c r="D230" s="14" t="s">
        <v>7390</v>
      </c>
      <c r="E230" s="14" t="s">
        <v>7385</v>
      </c>
      <c r="F230" s="21" t="s">
        <v>7405</v>
      </c>
      <c r="G230" s="22" t="s">
        <v>7387</v>
      </c>
      <c r="H230" s="14" t="s">
        <v>7399</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7356</v>
      </c>
      <c r="AF230" s="1" t="str">
        <f>VLOOKUP(AE230,t_objeto!B:C,2,FALSE)</f>
        <v>RAW_MATERIAL</v>
      </c>
      <c r="AG230" s="1">
        <v>8</v>
      </c>
      <c r="AH230" s="1" t="str">
        <f>VLOOKUP(AG230,t_entry_status!A:AE,2,FALSE)</f>
        <v>PENDING</v>
      </c>
      <c r="AI230" s="7">
        <v>45560</v>
      </c>
      <c r="AJ230" s="1" t="s">
        <v>7455</v>
      </c>
      <c r="AK230" s="7">
        <v>45560</v>
      </c>
      <c r="AL230" s="1" t="s">
        <v>7455</v>
      </c>
    </row>
    <row r="231" spans="1:38" s="20" customFormat="1" x14ac:dyDescent="0.3">
      <c r="A231" s="14">
        <v>230</v>
      </c>
      <c r="B231" s="14" t="str">
        <f>_xlfn.CONCAT(AE231,"-",VLOOKUP(AE231,t_objeto!B:D,3,FALSE),"-",A231)</f>
        <v>RMAT-PERCCO-230</v>
      </c>
      <c r="C231" s="22" t="str">
        <f t="shared" si="39"/>
        <v>PLACA__ACERO_ROLADA EN FRIO_3'X10'_3/8"</v>
      </c>
      <c r="D231" s="14" t="s">
        <v>7390</v>
      </c>
      <c r="E231" s="14" t="s">
        <v>7385</v>
      </c>
      <c r="F231" s="21" t="s">
        <v>7405</v>
      </c>
      <c r="G231" s="22" t="s">
        <v>7387</v>
      </c>
      <c r="H231" s="14" t="s">
        <v>7400</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7356</v>
      </c>
      <c r="AF231" s="1" t="str">
        <f>VLOOKUP(AE231,t_objeto!B:C,2,FALSE)</f>
        <v>RAW_MATERIAL</v>
      </c>
      <c r="AG231" s="1">
        <v>8</v>
      </c>
      <c r="AH231" s="1" t="str">
        <f>VLOOKUP(AG231,t_entry_status!A:AE,2,FALSE)</f>
        <v>PENDING</v>
      </c>
      <c r="AI231" s="7">
        <v>45560</v>
      </c>
      <c r="AJ231" s="1" t="s">
        <v>7455</v>
      </c>
      <c r="AK231" s="7">
        <v>45560</v>
      </c>
      <c r="AL231" s="1" t="s">
        <v>7455</v>
      </c>
    </row>
    <row r="232" spans="1:38" s="20" customFormat="1" x14ac:dyDescent="0.3">
      <c r="A232" s="14">
        <v>231</v>
      </c>
      <c r="B232" s="14" t="str">
        <f>_xlfn.CONCAT(AE232,"-",VLOOKUP(AE232,t_objeto!B:D,3,FALSE),"-",A232)</f>
        <v>RMAT-PERCCO-231</v>
      </c>
      <c r="C232" s="22" t="str">
        <f t="shared" si="39"/>
        <v>PLACA__ACERO_ROLADA EN FRIO_3'X10'_5/16"</v>
      </c>
      <c r="D232" s="14" t="s">
        <v>7390</v>
      </c>
      <c r="E232" s="14" t="s">
        <v>7385</v>
      </c>
      <c r="F232" s="21" t="s">
        <v>7405</v>
      </c>
      <c r="G232" s="22" t="s">
        <v>7387</v>
      </c>
      <c r="H232" s="14" t="s">
        <v>7401</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7356</v>
      </c>
      <c r="AF232" s="1" t="str">
        <f>VLOOKUP(AE232,t_objeto!B:C,2,FALSE)</f>
        <v>RAW_MATERIAL</v>
      </c>
      <c r="AG232" s="1">
        <v>8</v>
      </c>
      <c r="AH232" s="1" t="str">
        <f>VLOOKUP(AG232,t_entry_status!A:AE,2,FALSE)</f>
        <v>PENDING</v>
      </c>
      <c r="AI232" s="7">
        <v>45560</v>
      </c>
      <c r="AJ232" s="1" t="s">
        <v>7455</v>
      </c>
      <c r="AK232" s="7">
        <v>45560</v>
      </c>
      <c r="AL232" s="1" t="s">
        <v>7455</v>
      </c>
    </row>
    <row r="233" spans="1:38" s="20" customFormat="1" x14ac:dyDescent="0.3">
      <c r="A233" s="14">
        <v>232</v>
      </c>
      <c r="B233" s="14" t="str">
        <f>_xlfn.CONCAT(AE233,"-",VLOOKUP(AE233,t_objeto!B:D,3,FALSE),"-",A233)</f>
        <v>RMAT-PERCCO-232</v>
      </c>
      <c r="C233" s="22" t="str">
        <f t="shared" si="39"/>
        <v>PLACA__ACERO_ROLADA EN FRIO_3'X10'_1/4"</v>
      </c>
      <c r="D233" s="14" t="s">
        <v>7390</v>
      </c>
      <c r="E233" s="14" t="s">
        <v>7385</v>
      </c>
      <c r="F233" s="21" t="s">
        <v>7405</v>
      </c>
      <c r="G233" s="22" t="s">
        <v>7387</v>
      </c>
      <c r="H233" s="14" t="s">
        <v>7402</v>
      </c>
      <c r="I233" s="16">
        <v>6.35</v>
      </c>
      <c r="J233" s="16">
        <f t="shared" si="40"/>
        <v>0.25</v>
      </c>
      <c r="K233" s="16">
        <v>49.847999999999999</v>
      </c>
      <c r="L233" s="23">
        <v>1.2</v>
      </c>
      <c r="M233" s="23">
        <v>0.6</v>
      </c>
      <c r="N233" s="23"/>
      <c r="O233" s="23"/>
      <c r="P233" s="23"/>
      <c r="Q233" s="19" t="s">
        <v>7406</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7356</v>
      </c>
      <c r="AF233" s="1" t="str">
        <f>VLOOKUP(AE233,t_objeto!B:C,2,FALSE)</f>
        <v>RAW_MATERIAL</v>
      </c>
      <c r="AG233" s="1">
        <v>8</v>
      </c>
      <c r="AH233" s="1" t="str">
        <f>VLOOKUP(AG233,t_entry_status!A:AE,2,FALSE)</f>
        <v>PENDING</v>
      </c>
      <c r="AI233" s="7">
        <v>45560</v>
      </c>
      <c r="AJ233" s="1" t="s">
        <v>7455</v>
      </c>
      <c r="AK233" s="7">
        <v>45560</v>
      </c>
      <c r="AL233" s="1" t="s">
        <v>7455</v>
      </c>
    </row>
    <row r="234" spans="1:38" s="20" customFormat="1" x14ac:dyDescent="0.3">
      <c r="A234" s="14">
        <v>233</v>
      </c>
      <c r="B234" s="14" t="str">
        <f>_xlfn.CONCAT(AE234,"-",VLOOKUP(AE234,t_objeto!B:D,3,FALSE),"-",A234)</f>
        <v>RMAT-PERCCO-233</v>
      </c>
      <c r="C234" s="22" t="str">
        <f t="shared" si="39"/>
        <v>PLACA__ACERO_ROLADA EN FRIO_3'X10'_3/16"</v>
      </c>
      <c r="D234" s="14" t="s">
        <v>7390</v>
      </c>
      <c r="E234" s="14" t="s">
        <v>7385</v>
      </c>
      <c r="F234" s="21" t="s">
        <v>7405</v>
      </c>
      <c r="G234" s="22" t="s">
        <v>7387</v>
      </c>
      <c r="H234" s="14" t="s">
        <v>7403</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7356</v>
      </c>
      <c r="AF234" s="1" t="str">
        <f>VLOOKUP(AE234,t_objeto!B:C,2,FALSE)</f>
        <v>RAW_MATERIAL</v>
      </c>
      <c r="AG234" s="1">
        <v>8</v>
      </c>
      <c r="AH234" s="1" t="str">
        <f>VLOOKUP(AG234,t_entry_status!A:AE,2,FALSE)</f>
        <v>PENDING</v>
      </c>
      <c r="AI234" s="7">
        <v>45560</v>
      </c>
      <c r="AJ234" s="1" t="s">
        <v>7455</v>
      </c>
      <c r="AK234" s="7">
        <v>45560</v>
      </c>
      <c r="AL234" s="1" t="s">
        <v>7455</v>
      </c>
    </row>
    <row r="235" spans="1:38" s="20" customFormat="1" x14ac:dyDescent="0.3">
      <c r="A235" s="14">
        <v>234</v>
      </c>
      <c r="B235" s="14" t="str">
        <f>_xlfn.CONCAT(AE235,"-",VLOOKUP(AE235,t_objeto!B:D,3,FALSE),"-",A235)</f>
        <v>RMAT-PERCCO-234</v>
      </c>
      <c r="C235" s="22" t="str">
        <f t="shared" si="39"/>
        <v>LAMINA_LISA__ACERO_ROLADA EN FRIO_3'X10'_4</v>
      </c>
      <c r="D235" s="14" t="s">
        <v>7412</v>
      </c>
      <c r="E235" s="14" t="s">
        <v>7385</v>
      </c>
      <c r="F235" s="21" t="s">
        <v>7405</v>
      </c>
      <c r="G235" s="22" t="s">
        <v>7387</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7356</v>
      </c>
      <c r="AF235" s="1" t="str">
        <f>VLOOKUP(AE235,t_objeto!B:C,2,FALSE)</f>
        <v>RAW_MATERIAL</v>
      </c>
      <c r="AG235" s="1">
        <v>8</v>
      </c>
      <c r="AH235" s="1" t="str">
        <f>VLOOKUP(AG235,t_entry_status!A:AE,2,FALSE)</f>
        <v>PENDING</v>
      </c>
      <c r="AI235" s="7">
        <v>45560</v>
      </c>
      <c r="AJ235" s="1" t="s">
        <v>7455</v>
      </c>
      <c r="AK235" s="7">
        <v>45560</v>
      </c>
      <c r="AL235" s="1" t="s">
        <v>7455</v>
      </c>
    </row>
    <row r="236" spans="1:38" s="20" customFormat="1" x14ac:dyDescent="0.3">
      <c r="A236" s="14">
        <v>235</v>
      </c>
      <c r="B236" s="14" t="str">
        <f>_xlfn.CONCAT(AE236,"-",VLOOKUP(AE236,t_objeto!B:D,3,FALSE),"-",A236)</f>
        <v>RMAT-PERCCO-235</v>
      </c>
      <c r="C236" s="22" t="str">
        <f t="shared" si="39"/>
        <v>LAMINA_LISA__ACERO_ROLADA EN FRIO_3'X10'_5</v>
      </c>
      <c r="D236" s="14" t="s">
        <v>7412</v>
      </c>
      <c r="E236" s="14" t="s">
        <v>7385</v>
      </c>
      <c r="F236" s="21" t="s">
        <v>7405</v>
      </c>
      <c r="G236" s="22" t="s">
        <v>7387</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7356</v>
      </c>
      <c r="AF236" s="1" t="str">
        <f>VLOOKUP(AE236,t_objeto!B:C,2,FALSE)</f>
        <v>RAW_MATERIAL</v>
      </c>
      <c r="AG236" s="1">
        <v>8</v>
      </c>
      <c r="AH236" s="1" t="str">
        <f>VLOOKUP(AG236,t_entry_status!A:AE,2,FALSE)</f>
        <v>PENDING</v>
      </c>
      <c r="AI236" s="7">
        <v>45560</v>
      </c>
      <c r="AJ236" s="1" t="s">
        <v>7455</v>
      </c>
      <c r="AK236" s="7">
        <v>45560</v>
      </c>
      <c r="AL236" s="1" t="s">
        <v>7455</v>
      </c>
    </row>
    <row r="237" spans="1:38" s="20" customFormat="1" x14ac:dyDescent="0.3">
      <c r="A237" s="14">
        <v>236</v>
      </c>
      <c r="B237" s="14" t="str">
        <f>_xlfn.CONCAT(AE237,"-",VLOOKUP(AE237,t_objeto!B:D,3,FALSE),"-",A237)</f>
        <v>RMAT-PERCCO-236</v>
      </c>
      <c r="C237" s="22" t="str">
        <f t="shared" si="39"/>
        <v>LAMINA_LISA__ACERO_ROLADA EN FRIO_3'X10'_6</v>
      </c>
      <c r="D237" s="14" t="s">
        <v>7412</v>
      </c>
      <c r="E237" s="14" t="s">
        <v>7385</v>
      </c>
      <c r="F237" s="21" t="s">
        <v>7405</v>
      </c>
      <c r="G237" s="22" t="s">
        <v>7387</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7356</v>
      </c>
      <c r="AF237" s="1" t="str">
        <f>VLOOKUP(AE237,t_objeto!B:C,2,FALSE)</f>
        <v>RAW_MATERIAL</v>
      </c>
      <c r="AG237" s="1">
        <v>8</v>
      </c>
      <c r="AH237" s="1" t="str">
        <f>VLOOKUP(AG237,t_entry_status!A:AE,2,FALSE)</f>
        <v>PENDING</v>
      </c>
      <c r="AI237" s="7">
        <v>45560</v>
      </c>
      <c r="AJ237" s="1" t="s">
        <v>7455</v>
      </c>
      <c r="AK237" s="7">
        <v>45560</v>
      </c>
      <c r="AL237" s="1" t="s">
        <v>7455</v>
      </c>
    </row>
    <row r="238" spans="1:38" s="20" customFormat="1" x14ac:dyDescent="0.3">
      <c r="A238" s="14">
        <v>237</v>
      </c>
      <c r="B238" s="14" t="str">
        <f>_xlfn.CONCAT(AE238,"-",VLOOKUP(AE238,t_objeto!B:D,3,FALSE),"-",A238)</f>
        <v>RMAT-PERCCO-237</v>
      </c>
      <c r="C238" s="22" t="str">
        <f t="shared" si="39"/>
        <v>LAMINA_LISA__ACERO_ROLADA EN FRIO_3'X10'_7</v>
      </c>
      <c r="D238" s="14" t="s">
        <v>7412</v>
      </c>
      <c r="E238" s="14" t="s">
        <v>7385</v>
      </c>
      <c r="F238" s="21" t="s">
        <v>7405</v>
      </c>
      <c r="G238" s="22" t="s">
        <v>7387</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7356</v>
      </c>
      <c r="AF238" s="1" t="str">
        <f>VLOOKUP(AE238,t_objeto!B:C,2,FALSE)</f>
        <v>RAW_MATERIAL</v>
      </c>
      <c r="AG238" s="1">
        <v>8</v>
      </c>
      <c r="AH238" s="1" t="str">
        <f>VLOOKUP(AG238,t_entry_status!A:AE,2,FALSE)</f>
        <v>PENDING</v>
      </c>
      <c r="AI238" s="7">
        <v>45560</v>
      </c>
      <c r="AJ238" s="1" t="s">
        <v>7455</v>
      </c>
      <c r="AK238" s="7">
        <v>45560</v>
      </c>
      <c r="AL238" s="1" t="s">
        <v>7455</v>
      </c>
    </row>
    <row r="239" spans="1:38" s="20" customFormat="1" x14ac:dyDescent="0.3">
      <c r="A239" s="14">
        <v>238</v>
      </c>
      <c r="B239" s="14" t="str">
        <f>_xlfn.CONCAT(AE239,"-",VLOOKUP(AE239,t_objeto!B:D,3,FALSE),"-",A239)</f>
        <v>RMAT-PERCCO-238</v>
      </c>
      <c r="C239" s="22" t="str">
        <f t="shared" si="39"/>
        <v>LAMINA_LISA__ACERO_ROLADA EN FRIO_3'X10'_8</v>
      </c>
      <c r="D239" s="14" t="s">
        <v>7412</v>
      </c>
      <c r="E239" s="14" t="s">
        <v>7385</v>
      </c>
      <c r="F239" s="21" t="s">
        <v>7405</v>
      </c>
      <c r="G239" s="22" t="s">
        <v>7387</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7356</v>
      </c>
      <c r="AF239" s="1" t="str">
        <f>VLOOKUP(AE239,t_objeto!B:C,2,FALSE)</f>
        <v>RAW_MATERIAL</v>
      </c>
      <c r="AG239" s="1">
        <v>8</v>
      </c>
      <c r="AH239" s="1" t="str">
        <f>VLOOKUP(AG239,t_entry_status!A:AE,2,FALSE)</f>
        <v>PENDING</v>
      </c>
      <c r="AI239" s="7">
        <v>45560</v>
      </c>
      <c r="AJ239" s="1" t="s">
        <v>7455</v>
      </c>
      <c r="AK239" s="7">
        <v>45560</v>
      </c>
      <c r="AL239" s="1" t="s">
        <v>7455</v>
      </c>
    </row>
    <row r="240" spans="1:38" s="20" customFormat="1" x14ac:dyDescent="0.3">
      <c r="A240" s="14">
        <v>239</v>
      </c>
      <c r="B240" s="14" t="str">
        <f>_xlfn.CONCAT(AE240,"-",VLOOKUP(AE240,t_objeto!B:D,3,FALSE),"-",A240)</f>
        <v>RMAT-PERCCO-239</v>
      </c>
      <c r="C240" s="22" t="str">
        <f t="shared" si="39"/>
        <v>LAMINA_LISA__ACERO_ROLADA EN FRIO_3'X10'_9</v>
      </c>
      <c r="D240" s="14" t="s">
        <v>7412</v>
      </c>
      <c r="E240" s="14" t="s">
        <v>7385</v>
      </c>
      <c r="F240" s="21" t="s">
        <v>7405</v>
      </c>
      <c r="G240" s="22" t="s">
        <v>7387</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7356</v>
      </c>
      <c r="AF240" s="1" t="str">
        <f>VLOOKUP(AE240,t_objeto!B:C,2,FALSE)</f>
        <v>RAW_MATERIAL</v>
      </c>
      <c r="AG240" s="1">
        <v>8</v>
      </c>
      <c r="AH240" s="1" t="str">
        <f>VLOOKUP(AG240,t_entry_status!A:AE,2,FALSE)</f>
        <v>PENDING</v>
      </c>
      <c r="AI240" s="7">
        <v>45560</v>
      </c>
      <c r="AJ240" s="1" t="s">
        <v>7455</v>
      </c>
      <c r="AK240" s="7">
        <v>45560</v>
      </c>
      <c r="AL240" s="1" t="s">
        <v>7455</v>
      </c>
    </row>
    <row r="241" spans="1:38" s="20" customFormat="1" x14ac:dyDescent="0.3">
      <c r="A241" s="14">
        <v>240</v>
      </c>
      <c r="B241" s="14" t="str">
        <f>_xlfn.CONCAT(AE241,"-",VLOOKUP(AE241,t_objeto!B:D,3,FALSE),"-",A241)</f>
        <v>RMAT-PERCCO-240</v>
      </c>
      <c r="C241" s="22" t="str">
        <f t="shared" si="39"/>
        <v>LAMINA_LISA__ACERO_ROLADA EN FRIO_3'X10'_10</v>
      </c>
      <c r="D241" s="14" t="s">
        <v>7412</v>
      </c>
      <c r="E241" s="14" t="s">
        <v>7385</v>
      </c>
      <c r="F241" s="21" t="s">
        <v>7405</v>
      </c>
      <c r="G241" s="22" t="s">
        <v>7387</v>
      </c>
      <c r="H241" s="14">
        <v>10</v>
      </c>
      <c r="I241" s="16">
        <v>3.42</v>
      </c>
      <c r="J241" s="16">
        <f t="shared" si="40"/>
        <v>0.13464566929133859</v>
      </c>
      <c r="K241" s="16">
        <v>26.847000000000001</v>
      </c>
      <c r="L241" s="23">
        <v>2</v>
      </c>
      <c r="M241" s="23">
        <v>1</v>
      </c>
      <c r="N241" s="23">
        <v>10</v>
      </c>
      <c r="O241" s="23"/>
      <c r="P241" s="23"/>
      <c r="Q241" s="19" t="s">
        <v>7407</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7356</v>
      </c>
      <c r="AF241" s="1" t="str">
        <f>VLOOKUP(AE241,t_objeto!B:C,2,FALSE)</f>
        <v>RAW_MATERIAL</v>
      </c>
      <c r="AG241" s="1">
        <v>8</v>
      </c>
      <c r="AH241" s="1" t="str">
        <f>VLOOKUP(AG241,t_entry_status!A:AE,2,FALSE)</f>
        <v>PENDING</v>
      </c>
      <c r="AI241" s="7">
        <v>45560</v>
      </c>
      <c r="AJ241" s="1" t="s">
        <v>7455</v>
      </c>
      <c r="AK241" s="7">
        <v>45560</v>
      </c>
      <c r="AL241" s="1" t="s">
        <v>7455</v>
      </c>
    </row>
    <row r="242" spans="1:38" s="20" customFormat="1" x14ac:dyDescent="0.3">
      <c r="A242" s="14">
        <v>241</v>
      </c>
      <c r="B242" s="14" t="str">
        <f>_xlfn.CONCAT(AE242,"-",VLOOKUP(AE242,t_objeto!B:D,3,FALSE),"-",A242)</f>
        <v>RMAT-PERCCO-241</v>
      </c>
      <c r="C242" s="22" t="str">
        <f t="shared" si="39"/>
        <v>LAMINA_LISA__ACERO_ROLADA EN FRIO_3'X8'_1/8"</v>
      </c>
      <c r="D242" s="14" t="s">
        <v>7412</v>
      </c>
      <c r="E242" s="14" t="s">
        <v>7385</v>
      </c>
      <c r="F242" s="21" t="s">
        <v>7405</v>
      </c>
      <c r="G242" s="22" t="s">
        <v>7387</v>
      </c>
      <c r="H242" s="14" t="s">
        <v>7404</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7356</v>
      </c>
      <c r="AF242" s="1" t="str">
        <f>VLOOKUP(AE242,t_objeto!B:C,2,FALSE)</f>
        <v>RAW_MATERIAL</v>
      </c>
      <c r="AG242" s="1">
        <v>8</v>
      </c>
      <c r="AH242" s="1" t="str">
        <f>VLOOKUP(AG242,t_entry_status!A:AE,2,FALSE)</f>
        <v>PENDING</v>
      </c>
      <c r="AI242" s="7">
        <v>45560</v>
      </c>
      <c r="AJ242" s="1" t="s">
        <v>7455</v>
      </c>
      <c r="AK242" s="7">
        <v>45560</v>
      </c>
      <c r="AL242" s="1" t="s">
        <v>7455</v>
      </c>
    </row>
    <row r="243" spans="1:38" s="20" customFormat="1" x14ac:dyDescent="0.3">
      <c r="A243" s="14">
        <v>242</v>
      </c>
      <c r="B243" s="14" t="str">
        <f>_xlfn.CONCAT(AE243,"-",VLOOKUP(AE243,t_objeto!B:D,3,FALSE),"-",A243)</f>
        <v>RMAT-PERCCO-242</v>
      </c>
      <c r="C243" s="22" t="str">
        <f t="shared" si="39"/>
        <v>LAMINA_LISA__ACERO_ROLADA EN FRIO_3'X10'_11</v>
      </c>
      <c r="D243" s="14" t="s">
        <v>7412</v>
      </c>
      <c r="E243" s="14" t="s">
        <v>7385</v>
      </c>
      <c r="F243" s="21" t="s">
        <v>7405</v>
      </c>
      <c r="G243" s="22" t="s">
        <v>7387</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7356</v>
      </c>
      <c r="AF243" s="1" t="str">
        <f>VLOOKUP(AE243,t_objeto!B:C,2,FALSE)</f>
        <v>RAW_MATERIAL</v>
      </c>
      <c r="AG243" s="1">
        <v>8</v>
      </c>
      <c r="AH243" s="1" t="str">
        <f>VLOOKUP(AG243,t_entry_status!A:AE,2,FALSE)</f>
        <v>PENDING</v>
      </c>
      <c r="AI243" s="7">
        <v>45560</v>
      </c>
      <c r="AJ243" s="1" t="s">
        <v>7455</v>
      </c>
      <c r="AK243" s="7">
        <v>45560</v>
      </c>
      <c r="AL243" s="1" t="s">
        <v>7455</v>
      </c>
    </row>
    <row r="244" spans="1:38" s="20" customFormat="1" x14ac:dyDescent="0.3">
      <c r="A244" s="14">
        <v>243</v>
      </c>
      <c r="B244" s="14" t="str">
        <f>_xlfn.CONCAT(AE244,"-",VLOOKUP(AE244,t_objeto!B:D,3,FALSE),"-",A244)</f>
        <v>RMAT-PERCCO-243</v>
      </c>
      <c r="C244" s="22" t="str">
        <f t="shared" si="39"/>
        <v>LAMINA_LISA__ACERO_ROLADA EN FRIO_3'X10'_12</v>
      </c>
      <c r="D244" s="14" t="s">
        <v>7412</v>
      </c>
      <c r="E244" s="14" t="s">
        <v>7385</v>
      </c>
      <c r="F244" s="21" t="s">
        <v>7405</v>
      </c>
      <c r="G244" s="22" t="s">
        <v>7387</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7356</v>
      </c>
      <c r="AF244" s="1" t="str">
        <f>VLOOKUP(AE244,t_objeto!B:C,2,FALSE)</f>
        <v>RAW_MATERIAL</v>
      </c>
      <c r="AG244" s="1">
        <v>8</v>
      </c>
      <c r="AH244" s="1" t="str">
        <f>VLOOKUP(AG244,t_entry_status!A:AE,2,FALSE)</f>
        <v>PENDING</v>
      </c>
      <c r="AI244" s="7">
        <v>45560</v>
      </c>
      <c r="AJ244" s="1" t="s">
        <v>7455</v>
      </c>
      <c r="AK244" s="7">
        <v>45560</v>
      </c>
      <c r="AL244" s="1" t="s">
        <v>7455</v>
      </c>
    </row>
    <row r="245" spans="1:38" s="20" customFormat="1" x14ac:dyDescent="0.3">
      <c r="A245" s="14">
        <v>244</v>
      </c>
      <c r="B245" s="14" t="str">
        <f>_xlfn.CONCAT(AE245,"-",VLOOKUP(AE245,t_objeto!B:D,3,FALSE),"-",A245)</f>
        <v>RMAT-PERCCO-244</v>
      </c>
      <c r="C245" s="22" t="str">
        <f t="shared" si="39"/>
        <v>LAMINA_LISA__ACERO_ROLADA EN FRIO_3'X10'_13</v>
      </c>
      <c r="D245" s="14" t="s">
        <v>7412</v>
      </c>
      <c r="E245" s="14" t="s">
        <v>7385</v>
      </c>
      <c r="F245" s="21" t="s">
        <v>7405</v>
      </c>
      <c r="G245" s="22" t="s">
        <v>7387</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7356</v>
      </c>
      <c r="AF245" s="1" t="str">
        <f>VLOOKUP(AE245,t_objeto!B:C,2,FALSE)</f>
        <v>RAW_MATERIAL</v>
      </c>
      <c r="AG245" s="1">
        <v>8</v>
      </c>
      <c r="AH245" s="1" t="str">
        <f>VLOOKUP(AG245,t_entry_status!A:AE,2,FALSE)</f>
        <v>PENDING</v>
      </c>
      <c r="AI245" s="7">
        <v>45560</v>
      </c>
      <c r="AJ245" s="1" t="s">
        <v>7455</v>
      </c>
      <c r="AK245" s="7">
        <v>45560</v>
      </c>
      <c r="AL245" s="1" t="s">
        <v>7455</v>
      </c>
    </row>
    <row r="246" spans="1:38" s="20" customFormat="1" x14ac:dyDescent="0.3">
      <c r="A246" s="14">
        <v>245</v>
      </c>
      <c r="B246" s="14" t="str">
        <f>_xlfn.CONCAT(AE246,"-",VLOOKUP(AE246,t_objeto!B:D,3,FALSE),"-",A246)</f>
        <v>RMAT-PERCCO-245</v>
      </c>
      <c r="C246" s="22" t="str">
        <f t="shared" si="39"/>
        <v>LAMINA_LISA__ACERO_ROLADA EN FRIO_3'X10'_14</v>
      </c>
      <c r="D246" s="14" t="s">
        <v>7412</v>
      </c>
      <c r="E246" s="14" t="s">
        <v>7385</v>
      </c>
      <c r="F246" s="21" t="s">
        <v>7405</v>
      </c>
      <c r="G246" s="22" t="s">
        <v>7387</v>
      </c>
      <c r="H246" s="14">
        <v>14</v>
      </c>
      <c r="I246" s="16">
        <v>1.9</v>
      </c>
      <c r="J246" s="16">
        <f t="shared" si="40"/>
        <v>7.4803149606299218E-2</v>
      </c>
      <c r="K246" s="16">
        <v>14.914999999999999</v>
      </c>
      <c r="L246" s="23">
        <v>5</v>
      </c>
      <c r="M246" s="23">
        <v>1</v>
      </c>
      <c r="N246" s="23">
        <v>10</v>
      </c>
      <c r="O246" s="23"/>
      <c r="P246" s="23"/>
      <c r="Q246" s="19" t="s">
        <v>7407</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7356</v>
      </c>
      <c r="AF246" s="1" t="str">
        <f>VLOOKUP(AE246,t_objeto!B:C,2,FALSE)</f>
        <v>RAW_MATERIAL</v>
      </c>
      <c r="AG246" s="1">
        <v>8</v>
      </c>
      <c r="AH246" s="1" t="str">
        <f>VLOOKUP(AG246,t_entry_status!A:AE,2,FALSE)</f>
        <v>PENDING</v>
      </c>
      <c r="AI246" s="7">
        <v>45560</v>
      </c>
      <c r="AJ246" s="1" t="s">
        <v>7455</v>
      </c>
      <c r="AK246" s="7">
        <v>45560</v>
      </c>
      <c r="AL246" s="1" t="s">
        <v>7455</v>
      </c>
    </row>
    <row r="247" spans="1:38" s="20" customFormat="1" x14ac:dyDescent="0.3">
      <c r="A247" s="14">
        <v>246</v>
      </c>
      <c r="B247" s="14" t="str">
        <f>_xlfn.CONCAT(AE247,"-",VLOOKUP(AE247,t_objeto!B:D,3,FALSE),"-",A247)</f>
        <v>RMAT-PERCCO-246</v>
      </c>
      <c r="C247" s="22" t="str">
        <f t="shared" si="39"/>
        <v>LAMINA_LISA__ACERO_ROLADA EN FRIO_3'X10'_15</v>
      </c>
      <c r="D247" s="14" t="s">
        <v>7412</v>
      </c>
      <c r="E247" s="14" t="s">
        <v>7385</v>
      </c>
      <c r="F247" s="21" t="s">
        <v>7405</v>
      </c>
      <c r="G247" s="22" t="s">
        <v>7387</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7356</v>
      </c>
      <c r="AF247" s="1" t="str">
        <f>VLOOKUP(AE247,t_objeto!B:C,2,FALSE)</f>
        <v>RAW_MATERIAL</v>
      </c>
      <c r="AG247" s="1">
        <v>8</v>
      </c>
      <c r="AH247" s="1" t="str">
        <f>VLOOKUP(AG247,t_entry_status!A:AE,2,FALSE)</f>
        <v>PENDING</v>
      </c>
      <c r="AI247" s="7">
        <v>45560</v>
      </c>
      <c r="AJ247" s="1" t="s">
        <v>7455</v>
      </c>
      <c r="AK247" s="7">
        <v>45560</v>
      </c>
      <c r="AL247" s="1" t="s">
        <v>7455</v>
      </c>
    </row>
    <row r="248" spans="1:38" s="20" customFormat="1" x14ac:dyDescent="0.3">
      <c r="A248" s="14">
        <v>247</v>
      </c>
      <c r="B248" s="14" t="str">
        <f>_xlfn.CONCAT(AE248,"-",VLOOKUP(AE248,t_objeto!B:D,3,FALSE),"-",A248)</f>
        <v>RMAT-PERCCO-247</v>
      </c>
      <c r="C248" s="22" t="str">
        <f t="shared" si="39"/>
        <v>LAMINA_LISA__ACERO_ROLADA EN FRIO_3'X10'_16</v>
      </c>
      <c r="D248" s="14" t="s">
        <v>7412</v>
      </c>
      <c r="E248" s="14" t="s">
        <v>7385</v>
      </c>
      <c r="F248" s="21" t="s">
        <v>7405</v>
      </c>
      <c r="G248" s="22" t="s">
        <v>7387</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7356</v>
      </c>
      <c r="AF248" s="1" t="str">
        <f>VLOOKUP(AE248,t_objeto!B:C,2,FALSE)</f>
        <v>RAW_MATERIAL</v>
      </c>
      <c r="AG248" s="1">
        <v>8</v>
      </c>
      <c r="AH248" s="1" t="str">
        <f>VLOOKUP(AG248,t_entry_status!A:AE,2,FALSE)</f>
        <v>PENDING</v>
      </c>
      <c r="AI248" s="7">
        <v>45560</v>
      </c>
      <c r="AJ248" s="1" t="s">
        <v>7455</v>
      </c>
      <c r="AK248" s="7">
        <v>45560</v>
      </c>
      <c r="AL248" s="1" t="s">
        <v>7455</v>
      </c>
    </row>
    <row r="249" spans="1:38" s="20" customFormat="1" x14ac:dyDescent="0.3">
      <c r="A249" s="14">
        <v>248</v>
      </c>
      <c r="B249" s="14" t="str">
        <f>_xlfn.CONCAT(AE249,"-",VLOOKUP(AE249,t_objeto!B:D,3,FALSE),"-",A249)</f>
        <v>RMAT-PERCCO-248</v>
      </c>
      <c r="C249" s="22" t="str">
        <f t="shared" si="39"/>
        <v>LAMINA_LISA__ACERO_ROLADA EN FRIO_3'X10'_17</v>
      </c>
      <c r="D249" s="14" t="s">
        <v>7412</v>
      </c>
      <c r="E249" s="14" t="s">
        <v>7385</v>
      </c>
      <c r="F249" s="21" t="s">
        <v>7405</v>
      </c>
      <c r="G249" s="22" t="s">
        <v>7387</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7356</v>
      </c>
      <c r="AF249" s="1" t="str">
        <f>VLOOKUP(AE249,t_objeto!B:C,2,FALSE)</f>
        <v>RAW_MATERIAL</v>
      </c>
      <c r="AG249" s="1">
        <v>8</v>
      </c>
      <c r="AH249" s="1" t="str">
        <f>VLOOKUP(AG249,t_entry_status!A:AE,2,FALSE)</f>
        <v>PENDING</v>
      </c>
      <c r="AI249" s="7">
        <v>45560</v>
      </c>
      <c r="AJ249" s="1" t="s">
        <v>7455</v>
      </c>
      <c r="AK249" s="7">
        <v>45560</v>
      </c>
      <c r="AL249" s="1" t="s">
        <v>7455</v>
      </c>
    </row>
    <row r="250" spans="1:38" s="20" customFormat="1" x14ac:dyDescent="0.3">
      <c r="A250" s="14">
        <v>249</v>
      </c>
      <c r="B250" s="14" t="str">
        <f>_xlfn.CONCAT(AE250,"-",VLOOKUP(AE250,t_objeto!B:D,3,FALSE),"-",A250)</f>
        <v>RMAT-PERCCO-249</v>
      </c>
      <c r="C250" s="22" t="str">
        <f t="shared" si="39"/>
        <v>LAMINA_LISA__ACERO_ROLADA EN FRIO_3'X10'_18</v>
      </c>
      <c r="D250" s="14" t="s">
        <v>7412</v>
      </c>
      <c r="E250" s="14" t="s">
        <v>7385</v>
      </c>
      <c r="F250" s="21" t="s">
        <v>7405</v>
      </c>
      <c r="G250" s="22" t="s">
        <v>7387</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7356</v>
      </c>
      <c r="AF250" s="1" t="str">
        <f>VLOOKUP(AE250,t_objeto!B:C,2,FALSE)</f>
        <v>RAW_MATERIAL</v>
      </c>
      <c r="AG250" s="1">
        <v>8</v>
      </c>
      <c r="AH250" s="1" t="str">
        <f>VLOOKUP(AG250,t_entry_status!A:AE,2,FALSE)</f>
        <v>PENDING</v>
      </c>
      <c r="AI250" s="7">
        <v>45560</v>
      </c>
      <c r="AJ250" s="1" t="s">
        <v>7455</v>
      </c>
      <c r="AK250" s="7">
        <v>45560</v>
      </c>
      <c r="AL250" s="1" t="s">
        <v>7455</v>
      </c>
    </row>
    <row r="251" spans="1:38" s="20" customFormat="1" x14ac:dyDescent="0.3">
      <c r="A251" s="14">
        <v>250</v>
      </c>
      <c r="B251" s="14" t="str">
        <f>_xlfn.CONCAT(AE251,"-",VLOOKUP(AE251,t_objeto!B:D,3,FALSE),"-",A251)</f>
        <v>RMAT-PERCCO-250</v>
      </c>
      <c r="C251" s="22" t="str">
        <f t="shared" si="39"/>
        <v>LAMINA_LISA__ACERO_ROLADA EN FRIO_3'X10'_19</v>
      </c>
      <c r="D251" s="14" t="s">
        <v>7412</v>
      </c>
      <c r="E251" s="14" t="s">
        <v>7385</v>
      </c>
      <c r="F251" s="21" t="s">
        <v>7405</v>
      </c>
      <c r="G251" s="22" t="s">
        <v>7387</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7356</v>
      </c>
      <c r="AF251" s="1" t="str">
        <f>VLOOKUP(AE251,t_objeto!B:C,2,FALSE)</f>
        <v>RAW_MATERIAL</v>
      </c>
      <c r="AG251" s="1">
        <v>8</v>
      </c>
      <c r="AH251" s="1" t="str">
        <f>VLOOKUP(AG251,t_entry_status!A:AE,2,FALSE)</f>
        <v>PENDING</v>
      </c>
      <c r="AI251" s="7">
        <v>45560</v>
      </c>
      <c r="AJ251" s="1" t="s">
        <v>7455</v>
      </c>
      <c r="AK251" s="7">
        <v>45560</v>
      </c>
      <c r="AL251" s="1" t="s">
        <v>7455</v>
      </c>
    </row>
    <row r="252" spans="1:38" s="20" customFormat="1" x14ac:dyDescent="0.3">
      <c r="A252" s="14">
        <v>251</v>
      </c>
      <c r="B252" s="14" t="str">
        <f>_xlfn.CONCAT(AE252,"-",VLOOKUP(AE252,t_objeto!B:D,3,FALSE),"-",A252)</f>
        <v>RMAT-PERCCO-251</v>
      </c>
      <c r="C252" s="22" t="str">
        <f t="shared" si="39"/>
        <v>LAMINA_LISA__ACERO_ROLADA EN FRIO_3'X10'_20</v>
      </c>
      <c r="D252" s="14" t="s">
        <v>7412</v>
      </c>
      <c r="E252" s="14" t="s">
        <v>7385</v>
      </c>
      <c r="F252" s="21" t="s">
        <v>7405</v>
      </c>
      <c r="G252" s="22" t="s">
        <v>7387</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7356</v>
      </c>
      <c r="AF252" s="1" t="str">
        <f>VLOOKUP(AE252,t_objeto!B:C,2,FALSE)</f>
        <v>RAW_MATERIAL</v>
      </c>
      <c r="AG252" s="1">
        <v>8</v>
      </c>
      <c r="AH252" s="1" t="str">
        <f>VLOOKUP(AG252,t_entry_status!A:AE,2,FALSE)</f>
        <v>PENDING</v>
      </c>
      <c r="AI252" s="7">
        <v>45560</v>
      </c>
      <c r="AJ252" s="1" t="s">
        <v>7455</v>
      </c>
      <c r="AK252" s="7">
        <v>45560</v>
      </c>
      <c r="AL252" s="1" t="s">
        <v>7455</v>
      </c>
    </row>
    <row r="253" spans="1:38" s="20" customFormat="1" x14ac:dyDescent="0.3">
      <c r="A253" s="14">
        <v>252</v>
      </c>
      <c r="B253" s="14" t="str">
        <f>_xlfn.CONCAT(AE253,"-",VLOOKUP(AE253,t_objeto!B:D,3,FALSE),"-",A253)</f>
        <v>RMAT-PERCCO-252</v>
      </c>
      <c r="C253" s="22" t="str">
        <f t="shared" si="39"/>
        <v>LAMINA_LISA__ACERO_ROLADA EN FRIO_3'X10'_21</v>
      </c>
      <c r="D253" s="14" t="s">
        <v>7412</v>
      </c>
      <c r="E253" s="14" t="s">
        <v>7385</v>
      </c>
      <c r="F253" s="21" t="s">
        <v>7405</v>
      </c>
      <c r="G253" s="22" t="s">
        <v>7387</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7356</v>
      </c>
      <c r="AF253" s="1" t="str">
        <f>VLOOKUP(AE253,t_objeto!B:C,2,FALSE)</f>
        <v>RAW_MATERIAL</v>
      </c>
      <c r="AG253" s="1">
        <v>8</v>
      </c>
      <c r="AH253" s="1" t="str">
        <f>VLOOKUP(AG253,t_entry_status!A:AE,2,FALSE)</f>
        <v>PENDING</v>
      </c>
      <c r="AI253" s="7">
        <v>45560</v>
      </c>
      <c r="AJ253" s="1" t="s">
        <v>7455</v>
      </c>
      <c r="AK253" s="7">
        <v>45560</v>
      </c>
      <c r="AL253" s="1" t="s">
        <v>7455</v>
      </c>
    </row>
    <row r="254" spans="1:38" s="20" customFormat="1" x14ac:dyDescent="0.3">
      <c r="A254" s="14">
        <v>253</v>
      </c>
      <c r="B254" s="14" t="str">
        <f>_xlfn.CONCAT(AE254,"-",VLOOKUP(AE254,t_objeto!B:D,3,FALSE),"-",A254)</f>
        <v>RMAT-PERCCO-253</v>
      </c>
      <c r="C254" s="22" t="str">
        <f t="shared" si="39"/>
        <v>LAMINA_LISA__ACERO_ROLADA EN FRIO_3'X10'_22</v>
      </c>
      <c r="D254" s="14" t="s">
        <v>7412</v>
      </c>
      <c r="E254" s="14" t="s">
        <v>7385</v>
      </c>
      <c r="F254" s="21" t="s">
        <v>7405</v>
      </c>
      <c r="G254" s="22" t="s">
        <v>7387</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7356</v>
      </c>
      <c r="AF254" s="1" t="str">
        <f>VLOOKUP(AE254,t_objeto!B:C,2,FALSE)</f>
        <v>RAW_MATERIAL</v>
      </c>
      <c r="AG254" s="1">
        <v>8</v>
      </c>
      <c r="AH254" s="1" t="str">
        <f>VLOOKUP(AG254,t_entry_status!A:AE,2,FALSE)</f>
        <v>PENDING</v>
      </c>
      <c r="AI254" s="7">
        <v>45560</v>
      </c>
      <c r="AJ254" s="1" t="s">
        <v>7455</v>
      </c>
      <c r="AK254" s="7">
        <v>45560</v>
      </c>
      <c r="AL254" s="1" t="s">
        <v>7455</v>
      </c>
    </row>
    <row r="255" spans="1:38" s="20" customFormat="1" x14ac:dyDescent="0.3">
      <c r="A255" s="14">
        <v>254</v>
      </c>
      <c r="B255" s="14" t="str">
        <f>_xlfn.CONCAT(AE255,"-",VLOOKUP(AE255,t_objeto!B:D,3,FALSE),"-",A255)</f>
        <v>RMAT-PERCCO-254</v>
      </c>
      <c r="C255" s="22" t="str">
        <f t="shared" si="39"/>
        <v>LAMINA_LISA__ACERO_ROLADA EN FRIO_3'X10'_23</v>
      </c>
      <c r="D255" s="14" t="s">
        <v>7412</v>
      </c>
      <c r="E255" s="14" t="s">
        <v>7385</v>
      </c>
      <c r="F255" s="21" t="s">
        <v>7405</v>
      </c>
      <c r="G255" s="22" t="s">
        <v>7387</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7356</v>
      </c>
      <c r="AF255" s="1" t="str">
        <f>VLOOKUP(AE255,t_objeto!B:C,2,FALSE)</f>
        <v>RAW_MATERIAL</v>
      </c>
      <c r="AG255" s="1">
        <v>8</v>
      </c>
      <c r="AH255" s="1" t="str">
        <f>VLOOKUP(AG255,t_entry_status!A:AE,2,FALSE)</f>
        <v>PENDING</v>
      </c>
      <c r="AI255" s="7">
        <v>45560</v>
      </c>
      <c r="AJ255" s="1" t="s">
        <v>7455</v>
      </c>
      <c r="AK255" s="7">
        <v>45560</v>
      </c>
      <c r="AL255" s="1" t="s">
        <v>7455</v>
      </c>
    </row>
    <row r="256" spans="1:38" s="20" customFormat="1" x14ac:dyDescent="0.3">
      <c r="A256" s="14">
        <v>255</v>
      </c>
      <c r="B256" s="14" t="str">
        <f>_xlfn.CONCAT(AE256,"-",VLOOKUP(AE256,t_objeto!B:D,3,FALSE),"-",A256)</f>
        <v>RMAT-PERCCO-255</v>
      </c>
      <c r="C256" s="22" t="str">
        <f t="shared" si="39"/>
        <v>LAMINA_LISA__ACERO_ROLADA EN FRIO_3'X10'_24</v>
      </c>
      <c r="D256" s="14" t="s">
        <v>7412</v>
      </c>
      <c r="E256" s="14" t="s">
        <v>7385</v>
      </c>
      <c r="F256" s="21" t="s">
        <v>7405</v>
      </c>
      <c r="G256" s="22" t="s">
        <v>7387</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7356</v>
      </c>
      <c r="AF256" s="1" t="str">
        <f>VLOOKUP(AE256,t_objeto!B:C,2,FALSE)</f>
        <v>RAW_MATERIAL</v>
      </c>
      <c r="AG256" s="1">
        <v>8</v>
      </c>
      <c r="AH256" s="1" t="str">
        <f>VLOOKUP(AG256,t_entry_status!A:AE,2,FALSE)</f>
        <v>PENDING</v>
      </c>
      <c r="AI256" s="7">
        <v>45560</v>
      </c>
      <c r="AJ256" s="1" t="s">
        <v>7455</v>
      </c>
      <c r="AK256" s="7">
        <v>45560</v>
      </c>
      <c r="AL256" s="1" t="s">
        <v>7455</v>
      </c>
    </row>
    <row r="257" spans="1:38" s="20" customFormat="1" x14ac:dyDescent="0.3">
      <c r="A257" s="14">
        <v>256</v>
      </c>
      <c r="B257" s="14" t="str">
        <f>_xlfn.CONCAT(AE257,"-",VLOOKUP(AE257,t_objeto!B:D,3,FALSE),"-",A257)</f>
        <v>RMAT-PERCCO-256</v>
      </c>
      <c r="C257" s="22" t="str">
        <f t="shared" si="39"/>
        <v>LAMINA_LISA__ACERO_ROLADA EN FRIO_3'X10'_25</v>
      </c>
      <c r="D257" s="14" t="s">
        <v>7412</v>
      </c>
      <c r="E257" s="14" t="s">
        <v>7385</v>
      </c>
      <c r="F257" s="21" t="s">
        <v>7405</v>
      </c>
      <c r="G257" s="22" t="s">
        <v>7387</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7356</v>
      </c>
      <c r="AF257" s="1" t="str">
        <f>VLOOKUP(AE257,t_objeto!B:C,2,FALSE)</f>
        <v>RAW_MATERIAL</v>
      </c>
      <c r="AG257" s="1">
        <v>8</v>
      </c>
      <c r="AH257" s="1" t="str">
        <f>VLOOKUP(AG257,t_entry_status!A:AE,2,FALSE)</f>
        <v>PENDING</v>
      </c>
      <c r="AI257" s="7">
        <v>45560</v>
      </c>
      <c r="AJ257" s="1" t="s">
        <v>7455</v>
      </c>
      <c r="AK257" s="7">
        <v>45560</v>
      </c>
      <c r="AL257" s="1" t="s">
        <v>7455</v>
      </c>
    </row>
    <row r="258" spans="1:38" s="20" customFormat="1" x14ac:dyDescent="0.3">
      <c r="A258" s="14">
        <v>257</v>
      </c>
      <c r="B258" s="14" t="str">
        <f>_xlfn.CONCAT(AE258,"-",VLOOKUP(AE258,t_objeto!B:D,3,FALSE),"-",A258)</f>
        <v>RMAT-PERCCO-257</v>
      </c>
      <c r="C258" s="22" t="str">
        <f t="shared" si="39"/>
        <v>LAMINA_LISA__ACERO_ROLADA EN FRIO_3'X10'_26</v>
      </c>
      <c r="D258" s="14" t="s">
        <v>7412</v>
      </c>
      <c r="E258" s="14" t="s">
        <v>7385</v>
      </c>
      <c r="F258" s="21" t="s">
        <v>7405</v>
      </c>
      <c r="G258" s="22" t="s">
        <v>7387</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7356</v>
      </c>
      <c r="AF258" s="1" t="str">
        <f>VLOOKUP(AE258,t_objeto!B:C,2,FALSE)</f>
        <v>RAW_MATERIAL</v>
      </c>
      <c r="AG258" s="1">
        <v>8</v>
      </c>
      <c r="AH258" s="1" t="str">
        <f>VLOOKUP(AG258,t_entry_status!A:AE,2,FALSE)</f>
        <v>PENDING</v>
      </c>
      <c r="AI258" s="7">
        <v>45560</v>
      </c>
      <c r="AJ258" s="1" t="s">
        <v>7455</v>
      </c>
      <c r="AK258" s="7">
        <v>45560</v>
      </c>
      <c r="AL258" s="1" t="s">
        <v>7455</v>
      </c>
    </row>
    <row r="259" spans="1:38" s="20" customFormat="1" x14ac:dyDescent="0.3">
      <c r="A259" s="14">
        <v>258</v>
      </c>
      <c r="B259" s="14" t="str">
        <f>_xlfn.CONCAT(AE259,"-",VLOOKUP(AE259,t_objeto!B:D,3,FALSE),"-",A259)</f>
        <v>RMAT-PERCCO-258</v>
      </c>
      <c r="C259" s="22" t="str">
        <f t="shared" ref="C259:C322" si="49">_xlfn.CONCAT(D259,"_","_",E259,"_",F259,"_",R259,"'","X",S259,"'","_",H259)</f>
        <v>LAMINA_LISA__ACERO_ROLADA EN FRIO_3'X10'_27</v>
      </c>
      <c r="D259" s="14" t="s">
        <v>7412</v>
      </c>
      <c r="E259" s="14" t="s">
        <v>7385</v>
      </c>
      <c r="F259" s="21" t="s">
        <v>7405</v>
      </c>
      <c r="G259" s="22" t="s">
        <v>7387</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7356</v>
      </c>
      <c r="AF259" s="1" t="str">
        <f>VLOOKUP(AE259,t_objeto!B:C,2,FALSE)</f>
        <v>RAW_MATERIAL</v>
      </c>
      <c r="AG259" s="1">
        <v>8</v>
      </c>
      <c r="AH259" s="1" t="str">
        <f>VLOOKUP(AG259,t_entry_status!A:AE,2,FALSE)</f>
        <v>PENDING</v>
      </c>
      <c r="AI259" s="7">
        <v>45560</v>
      </c>
      <c r="AJ259" s="1" t="s">
        <v>7455</v>
      </c>
      <c r="AK259" s="7">
        <v>45560</v>
      </c>
      <c r="AL259" s="1" t="s">
        <v>7455</v>
      </c>
    </row>
    <row r="260" spans="1:38" s="20" customFormat="1" x14ac:dyDescent="0.3">
      <c r="A260" s="14">
        <v>259</v>
      </c>
      <c r="B260" s="14" t="str">
        <f>_xlfn.CONCAT(AE260,"-",VLOOKUP(AE260,t_objeto!B:D,3,FALSE),"-",A260)</f>
        <v>RMAT-PERCCO-259</v>
      </c>
      <c r="C260" s="22" t="str">
        <f t="shared" si="49"/>
        <v>LAMINA_LISA__ACERO_ROLADA EN FRIO_3'X10'_28</v>
      </c>
      <c r="D260" s="14" t="s">
        <v>7412</v>
      </c>
      <c r="E260" s="14" t="s">
        <v>7385</v>
      </c>
      <c r="F260" s="21" t="s">
        <v>7405</v>
      </c>
      <c r="G260" s="22" t="s">
        <v>7387</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7356</v>
      </c>
      <c r="AF260" s="1" t="str">
        <f>VLOOKUP(AE260,t_objeto!B:C,2,FALSE)</f>
        <v>RAW_MATERIAL</v>
      </c>
      <c r="AG260" s="1">
        <v>8</v>
      </c>
      <c r="AH260" s="1" t="str">
        <f>VLOOKUP(AG260,t_entry_status!A:AE,2,FALSE)</f>
        <v>PENDING</v>
      </c>
      <c r="AI260" s="7">
        <v>45560</v>
      </c>
      <c r="AJ260" s="1" t="s">
        <v>7455</v>
      </c>
      <c r="AK260" s="7">
        <v>45560</v>
      </c>
      <c r="AL260" s="1" t="s">
        <v>7455</v>
      </c>
    </row>
    <row r="261" spans="1:38" s="20" customFormat="1" x14ac:dyDescent="0.3">
      <c r="A261" s="14">
        <v>260</v>
      </c>
      <c r="B261" s="14" t="str">
        <f>_xlfn.CONCAT(AE261,"-",VLOOKUP(AE261,t_objeto!B:D,3,FALSE),"-",A261)</f>
        <v>RMAT-PERCCO-260</v>
      </c>
      <c r="C261" s="22" t="str">
        <f t="shared" si="49"/>
        <v>LAMINA_LISA__ACERO_ROLADA EN FRIO_3'X10'_29</v>
      </c>
      <c r="D261" s="14" t="s">
        <v>7412</v>
      </c>
      <c r="E261" s="14" t="s">
        <v>7385</v>
      </c>
      <c r="F261" s="21" t="s">
        <v>7405</v>
      </c>
      <c r="G261" s="22" t="s">
        <v>7387</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7356</v>
      </c>
      <c r="AF261" s="1" t="str">
        <f>VLOOKUP(AE261,t_objeto!B:C,2,FALSE)</f>
        <v>RAW_MATERIAL</v>
      </c>
      <c r="AG261" s="1">
        <v>8</v>
      </c>
      <c r="AH261" s="1" t="str">
        <f>VLOOKUP(AG261,t_entry_status!A:AE,2,FALSE)</f>
        <v>PENDING</v>
      </c>
      <c r="AI261" s="7">
        <v>45560</v>
      </c>
      <c r="AJ261" s="1" t="s">
        <v>7455</v>
      </c>
      <c r="AK261" s="7">
        <v>45560</v>
      </c>
      <c r="AL261" s="1" t="s">
        <v>7455</v>
      </c>
    </row>
    <row r="262" spans="1:38" s="20" customFormat="1" x14ac:dyDescent="0.3">
      <c r="A262" s="14">
        <v>261</v>
      </c>
      <c r="B262" s="14" t="str">
        <f>_xlfn.CONCAT(AE262,"-",VLOOKUP(AE262,t_objeto!B:D,3,FALSE),"-",A262)</f>
        <v>RMAT-PERCCO-261</v>
      </c>
      <c r="C262" s="22" t="str">
        <f t="shared" si="49"/>
        <v>LAMINA_LISA__ACERO_ROLADA EN FRIO_3'X10'_30</v>
      </c>
      <c r="D262" s="14" t="s">
        <v>7412</v>
      </c>
      <c r="E262" s="14" t="s">
        <v>7385</v>
      </c>
      <c r="F262" s="21" t="s">
        <v>7405</v>
      </c>
      <c r="G262" s="22" t="s">
        <v>7387</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7356</v>
      </c>
      <c r="AF262" s="1" t="str">
        <f>VLOOKUP(AE262,t_objeto!B:C,2,FALSE)</f>
        <v>RAW_MATERIAL</v>
      </c>
      <c r="AG262" s="1">
        <v>8</v>
      </c>
      <c r="AH262" s="1" t="str">
        <f>VLOOKUP(AG262,t_entry_status!A:AE,2,FALSE)</f>
        <v>PENDING</v>
      </c>
      <c r="AI262" s="7">
        <v>45560</v>
      </c>
      <c r="AJ262" s="1" t="s">
        <v>7455</v>
      </c>
      <c r="AK262" s="7">
        <v>45560</v>
      </c>
      <c r="AL262" s="1" t="s">
        <v>7455</v>
      </c>
    </row>
    <row r="263" spans="1:38" s="20" customFormat="1" x14ac:dyDescent="0.3">
      <c r="A263" s="14">
        <v>262</v>
      </c>
      <c r="B263" s="14" t="str">
        <f>_xlfn.CONCAT(AE263,"-",VLOOKUP(AE263,t_objeto!B:D,3,FALSE),"-",A263)</f>
        <v>RMAT-PERCCO-262</v>
      </c>
      <c r="C263" s="22" t="str">
        <f t="shared" si="49"/>
        <v>LAMINA_LISA__INOX_304/316 L_3'X10'_10</v>
      </c>
      <c r="D263" s="14" t="s">
        <v>7412</v>
      </c>
      <c r="E263" s="14" t="s">
        <v>7408</v>
      </c>
      <c r="F263" s="21" t="s">
        <v>7409</v>
      </c>
      <c r="G263" s="22" t="s">
        <v>7387</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7356</v>
      </c>
      <c r="AF263" s="1" t="str">
        <f>VLOOKUP(AE263,t_objeto!B:C,2,FALSE)</f>
        <v>RAW_MATERIAL</v>
      </c>
      <c r="AG263" s="1">
        <v>8</v>
      </c>
      <c r="AH263" s="1" t="str">
        <f>VLOOKUP(AG263,t_entry_status!A:AE,2,FALSE)</f>
        <v>PENDING</v>
      </c>
      <c r="AI263" s="7">
        <v>45560</v>
      </c>
      <c r="AJ263" s="1" t="s">
        <v>7455</v>
      </c>
      <c r="AK263" s="7">
        <v>45560</v>
      </c>
      <c r="AL263" s="1" t="s">
        <v>7455</v>
      </c>
    </row>
    <row r="264" spans="1:38" s="20" customFormat="1" x14ac:dyDescent="0.3">
      <c r="A264" s="14">
        <v>263</v>
      </c>
      <c r="B264" s="14" t="str">
        <f>_xlfn.CONCAT(AE264,"-",VLOOKUP(AE264,t_objeto!B:D,3,FALSE),"-",A264)</f>
        <v>RMAT-PERCCO-263</v>
      </c>
      <c r="C264" s="22" t="str">
        <f t="shared" si="49"/>
        <v>LAMINA_LISA__INOX_304/316 L_3'X10'_11</v>
      </c>
      <c r="D264" s="14" t="s">
        <v>7412</v>
      </c>
      <c r="E264" s="14" t="s">
        <v>7408</v>
      </c>
      <c r="F264" s="21" t="s">
        <v>7409</v>
      </c>
      <c r="G264" s="22" t="s">
        <v>7387</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7356</v>
      </c>
      <c r="AF264" s="1" t="str">
        <f>VLOOKUP(AE264,t_objeto!B:C,2,FALSE)</f>
        <v>RAW_MATERIAL</v>
      </c>
      <c r="AG264" s="1">
        <v>8</v>
      </c>
      <c r="AH264" s="1" t="str">
        <f>VLOOKUP(AG264,t_entry_status!A:AE,2,FALSE)</f>
        <v>PENDING</v>
      </c>
      <c r="AI264" s="7">
        <v>45560</v>
      </c>
      <c r="AJ264" s="1" t="s">
        <v>7455</v>
      </c>
      <c r="AK264" s="7">
        <v>45560</v>
      </c>
      <c r="AL264" s="1" t="s">
        <v>7455</v>
      </c>
    </row>
    <row r="265" spans="1:38" s="20" customFormat="1" x14ac:dyDescent="0.3">
      <c r="A265" s="14">
        <v>264</v>
      </c>
      <c r="B265" s="14" t="str">
        <f>_xlfn.CONCAT(AE265,"-",VLOOKUP(AE265,t_objeto!B:D,3,FALSE),"-",A265)</f>
        <v>RMAT-PERCCO-264</v>
      </c>
      <c r="C265" s="22" t="str">
        <f t="shared" si="49"/>
        <v>LAMINA_LISA__INOX_304/316 L_3'X10'_12</v>
      </c>
      <c r="D265" s="14" t="s">
        <v>7412</v>
      </c>
      <c r="E265" s="14" t="s">
        <v>7408</v>
      </c>
      <c r="F265" s="21" t="s">
        <v>7409</v>
      </c>
      <c r="G265" s="22" t="s">
        <v>7387</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7356</v>
      </c>
      <c r="AF265" s="1" t="str">
        <f>VLOOKUP(AE265,t_objeto!B:C,2,FALSE)</f>
        <v>RAW_MATERIAL</v>
      </c>
      <c r="AG265" s="1">
        <v>8</v>
      </c>
      <c r="AH265" s="1" t="str">
        <f>VLOOKUP(AG265,t_entry_status!A:AE,2,FALSE)</f>
        <v>PENDING</v>
      </c>
      <c r="AI265" s="7">
        <v>45560</v>
      </c>
      <c r="AJ265" s="1" t="s">
        <v>7455</v>
      </c>
      <c r="AK265" s="7">
        <v>45560</v>
      </c>
      <c r="AL265" s="1" t="s">
        <v>7455</v>
      </c>
    </row>
    <row r="266" spans="1:38" s="20" customFormat="1" x14ac:dyDescent="0.3">
      <c r="A266" s="14">
        <v>265</v>
      </c>
      <c r="B266" s="14" t="str">
        <f>_xlfn.CONCAT(AE266,"-",VLOOKUP(AE266,t_objeto!B:D,3,FALSE),"-",A266)</f>
        <v>RMAT-PERCCO-265</v>
      </c>
      <c r="C266" s="22" t="str">
        <f t="shared" si="49"/>
        <v>LAMINA_LISA__INOX_304/316 L_3'X10'_13</v>
      </c>
      <c r="D266" s="14" t="s">
        <v>7412</v>
      </c>
      <c r="E266" s="14" t="s">
        <v>7408</v>
      </c>
      <c r="F266" s="21" t="s">
        <v>7409</v>
      </c>
      <c r="G266" s="22" t="s">
        <v>7387</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7356</v>
      </c>
      <c r="AF266" s="1" t="str">
        <f>VLOOKUP(AE266,t_objeto!B:C,2,FALSE)</f>
        <v>RAW_MATERIAL</v>
      </c>
      <c r="AG266" s="1">
        <v>8</v>
      </c>
      <c r="AH266" s="1" t="str">
        <f>VLOOKUP(AG266,t_entry_status!A:AE,2,FALSE)</f>
        <v>PENDING</v>
      </c>
      <c r="AI266" s="7">
        <v>45560</v>
      </c>
      <c r="AJ266" s="1" t="s">
        <v>7455</v>
      </c>
      <c r="AK266" s="7">
        <v>45560</v>
      </c>
      <c r="AL266" s="1" t="s">
        <v>7455</v>
      </c>
    </row>
    <row r="267" spans="1:38" s="20" customFormat="1" x14ac:dyDescent="0.3">
      <c r="A267" s="14">
        <v>266</v>
      </c>
      <c r="B267" s="14" t="str">
        <f>_xlfn.CONCAT(AE267,"-",VLOOKUP(AE267,t_objeto!B:D,3,FALSE),"-",A267)</f>
        <v>RMAT-PERCCO-266</v>
      </c>
      <c r="C267" s="22" t="str">
        <f t="shared" si="49"/>
        <v>LAMINA_LISA__INOX_304/316 L_3'X10'_14</v>
      </c>
      <c r="D267" s="14" t="s">
        <v>7412</v>
      </c>
      <c r="E267" s="14" t="s">
        <v>7408</v>
      </c>
      <c r="F267" s="21" t="s">
        <v>7409</v>
      </c>
      <c r="G267" s="22" t="s">
        <v>7387</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7356</v>
      </c>
      <c r="AF267" s="1" t="str">
        <f>VLOOKUP(AE267,t_objeto!B:C,2,FALSE)</f>
        <v>RAW_MATERIAL</v>
      </c>
      <c r="AG267" s="1">
        <v>8</v>
      </c>
      <c r="AH267" s="1" t="str">
        <f>VLOOKUP(AG267,t_entry_status!A:AE,2,FALSE)</f>
        <v>PENDING</v>
      </c>
      <c r="AI267" s="7">
        <v>45560</v>
      </c>
      <c r="AJ267" s="1" t="s">
        <v>7455</v>
      </c>
      <c r="AK267" s="7">
        <v>45560</v>
      </c>
      <c r="AL267" s="1" t="s">
        <v>7455</v>
      </c>
    </row>
    <row r="268" spans="1:38" s="20" customFormat="1" x14ac:dyDescent="0.3">
      <c r="A268" s="14">
        <v>267</v>
      </c>
      <c r="B268" s="14" t="str">
        <f>_xlfn.CONCAT(AE268,"-",VLOOKUP(AE268,t_objeto!B:D,3,FALSE),"-",A268)</f>
        <v>RMAT-PERCCO-267</v>
      </c>
      <c r="C268" s="22" t="str">
        <f t="shared" si="49"/>
        <v>LAMINA_LISA__INOX_304/316 L_3'X10'_15</v>
      </c>
      <c r="D268" s="14" t="s">
        <v>7412</v>
      </c>
      <c r="E268" s="14" t="s">
        <v>7408</v>
      </c>
      <c r="F268" s="21" t="s">
        <v>7409</v>
      </c>
      <c r="G268" s="22" t="s">
        <v>7387</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7356</v>
      </c>
      <c r="AF268" s="1" t="str">
        <f>VLOOKUP(AE268,t_objeto!B:C,2,FALSE)</f>
        <v>RAW_MATERIAL</v>
      </c>
      <c r="AG268" s="1">
        <v>8</v>
      </c>
      <c r="AH268" s="1" t="str">
        <f>VLOOKUP(AG268,t_entry_status!A:AE,2,FALSE)</f>
        <v>PENDING</v>
      </c>
      <c r="AI268" s="7">
        <v>45560</v>
      </c>
      <c r="AJ268" s="1" t="s">
        <v>7455</v>
      </c>
      <c r="AK268" s="7">
        <v>45560</v>
      </c>
      <c r="AL268" s="1" t="s">
        <v>7455</v>
      </c>
    </row>
    <row r="269" spans="1:38" s="20" customFormat="1" x14ac:dyDescent="0.3">
      <c r="A269" s="14">
        <v>268</v>
      </c>
      <c r="B269" s="14" t="str">
        <f>_xlfn.CONCAT(AE269,"-",VLOOKUP(AE269,t_objeto!B:D,3,FALSE),"-",A269)</f>
        <v>RMAT-PERCCO-268</v>
      </c>
      <c r="C269" s="22" t="str">
        <f t="shared" si="49"/>
        <v>LAMINA_LISA__INOX_304/316 L_3'X10'_16</v>
      </c>
      <c r="D269" s="14" t="s">
        <v>7412</v>
      </c>
      <c r="E269" s="14" t="s">
        <v>7408</v>
      </c>
      <c r="F269" s="21" t="s">
        <v>7409</v>
      </c>
      <c r="G269" s="22" t="s">
        <v>7387</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7356</v>
      </c>
      <c r="AF269" s="1" t="str">
        <f>VLOOKUP(AE269,t_objeto!B:C,2,FALSE)</f>
        <v>RAW_MATERIAL</v>
      </c>
      <c r="AG269" s="1">
        <v>8</v>
      </c>
      <c r="AH269" s="1" t="str">
        <f>VLOOKUP(AG269,t_entry_status!A:AE,2,FALSE)</f>
        <v>PENDING</v>
      </c>
      <c r="AI269" s="7">
        <v>45560</v>
      </c>
      <c r="AJ269" s="1" t="s">
        <v>7455</v>
      </c>
      <c r="AK269" s="7">
        <v>45560</v>
      </c>
      <c r="AL269" s="1" t="s">
        <v>7455</v>
      </c>
    </row>
    <row r="270" spans="1:38" s="20" customFormat="1" x14ac:dyDescent="0.3">
      <c r="A270" s="14">
        <v>269</v>
      </c>
      <c r="B270" s="14" t="str">
        <f>_xlfn.CONCAT(AE270,"-",VLOOKUP(AE270,t_objeto!B:D,3,FALSE),"-",A270)</f>
        <v>RMAT-PERCCO-269</v>
      </c>
      <c r="C270" s="22" t="str">
        <f t="shared" si="49"/>
        <v>LAMINA_LISA__INOX_304/316 L_3'X10'_17</v>
      </c>
      <c r="D270" s="14" t="s">
        <v>7412</v>
      </c>
      <c r="E270" s="14" t="s">
        <v>7408</v>
      </c>
      <c r="F270" s="21" t="s">
        <v>7409</v>
      </c>
      <c r="G270" s="22" t="s">
        <v>7387</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7356</v>
      </c>
      <c r="AF270" s="1" t="str">
        <f>VLOOKUP(AE270,t_objeto!B:C,2,FALSE)</f>
        <v>RAW_MATERIAL</v>
      </c>
      <c r="AG270" s="1">
        <v>8</v>
      </c>
      <c r="AH270" s="1" t="str">
        <f>VLOOKUP(AG270,t_entry_status!A:AE,2,FALSE)</f>
        <v>PENDING</v>
      </c>
      <c r="AI270" s="7">
        <v>45560</v>
      </c>
      <c r="AJ270" s="1" t="s">
        <v>7455</v>
      </c>
      <c r="AK270" s="7">
        <v>45560</v>
      </c>
      <c r="AL270" s="1" t="s">
        <v>7455</v>
      </c>
    </row>
    <row r="271" spans="1:38" s="20" customFormat="1" x14ac:dyDescent="0.3">
      <c r="A271" s="14">
        <v>270</v>
      </c>
      <c r="B271" s="14" t="str">
        <f>_xlfn.CONCAT(AE271,"-",VLOOKUP(AE271,t_objeto!B:D,3,FALSE),"-",A271)</f>
        <v>RMAT-PERCCO-270</v>
      </c>
      <c r="C271" s="22" t="str">
        <f t="shared" si="49"/>
        <v>LAMINA_LISA__INOX_304/316 L_3'X10'_18</v>
      </c>
      <c r="D271" s="14" t="s">
        <v>7412</v>
      </c>
      <c r="E271" s="14" t="s">
        <v>7408</v>
      </c>
      <c r="F271" s="21" t="s">
        <v>7409</v>
      </c>
      <c r="G271" s="22" t="s">
        <v>7387</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7356</v>
      </c>
      <c r="AF271" s="1" t="str">
        <f>VLOOKUP(AE271,t_objeto!B:C,2,FALSE)</f>
        <v>RAW_MATERIAL</v>
      </c>
      <c r="AG271" s="1">
        <v>8</v>
      </c>
      <c r="AH271" s="1" t="str">
        <f>VLOOKUP(AG271,t_entry_status!A:AE,2,FALSE)</f>
        <v>PENDING</v>
      </c>
      <c r="AI271" s="7">
        <v>45560</v>
      </c>
      <c r="AJ271" s="1" t="s">
        <v>7455</v>
      </c>
      <c r="AK271" s="7">
        <v>45560</v>
      </c>
      <c r="AL271" s="1" t="s">
        <v>7455</v>
      </c>
    </row>
    <row r="272" spans="1:38" s="20" customFormat="1" x14ac:dyDescent="0.3">
      <c r="A272" s="14">
        <v>271</v>
      </c>
      <c r="B272" s="14" t="str">
        <f>_xlfn.CONCAT(AE272,"-",VLOOKUP(AE272,t_objeto!B:D,3,FALSE),"-",A272)</f>
        <v>RMAT-PERCCO-271</v>
      </c>
      <c r="C272" s="22" t="str">
        <f t="shared" si="49"/>
        <v>LAMINA_LISA__INOX_304/316 L_3'X10'_19</v>
      </c>
      <c r="D272" s="14" t="s">
        <v>7412</v>
      </c>
      <c r="E272" s="14" t="s">
        <v>7408</v>
      </c>
      <c r="F272" s="21" t="s">
        <v>7409</v>
      </c>
      <c r="G272" s="22" t="s">
        <v>7387</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7356</v>
      </c>
      <c r="AF272" s="1" t="str">
        <f>VLOOKUP(AE272,t_objeto!B:C,2,FALSE)</f>
        <v>RAW_MATERIAL</v>
      </c>
      <c r="AG272" s="1">
        <v>8</v>
      </c>
      <c r="AH272" s="1" t="str">
        <f>VLOOKUP(AG272,t_entry_status!A:AE,2,FALSE)</f>
        <v>PENDING</v>
      </c>
      <c r="AI272" s="7">
        <v>45560</v>
      </c>
      <c r="AJ272" s="1" t="s">
        <v>7455</v>
      </c>
      <c r="AK272" s="7">
        <v>45560</v>
      </c>
      <c r="AL272" s="1" t="s">
        <v>7455</v>
      </c>
    </row>
    <row r="273" spans="1:38" s="20" customFormat="1" x14ac:dyDescent="0.3">
      <c r="A273" s="14">
        <v>272</v>
      </c>
      <c r="B273" s="14" t="str">
        <f>_xlfn.CONCAT(AE273,"-",VLOOKUP(AE273,t_objeto!B:D,3,FALSE),"-",A273)</f>
        <v>RMAT-PERCCO-272</v>
      </c>
      <c r="C273" s="22" t="str">
        <f t="shared" si="49"/>
        <v>LAMINA_LISA__INOX_304/316 L_3'X10'_20</v>
      </c>
      <c r="D273" s="14" t="s">
        <v>7412</v>
      </c>
      <c r="E273" s="14" t="s">
        <v>7408</v>
      </c>
      <c r="F273" s="21" t="s">
        <v>7409</v>
      </c>
      <c r="G273" s="22" t="s">
        <v>7387</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7356</v>
      </c>
      <c r="AF273" s="1" t="str">
        <f>VLOOKUP(AE273,t_objeto!B:C,2,FALSE)</f>
        <v>RAW_MATERIAL</v>
      </c>
      <c r="AG273" s="1">
        <v>8</v>
      </c>
      <c r="AH273" s="1" t="str">
        <f>VLOOKUP(AG273,t_entry_status!A:AE,2,FALSE)</f>
        <v>PENDING</v>
      </c>
      <c r="AI273" s="7">
        <v>45560</v>
      </c>
      <c r="AJ273" s="1" t="s">
        <v>7455</v>
      </c>
      <c r="AK273" s="7">
        <v>45560</v>
      </c>
      <c r="AL273" s="1" t="s">
        <v>7455</v>
      </c>
    </row>
    <row r="274" spans="1:38" s="20" customFormat="1" x14ac:dyDescent="0.3">
      <c r="A274" s="14">
        <v>273</v>
      </c>
      <c r="B274" s="14" t="str">
        <f>_xlfn.CONCAT(AE274,"-",VLOOKUP(AE274,t_objeto!B:D,3,FALSE),"-",A274)</f>
        <v>RMAT-PERCCO-273</v>
      </c>
      <c r="C274" s="22" t="str">
        <f t="shared" si="49"/>
        <v>LAMINA_LISA__INOX_304/316 L_3'X10'_21</v>
      </c>
      <c r="D274" s="14" t="s">
        <v>7412</v>
      </c>
      <c r="E274" s="14" t="s">
        <v>7408</v>
      </c>
      <c r="F274" s="21" t="s">
        <v>7409</v>
      </c>
      <c r="G274" s="22" t="s">
        <v>7387</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7356</v>
      </c>
      <c r="AF274" s="1" t="str">
        <f>VLOOKUP(AE274,t_objeto!B:C,2,FALSE)</f>
        <v>RAW_MATERIAL</v>
      </c>
      <c r="AG274" s="1">
        <v>8</v>
      </c>
      <c r="AH274" s="1" t="str">
        <f>VLOOKUP(AG274,t_entry_status!A:AE,2,FALSE)</f>
        <v>PENDING</v>
      </c>
      <c r="AI274" s="7">
        <v>45560</v>
      </c>
      <c r="AJ274" s="1" t="s">
        <v>7455</v>
      </c>
      <c r="AK274" s="7">
        <v>45560</v>
      </c>
      <c r="AL274" s="1" t="s">
        <v>7455</v>
      </c>
    </row>
    <row r="275" spans="1:38" s="20" customFormat="1" x14ac:dyDescent="0.3">
      <c r="A275" s="14">
        <v>274</v>
      </c>
      <c r="B275" s="14" t="str">
        <f>_xlfn.CONCAT(AE275,"-",VLOOKUP(AE275,t_objeto!B:D,3,FALSE),"-",A275)</f>
        <v>RMAT-PERCCO-274</v>
      </c>
      <c r="C275" s="22" t="str">
        <f t="shared" si="49"/>
        <v>LAMINA_LISA__INOX_304/316 L_3'X10'_22</v>
      </c>
      <c r="D275" s="14" t="s">
        <v>7412</v>
      </c>
      <c r="E275" s="14" t="s">
        <v>7408</v>
      </c>
      <c r="F275" s="21" t="s">
        <v>7409</v>
      </c>
      <c r="G275" s="22" t="s">
        <v>7387</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7356</v>
      </c>
      <c r="AF275" s="1" t="str">
        <f>VLOOKUP(AE275,t_objeto!B:C,2,FALSE)</f>
        <v>RAW_MATERIAL</v>
      </c>
      <c r="AG275" s="1">
        <v>8</v>
      </c>
      <c r="AH275" s="1" t="str">
        <f>VLOOKUP(AG275,t_entry_status!A:AE,2,FALSE)</f>
        <v>PENDING</v>
      </c>
      <c r="AI275" s="7">
        <v>45560</v>
      </c>
      <c r="AJ275" s="1" t="s">
        <v>7455</v>
      </c>
      <c r="AK275" s="7">
        <v>45560</v>
      </c>
      <c r="AL275" s="1" t="s">
        <v>7455</v>
      </c>
    </row>
    <row r="276" spans="1:38" s="20" customFormat="1" x14ac:dyDescent="0.3">
      <c r="A276" s="14">
        <v>275</v>
      </c>
      <c r="B276" s="14" t="str">
        <f>_xlfn.CONCAT(AE276,"-",VLOOKUP(AE276,t_objeto!B:D,3,FALSE),"-",A276)</f>
        <v>RMAT-PERCCO-275</v>
      </c>
      <c r="C276" s="22" t="str">
        <f t="shared" si="49"/>
        <v>LAMINA_LISA__INOX_304/316 L_3'X10'_23</v>
      </c>
      <c r="D276" s="14" t="s">
        <v>7412</v>
      </c>
      <c r="E276" s="14" t="s">
        <v>7408</v>
      </c>
      <c r="F276" s="21" t="s">
        <v>7409</v>
      </c>
      <c r="G276" s="22" t="s">
        <v>7387</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7356</v>
      </c>
      <c r="AF276" s="1" t="str">
        <f>VLOOKUP(AE276,t_objeto!B:C,2,FALSE)</f>
        <v>RAW_MATERIAL</v>
      </c>
      <c r="AG276" s="1">
        <v>8</v>
      </c>
      <c r="AH276" s="1" t="str">
        <f>VLOOKUP(AG276,t_entry_status!A:AE,2,FALSE)</f>
        <v>PENDING</v>
      </c>
      <c r="AI276" s="7">
        <v>45560</v>
      </c>
      <c r="AJ276" s="1" t="s">
        <v>7455</v>
      </c>
      <c r="AK276" s="7">
        <v>45560</v>
      </c>
      <c r="AL276" s="1" t="s">
        <v>7455</v>
      </c>
    </row>
    <row r="277" spans="1:38" s="20" customFormat="1" x14ac:dyDescent="0.3">
      <c r="A277" s="14">
        <v>276</v>
      </c>
      <c r="B277" s="14" t="str">
        <f>_xlfn.CONCAT(AE277,"-",VLOOKUP(AE277,t_objeto!B:D,3,FALSE),"-",A277)</f>
        <v>RMAT-PERCCO-276</v>
      </c>
      <c r="C277" s="22" t="str">
        <f t="shared" si="49"/>
        <v>LAMINA_LISA__INOX_304/316 L_3'X10'_24</v>
      </c>
      <c r="D277" s="14" t="s">
        <v>7412</v>
      </c>
      <c r="E277" s="14" t="s">
        <v>7408</v>
      </c>
      <c r="F277" s="21" t="s">
        <v>7409</v>
      </c>
      <c r="G277" s="22" t="s">
        <v>7387</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7356</v>
      </c>
      <c r="AF277" s="1" t="str">
        <f>VLOOKUP(AE277,t_objeto!B:C,2,FALSE)</f>
        <v>RAW_MATERIAL</v>
      </c>
      <c r="AG277" s="1">
        <v>8</v>
      </c>
      <c r="AH277" s="1" t="str">
        <f>VLOOKUP(AG277,t_entry_status!A:AE,2,FALSE)</f>
        <v>PENDING</v>
      </c>
      <c r="AI277" s="7">
        <v>45560</v>
      </c>
      <c r="AJ277" s="1" t="s">
        <v>7455</v>
      </c>
      <c r="AK277" s="7">
        <v>45560</v>
      </c>
      <c r="AL277" s="1" t="s">
        <v>7455</v>
      </c>
    </row>
    <row r="278" spans="1:38" s="20" customFormat="1" x14ac:dyDescent="0.3">
      <c r="A278" s="14">
        <v>277</v>
      </c>
      <c r="B278" s="14" t="str">
        <f>_xlfn.CONCAT(AE278,"-",VLOOKUP(AE278,t_objeto!B:D,3,FALSE),"-",A278)</f>
        <v>RMAT-PERCCO-277</v>
      </c>
      <c r="C278" s="22" t="str">
        <f t="shared" si="49"/>
        <v>LAMINA_LISA__INOX_304/316 L_3'X10'_25</v>
      </c>
      <c r="D278" s="14" t="s">
        <v>7412</v>
      </c>
      <c r="E278" s="14" t="s">
        <v>7408</v>
      </c>
      <c r="F278" s="21" t="s">
        <v>7409</v>
      </c>
      <c r="G278" s="22" t="s">
        <v>7387</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7356</v>
      </c>
      <c r="AF278" s="1" t="str">
        <f>VLOOKUP(AE278,t_objeto!B:C,2,FALSE)</f>
        <v>RAW_MATERIAL</v>
      </c>
      <c r="AG278" s="1">
        <v>8</v>
      </c>
      <c r="AH278" s="1" t="str">
        <f>VLOOKUP(AG278,t_entry_status!A:AE,2,FALSE)</f>
        <v>PENDING</v>
      </c>
      <c r="AI278" s="7">
        <v>45560</v>
      </c>
      <c r="AJ278" s="1" t="s">
        <v>7455</v>
      </c>
      <c r="AK278" s="7">
        <v>45560</v>
      </c>
      <c r="AL278" s="1" t="s">
        <v>7455</v>
      </c>
    </row>
    <row r="279" spans="1:38" s="20" customFormat="1" x14ac:dyDescent="0.3">
      <c r="A279" s="14">
        <v>278</v>
      </c>
      <c r="B279" s="14" t="str">
        <f>_xlfn.CONCAT(AE279,"-",VLOOKUP(AE279,t_objeto!B:D,3,FALSE),"-",A279)</f>
        <v>RMAT-PERCCO-278</v>
      </c>
      <c r="C279" s="22" t="str">
        <f t="shared" si="49"/>
        <v>LAMINA_LISA__INOX_304/316 L_3'X10'_26</v>
      </c>
      <c r="D279" s="14" t="s">
        <v>7412</v>
      </c>
      <c r="E279" s="14" t="s">
        <v>7408</v>
      </c>
      <c r="F279" s="21" t="s">
        <v>7409</v>
      </c>
      <c r="G279" s="22" t="s">
        <v>7387</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7356</v>
      </c>
      <c r="AF279" s="1" t="str">
        <f>VLOOKUP(AE279,t_objeto!B:C,2,FALSE)</f>
        <v>RAW_MATERIAL</v>
      </c>
      <c r="AG279" s="1">
        <v>8</v>
      </c>
      <c r="AH279" s="1" t="str">
        <f>VLOOKUP(AG279,t_entry_status!A:AE,2,FALSE)</f>
        <v>PENDING</v>
      </c>
      <c r="AI279" s="7">
        <v>45560</v>
      </c>
      <c r="AJ279" s="1" t="s">
        <v>7455</v>
      </c>
      <c r="AK279" s="7">
        <v>45560</v>
      </c>
      <c r="AL279" s="1" t="s">
        <v>7455</v>
      </c>
    </row>
    <row r="280" spans="1:38" s="20" customFormat="1" x14ac:dyDescent="0.3">
      <c r="A280" s="14">
        <v>279</v>
      </c>
      <c r="B280" s="14" t="str">
        <f>_xlfn.CONCAT(AE280,"-",VLOOKUP(AE280,t_objeto!B:D,3,FALSE),"-",A280)</f>
        <v>RMAT-PERCCO-279</v>
      </c>
      <c r="C280" s="22" t="str">
        <f t="shared" si="49"/>
        <v>LAMINA_LISA__ACERO_GALVANIZADA_4'X8'_12</v>
      </c>
      <c r="D280" s="14" t="s">
        <v>7412</v>
      </c>
      <c r="E280" s="14" t="s">
        <v>7385</v>
      </c>
      <c r="F280" s="21" t="s">
        <v>7386</v>
      </c>
      <c r="G280" s="22" t="s">
        <v>7387</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7356</v>
      </c>
      <c r="AF280" s="1" t="str">
        <f>VLOOKUP(AE280,t_objeto!B:C,2,FALSE)</f>
        <v>RAW_MATERIAL</v>
      </c>
      <c r="AG280" s="1">
        <v>8</v>
      </c>
      <c r="AH280" s="1" t="str">
        <f>VLOOKUP(AG280,t_entry_status!A:AE,2,FALSE)</f>
        <v>PENDING</v>
      </c>
      <c r="AI280" s="7">
        <v>45560</v>
      </c>
      <c r="AJ280" s="1" t="s">
        <v>7455</v>
      </c>
      <c r="AK280" s="7">
        <v>45560</v>
      </c>
      <c r="AL280" s="1" t="s">
        <v>7455</v>
      </c>
    </row>
    <row r="281" spans="1:38" s="20" customFormat="1" x14ac:dyDescent="0.3">
      <c r="A281" s="14">
        <v>280</v>
      </c>
      <c r="B281" s="14" t="str">
        <f>_xlfn.CONCAT(AE281,"-",VLOOKUP(AE281,t_objeto!B:D,3,FALSE),"-",A281)</f>
        <v>RMAT-PERCCO-280</v>
      </c>
      <c r="C281" s="22" t="str">
        <f t="shared" si="49"/>
        <v>LAMINA_LISA__ACERO_GALVANIZADA_4'X8'_13</v>
      </c>
      <c r="D281" s="14" t="s">
        <v>7412</v>
      </c>
      <c r="E281" s="14" t="s">
        <v>7385</v>
      </c>
      <c r="F281" s="21" t="s">
        <v>7386</v>
      </c>
      <c r="G281" s="22" t="s">
        <v>7387</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7356</v>
      </c>
      <c r="AF281" s="1" t="str">
        <f>VLOOKUP(AE281,t_objeto!B:C,2,FALSE)</f>
        <v>RAW_MATERIAL</v>
      </c>
      <c r="AG281" s="1">
        <v>8</v>
      </c>
      <c r="AH281" s="1" t="str">
        <f>VLOOKUP(AG281,t_entry_status!A:AE,2,FALSE)</f>
        <v>PENDING</v>
      </c>
      <c r="AI281" s="7">
        <v>45560</v>
      </c>
      <c r="AJ281" s="1" t="s">
        <v>7455</v>
      </c>
      <c r="AK281" s="7">
        <v>45560</v>
      </c>
      <c r="AL281" s="1" t="s">
        <v>7455</v>
      </c>
    </row>
    <row r="282" spans="1:38" s="20" customFormat="1" ht="18" x14ac:dyDescent="0.35">
      <c r="A282" s="14">
        <v>281</v>
      </c>
      <c r="B282" s="14" t="str">
        <f>_xlfn.CONCAT(AE282,"-",VLOOKUP(AE282,t_objeto!B:D,3,FALSE),"-",A282)</f>
        <v>RMAT-PERCCO-281</v>
      </c>
      <c r="C282" s="22" t="str">
        <f t="shared" si="49"/>
        <v>LAMINA_LISA__ACERO_GALVANIZADA_4'X8'_14</v>
      </c>
      <c r="D282" s="14" t="s">
        <v>7412</v>
      </c>
      <c r="E282" s="14" t="s">
        <v>7385</v>
      </c>
      <c r="F282" s="21" t="s">
        <v>7386</v>
      </c>
      <c r="G282" s="22" t="s">
        <v>7387</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7356</v>
      </c>
      <c r="AF282" s="1" t="str">
        <f>VLOOKUP(AE282,t_objeto!B:C,2,FALSE)</f>
        <v>RAW_MATERIAL</v>
      </c>
      <c r="AG282" s="1">
        <v>8</v>
      </c>
      <c r="AH282" s="1" t="str">
        <f>VLOOKUP(AG282,t_entry_status!A:AE,2,FALSE)</f>
        <v>PENDING</v>
      </c>
      <c r="AI282" s="7">
        <v>45560</v>
      </c>
      <c r="AJ282" s="1" t="s">
        <v>7455</v>
      </c>
      <c r="AK282" s="7">
        <v>45560</v>
      </c>
      <c r="AL282" s="1" t="s">
        <v>7455</v>
      </c>
    </row>
    <row r="283" spans="1:38" s="20" customFormat="1" x14ac:dyDescent="0.3">
      <c r="A283" s="14">
        <v>282</v>
      </c>
      <c r="B283" s="14" t="str">
        <f>_xlfn.CONCAT(AE283,"-",VLOOKUP(AE283,t_objeto!B:D,3,FALSE),"-",A283)</f>
        <v>RMAT-PERCCO-282</v>
      </c>
      <c r="C283" s="22" t="str">
        <f t="shared" si="49"/>
        <v>LAMINA_LISA__ACERO_GALVANIZADA_4'X8'_15</v>
      </c>
      <c r="D283" s="14" t="s">
        <v>7412</v>
      </c>
      <c r="E283" s="14" t="s">
        <v>7385</v>
      </c>
      <c r="F283" s="21" t="s">
        <v>7386</v>
      </c>
      <c r="G283" s="22" t="s">
        <v>7387</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7356</v>
      </c>
      <c r="AF283" s="1" t="str">
        <f>VLOOKUP(AE283,t_objeto!B:C,2,FALSE)</f>
        <v>RAW_MATERIAL</v>
      </c>
      <c r="AG283" s="1">
        <v>8</v>
      </c>
      <c r="AH283" s="1" t="str">
        <f>VLOOKUP(AG283,t_entry_status!A:AE,2,FALSE)</f>
        <v>PENDING</v>
      </c>
      <c r="AI283" s="7">
        <v>45560</v>
      </c>
      <c r="AJ283" s="1" t="s">
        <v>7455</v>
      </c>
      <c r="AK283" s="7">
        <v>45560</v>
      </c>
      <c r="AL283" s="1" t="s">
        <v>7455</v>
      </c>
    </row>
    <row r="284" spans="1:38" s="20" customFormat="1" x14ac:dyDescent="0.3">
      <c r="A284" s="14">
        <v>283</v>
      </c>
      <c r="B284" s="14" t="str">
        <f>_xlfn.CONCAT(AE284,"-",VLOOKUP(AE284,t_objeto!B:D,3,FALSE),"-",A284)</f>
        <v>RMAT-PERCCO-283</v>
      </c>
      <c r="C284" s="22" t="str">
        <f t="shared" si="49"/>
        <v>LAMINA_LISA__ACERO_GALVANIZADA_4'X8'_16</v>
      </c>
      <c r="D284" s="14" t="s">
        <v>7412</v>
      </c>
      <c r="E284" s="14" t="s">
        <v>7385</v>
      </c>
      <c r="F284" s="21" t="s">
        <v>7386</v>
      </c>
      <c r="G284" s="22" t="s">
        <v>7387</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7356</v>
      </c>
      <c r="AF284" s="1" t="str">
        <f>VLOOKUP(AE284,t_objeto!B:C,2,FALSE)</f>
        <v>RAW_MATERIAL</v>
      </c>
      <c r="AG284" s="1">
        <v>8</v>
      </c>
      <c r="AH284" s="1" t="str">
        <f>VLOOKUP(AG284,t_entry_status!A:AE,2,FALSE)</f>
        <v>PENDING</v>
      </c>
      <c r="AI284" s="7">
        <v>45560</v>
      </c>
      <c r="AJ284" s="1" t="s">
        <v>7455</v>
      </c>
      <c r="AK284" s="7">
        <v>45560</v>
      </c>
      <c r="AL284" s="1" t="s">
        <v>7455</v>
      </c>
    </row>
    <row r="285" spans="1:38" s="20" customFormat="1" x14ac:dyDescent="0.3">
      <c r="A285" s="14">
        <v>284</v>
      </c>
      <c r="B285" s="14" t="str">
        <f>_xlfn.CONCAT(AE285,"-",VLOOKUP(AE285,t_objeto!B:D,3,FALSE),"-",A285)</f>
        <v>RMAT-PERCCO-284</v>
      </c>
      <c r="C285" s="22" t="str">
        <f t="shared" si="49"/>
        <v>LAMINA_LISA__ACERO_GALVANIZADA_4'X8'_17</v>
      </c>
      <c r="D285" s="14" t="s">
        <v>7412</v>
      </c>
      <c r="E285" s="14" t="s">
        <v>7385</v>
      </c>
      <c r="F285" s="21" t="s">
        <v>7386</v>
      </c>
      <c r="G285" s="22" t="s">
        <v>7387</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7356</v>
      </c>
      <c r="AF285" s="1" t="str">
        <f>VLOOKUP(AE285,t_objeto!B:C,2,FALSE)</f>
        <v>RAW_MATERIAL</v>
      </c>
      <c r="AG285" s="1">
        <v>8</v>
      </c>
      <c r="AH285" s="1" t="str">
        <f>VLOOKUP(AG285,t_entry_status!A:AE,2,FALSE)</f>
        <v>PENDING</v>
      </c>
      <c r="AI285" s="7">
        <v>45560</v>
      </c>
      <c r="AJ285" s="1" t="s">
        <v>7455</v>
      </c>
      <c r="AK285" s="7">
        <v>45560</v>
      </c>
      <c r="AL285" s="1" t="s">
        <v>7455</v>
      </c>
    </row>
    <row r="286" spans="1:38" s="20" customFormat="1" x14ac:dyDescent="0.3">
      <c r="A286" s="14">
        <v>285</v>
      </c>
      <c r="B286" s="14" t="str">
        <f>_xlfn.CONCAT(AE286,"-",VLOOKUP(AE286,t_objeto!B:D,3,FALSE),"-",A286)</f>
        <v>RMAT-PERCCO-285</v>
      </c>
      <c r="C286" s="22" t="str">
        <f t="shared" si="49"/>
        <v>LAMINA_LISA__ACERO_GALVANIZADA_4'X8'_18</v>
      </c>
      <c r="D286" s="14" t="s">
        <v>7412</v>
      </c>
      <c r="E286" s="14" t="s">
        <v>7385</v>
      </c>
      <c r="F286" s="21" t="s">
        <v>7386</v>
      </c>
      <c r="G286" s="22" t="s">
        <v>7387</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7356</v>
      </c>
      <c r="AF286" s="1" t="str">
        <f>VLOOKUP(AE286,t_objeto!B:C,2,FALSE)</f>
        <v>RAW_MATERIAL</v>
      </c>
      <c r="AG286" s="1">
        <v>8</v>
      </c>
      <c r="AH286" s="1" t="str">
        <f>VLOOKUP(AG286,t_entry_status!A:AE,2,FALSE)</f>
        <v>PENDING</v>
      </c>
      <c r="AI286" s="7">
        <v>45560</v>
      </c>
      <c r="AJ286" s="1" t="s">
        <v>7455</v>
      </c>
      <c r="AK286" s="7">
        <v>45560</v>
      </c>
      <c r="AL286" s="1" t="s">
        <v>7455</v>
      </c>
    </row>
    <row r="287" spans="1:38" s="20" customFormat="1" x14ac:dyDescent="0.3">
      <c r="A287" s="14">
        <v>286</v>
      </c>
      <c r="B287" s="14" t="str">
        <f>_xlfn.CONCAT(AE287,"-",VLOOKUP(AE287,t_objeto!B:D,3,FALSE),"-",A287)</f>
        <v>RMAT-PERCCO-286</v>
      </c>
      <c r="C287" s="22" t="str">
        <f t="shared" si="49"/>
        <v>LAMINA_LISA__ACERO_GALVANIZADA_4'X8'_19</v>
      </c>
      <c r="D287" s="14" t="s">
        <v>7412</v>
      </c>
      <c r="E287" s="14" t="s">
        <v>7385</v>
      </c>
      <c r="F287" s="21" t="s">
        <v>7386</v>
      </c>
      <c r="G287" s="22" t="s">
        <v>7387</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7356</v>
      </c>
      <c r="AF287" s="1" t="str">
        <f>VLOOKUP(AE287,t_objeto!B:C,2,FALSE)</f>
        <v>RAW_MATERIAL</v>
      </c>
      <c r="AG287" s="1">
        <v>8</v>
      </c>
      <c r="AH287" s="1" t="str">
        <f>VLOOKUP(AG287,t_entry_status!A:AE,2,FALSE)</f>
        <v>PENDING</v>
      </c>
      <c r="AI287" s="7">
        <v>45560</v>
      </c>
      <c r="AJ287" s="1" t="s">
        <v>7455</v>
      </c>
      <c r="AK287" s="7">
        <v>45560</v>
      </c>
      <c r="AL287" s="1" t="s">
        <v>7455</v>
      </c>
    </row>
    <row r="288" spans="1:38" s="20" customFormat="1" x14ac:dyDescent="0.3">
      <c r="A288" s="14">
        <v>287</v>
      </c>
      <c r="B288" s="14" t="str">
        <f>_xlfn.CONCAT(AE288,"-",VLOOKUP(AE288,t_objeto!B:D,3,FALSE),"-",A288)</f>
        <v>RMAT-PERCCO-287</v>
      </c>
      <c r="C288" s="22" t="str">
        <f t="shared" si="49"/>
        <v>LAMINA_LISA__ACERO_GALVANIZADA_4'X8'_20</v>
      </c>
      <c r="D288" s="14" t="s">
        <v>7412</v>
      </c>
      <c r="E288" s="14" t="s">
        <v>7385</v>
      </c>
      <c r="F288" s="21" t="s">
        <v>7386</v>
      </c>
      <c r="G288" s="22" t="s">
        <v>7387</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7356</v>
      </c>
      <c r="AF288" s="1" t="str">
        <f>VLOOKUP(AE288,t_objeto!B:C,2,FALSE)</f>
        <v>RAW_MATERIAL</v>
      </c>
      <c r="AG288" s="1">
        <v>8</v>
      </c>
      <c r="AH288" s="1" t="str">
        <f>VLOOKUP(AG288,t_entry_status!A:AE,2,FALSE)</f>
        <v>PENDING</v>
      </c>
      <c r="AI288" s="7">
        <v>45560</v>
      </c>
      <c r="AJ288" s="1" t="s">
        <v>7455</v>
      </c>
      <c r="AK288" s="7">
        <v>45560</v>
      </c>
      <c r="AL288" s="1" t="s">
        <v>7455</v>
      </c>
    </row>
    <row r="289" spans="1:38" s="20" customFormat="1" x14ac:dyDescent="0.3">
      <c r="A289" s="14">
        <v>288</v>
      </c>
      <c r="B289" s="14" t="str">
        <f>_xlfn.CONCAT(AE289,"-",VLOOKUP(AE289,t_objeto!B:D,3,FALSE),"-",A289)</f>
        <v>RMAT-PERCCO-288</v>
      </c>
      <c r="C289" s="22" t="str">
        <f t="shared" si="49"/>
        <v>LAMINA_LISA__ACERO_GALVANIZADA_4'X8'_21</v>
      </c>
      <c r="D289" s="14" t="s">
        <v>7412</v>
      </c>
      <c r="E289" s="14" t="s">
        <v>7385</v>
      </c>
      <c r="F289" s="21" t="s">
        <v>7386</v>
      </c>
      <c r="G289" s="22" t="s">
        <v>7387</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7356</v>
      </c>
      <c r="AF289" s="1" t="str">
        <f>VLOOKUP(AE289,t_objeto!B:C,2,FALSE)</f>
        <v>RAW_MATERIAL</v>
      </c>
      <c r="AG289" s="1">
        <v>8</v>
      </c>
      <c r="AH289" s="1" t="str">
        <f>VLOOKUP(AG289,t_entry_status!A:AE,2,FALSE)</f>
        <v>PENDING</v>
      </c>
      <c r="AI289" s="7">
        <v>45560</v>
      </c>
      <c r="AJ289" s="1" t="s">
        <v>7455</v>
      </c>
      <c r="AK289" s="7">
        <v>45560</v>
      </c>
      <c r="AL289" s="1" t="s">
        <v>7455</v>
      </c>
    </row>
    <row r="290" spans="1:38" s="20" customFormat="1" x14ac:dyDescent="0.3">
      <c r="A290" s="14">
        <v>289</v>
      </c>
      <c r="B290" s="14" t="str">
        <f>_xlfn.CONCAT(AE290,"-",VLOOKUP(AE290,t_objeto!B:D,3,FALSE),"-",A290)</f>
        <v>RMAT-PERCCO-289</v>
      </c>
      <c r="C290" s="22" t="str">
        <f t="shared" si="49"/>
        <v>LAMINA_LISA__ACERO_GALVANIZADA_4'X8'_22</v>
      </c>
      <c r="D290" s="14" t="s">
        <v>7412</v>
      </c>
      <c r="E290" s="14" t="s">
        <v>7385</v>
      </c>
      <c r="F290" s="21" t="s">
        <v>7386</v>
      </c>
      <c r="G290" s="22" t="s">
        <v>7387</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7356</v>
      </c>
      <c r="AF290" s="1" t="str">
        <f>VLOOKUP(AE290,t_objeto!B:C,2,FALSE)</f>
        <v>RAW_MATERIAL</v>
      </c>
      <c r="AG290" s="1">
        <v>8</v>
      </c>
      <c r="AH290" s="1" t="str">
        <f>VLOOKUP(AG290,t_entry_status!A:AE,2,FALSE)</f>
        <v>PENDING</v>
      </c>
      <c r="AI290" s="7">
        <v>45560</v>
      </c>
      <c r="AJ290" s="1" t="s">
        <v>7455</v>
      </c>
      <c r="AK290" s="7">
        <v>45560</v>
      </c>
      <c r="AL290" s="1" t="s">
        <v>7455</v>
      </c>
    </row>
    <row r="291" spans="1:38" s="20" customFormat="1" x14ac:dyDescent="0.3">
      <c r="A291" s="14">
        <v>290</v>
      </c>
      <c r="B291" s="14" t="str">
        <f>_xlfn.CONCAT(AE291,"-",VLOOKUP(AE291,t_objeto!B:D,3,FALSE),"-",A291)</f>
        <v>RMAT-PERCCO-290</v>
      </c>
      <c r="C291" s="22" t="str">
        <f t="shared" si="49"/>
        <v>LAMINA_LISA__ACERO_GALVANIZADA_4'X8'_23</v>
      </c>
      <c r="D291" s="14" t="s">
        <v>7412</v>
      </c>
      <c r="E291" s="14" t="s">
        <v>7385</v>
      </c>
      <c r="F291" s="21" t="s">
        <v>7386</v>
      </c>
      <c r="G291" s="22" t="s">
        <v>7387</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7356</v>
      </c>
      <c r="AF291" s="1" t="str">
        <f>VLOOKUP(AE291,t_objeto!B:C,2,FALSE)</f>
        <v>RAW_MATERIAL</v>
      </c>
      <c r="AG291" s="1">
        <v>8</v>
      </c>
      <c r="AH291" s="1" t="str">
        <f>VLOOKUP(AG291,t_entry_status!A:AE,2,FALSE)</f>
        <v>PENDING</v>
      </c>
      <c r="AI291" s="7">
        <v>45560</v>
      </c>
      <c r="AJ291" s="1" t="s">
        <v>7455</v>
      </c>
      <c r="AK291" s="7">
        <v>45560</v>
      </c>
      <c r="AL291" s="1" t="s">
        <v>7455</v>
      </c>
    </row>
    <row r="292" spans="1:38" s="20" customFormat="1" x14ac:dyDescent="0.3">
      <c r="A292" s="14">
        <v>291</v>
      </c>
      <c r="B292" s="14" t="str">
        <f>_xlfn.CONCAT(AE292,"-",VLOOKUP(AE292,t_objeto!B:D,3,FALSE),"-",A292)</f>
        <v>RMAT-PERCCO-291</v>
      </c>
      <c r="C292" s="22" t="str">
        <f t="shared" si="49"/>
        <v>LAMINA_LISA__ACERO_GALVANIZADA_4'X8'_24</v>
      </c>
      <c r="D292" s="14" t="s">
        <v>7412</v>
      </c>
      <c r="E292" s="14" t="s">
        <v>7385</v>
      </c>
      <c r="F292" s="21" t="s">
        <v>7386</v>
      </c>
      <c r="G292" s="22" t="s">
        <v>7387</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7356</v>
      </c>
      <c r="AF292" s="1" t="str">
        <f>VLOOKUP(AE292,t_objeto!B:C,2,FALSE)</f>
        <v>RAW_MATERIAL</v>
      </c>
      <c r="AG292" s="1">
        <v>8</v>
      </c>
      <c r="AH292" s="1" t="str">
        <f>VLOOKUP(AG292,t_entry_status!A:AE,2,FALSE)</f>
        <v>PENDING</v>
      </c>
      <c r="AI292" s="7">
        <v>45560</v>
      </c>
      <c r="AJ292" s="1" t="s">
        <v>7455</v>
      </c>
      <c r="AK292" s="7">
        <v>45560</v>
      </c>
      <c r="AL292" s="1" t="s">
        <v>7455</v>
      </c>
    </row>
    <row r="293" spans="1:38" s="20" customFormat="1" x14ac:dyDescent="0.3">
      <c r="A293" s="14">
        <v>292</v>
      </c>
      <c r="B293" s="14" t="str">
        <f>_xlfn.CONCAT(AE293,"-",VLOOKUP(AE293,t_objeto!B:D,3,FALSE),"-",A293)</f>
        <v>RMAT-PERCCO-292</v>
      </c>
      <c r="C293" s="22" t="str">
        <f t="shared" si="49"/>
        <v>LAMINA_LISA__ACERO_GALVANIZADA_4'X8'_25</v>
      </c>
      <c r="D293" s="14" t="s">
        <v>7412</v>
      </c>
      <c r="E293" s="14" t="s">
        <v>7385</v>
      </c>
      <c r="F293" s="21" t="s">
        <v>7386</v>
      </c>
      <c r="G293" s="22" t="s">
        <v>7387</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7356</v>
      </c>
      <c r="AF293" s="1" t="str">
        <f>VLOOKUP(AE293,t_objeto!B:C,2,FALSE)</f>
        <v>RAW_MATERIAL</v>
      </c>
      <c r="AG293" s="1">
        <v>8</v>
      </c>
      <c r="AH293" s="1" t="str">
        <f>VLOOKUP(AG293,t_entry_status!A:AE,2,FALSE)</f>
        <v>PENDING</v>
      </c>
      <c r="AI293" s="7">
        <v>45560</v>
      </c>
      <c r="AJ293" s="1" t="s">
        <v>7455</v>
      </c>
      <c r="AK293" s="7">
        <v>45560</v>
      </c>
      <c r="AL293" s="1" t="s">
        <v>7455</v>
      </c>
    </row>
    <row r="294" spans="1:38" s="20" customFormat="1" x14ac:dyDescent="0.3">
      <c r="A294" s="14">
        <v>293</v>
      </c>
      <c r="B294" s="14" t="str">
        <f>_xlfn.CONCAT(AE294,"-",VLOOKUP(AE294,t_objeto!B:D,3,FALSE),"-",A294)</f>
        <v>RMAT-PERCCO-293</v>
      </c>
      <c r="C294" s="22" t="str">
        <f t="shared" si="49"/>
        <v>LAMINA_LISA__ACERO_GALVANIZADA_4'X8'_26</v>
      </c>
      <c r="D294" s="14" t="s">
        <v>7412</v>
      </c>
      <c r="E294" s="14" t="s">
        <v>7385</v>
      </c>
      <c r="F294" s="21" t="s">
        <v>7386</v>
      </c>
      <c r="G294" s="22" t="s">
        <v>7387</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7356</v>
      </c>
      <c r="AF294" s="1" t="str">
        <f>VLOOKUP(AE294,t_objeto!B:C,2,FALSE)</f>
        <v>RAW_MATERIAL</v>
      </c>
      <c r="AG294" s="1">
        <v>8</v>
      </c>
      <c r="AH294" s="1" t="str">
        <f>VLOOKUP(AG294,t_entry_status!A:AE,2,FALSE)</f>
        <v>PENDING</v>
      </c>
      <c r="AI294" s="7">
        <v>45560</v>
      </c>
      <c r="AJ294" s="1" t="s">
        <v>7455</v>
      </c>
      <c r="AK294" s="7">
        <v>45560</v>
      </c>
      <c r="AL294" s="1" t="s">
        <v>7455</v>
      </c>
    </row>
    <row r="295" spans="1:38" s="20" customFormat="1" x14ac:dyDescent="0.3">
      <c r="A295" s="14">
        <v>294</v>
      </c>
      <c r="B295" s="14" t="str">
        <f>_xlfn.CONCAT(AE295,"-",VLOOKUP(AE295,t_objeto!B:D,3,FALSE),"-",A295)</f>
        <v>RMAT-PERCCO-294</v>
      </c>
      <c r="C295" s="22" t="str">
        <f t="shared" si="49"/>
        <v>LAMINA_LISA__ACERO_GALVANIZADA_4'X8'_27</v>
      </c>
      <c r="D295" s="14" t="s">
        <v>7412</v>
      </c>
      <c r="E295" s="14" t="s">
        <v>7385</v>
      </c>
      <c r="F295" s="21" t="s">
        <v>7386</v>
      </c>
      <c r="G295" s="22" t="s">
        <v>7387</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7356</v>
      </c>
      <c r="AF295" s="1" t="str">
        <f>VLOOKUP(AE295,t_objeto!B:C,2,FALSE)</f>
        <v>RAW_MATERIAL</v>
      </c>
      <c r="AG295" s="1">
        <v>8</v>
      </c>
      <c r="AH295" s="1" t="str">
        <f>VLOOKUP(AG295,t_entry_status!A:AE,2,FALSE)</f>
        <v>PENDING</v>
      </c>
      <c r="AI295" s="7">
        <v>45560</v>
      </c>
      <c r="AJ295" s="1" t="s">
        <v>7455</v>
      </c>
      <c r="AK295" s="7">
        <v>45560</v>
      </c>
      <c r="AL295" s="1" t="s">
        <v>7455</v>
      </c>
    </row>
    <row r="296" spans="1:38" s="20" customFormat="1" x14ac:dyDescent="0.3">
      <c r="A296" s="14">
        <v>295</v>
      </c>
      <c r="B296" s="14" t="str">
        <f>_xlfn.CONCAT(AE296,"-",VLOOKUP(AE296,t_objeto!B:D,3,FALSE),"-",A296)</f>
        <v>RMAT-PERCCO-295</v>
      </c>
      <c r="C296" s="22" t="str">
        <f t="shared" si="49"/>
        <v>LAMINA_LISA__ACERO_GALVANIZADA_4'X8'_28</v>
      </c>
      <c r="D296" s="14" t="s">
        <v>7412</v>
      </c>
      <c r="E296" s="14" t="s">
        <v>7385</v>
      </c>
      <c r="F296" s="21" t="s">
        <v>7386</v>
      </c>
      <c r="G296" s="22" t="s">
        <v>7387</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7356</v>
      </c>
      <c r="AF296" s="1" t="str">
        <f>VLOOKUP(AE296,t_objeto!B:C,2,FALSE)</f>
        <v>RAW_MATERIAL</v>
      </c>
      <c r="AG296" s="1">
        <v>8</v>
      </c>
      <c r="AH296" s="1" t="str">
        <f>VLOOKUP(AG296,t_entry_status!A:AE,2,FALSE)</f>
        <v>PENDING</v>
      </c>
      <c r="AI296" s="7">
        <v>45560</v>
      </c>
      <c r="AJ296" s="1" t="s">
        <v>7455</v>
      </c>
      <c r="AK296" s="7">
        <v>45560</v>
      </c>
      <c r="AL296" s="1" t="s">
        <v>7455</v>
      </c>
    </row>
    <row r="297" spans="1:38" s="20" customFormat="1" x14ac:dyDescent="0.3">
      <c r="A297" s="14">
        <v>296</v>
      </c>
      <c r="B297" s="14" t="str">
        <f>_xlfn.CONCAT(AE297,"-",VLOOKUP(AE297,t_objeto!B:D,3,FALSE),"-",A297)</f>
        <v>RMAT-PERCCO-296</v>
      </c>
      <c r="C297" s="22" t="str">
        <f t="shared" si="49"/>
        <v>LAMINA_LISA__ACERO_PINTRO_3'X10'_10</v>
      </c>
      <c r="D297" s="14" t="s">
        <v>7412</v>
      </c>
      <c r="E297" s="14" t="s">
        <v>7385</v>
      </c>
      <c r="F297" s="21" t="s">
        <v>7388</v>
      </c>
      <c r="G297" s="22" t="s">
        <v>7387</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7356</v>
      </c>
      <c r="AF297" s="1" t="str">
        <f>VLOOKUP(AE297,t_objeto!B:C,2,FALSE)</f>
        <v>RAW_MATERIAL</v>
      </c>
      <c r="AG297" s="1">
        <v>8</v>
      </c>
      <c r="AH297" s="1" t="str">
        <f>VLOOKUP(AG297,t_entry_status!A:AE,2,FALSE)</f>
        <v>PENDING</v>
      </c>
      <c r="AI297" s="7">
        <v>45560</v>
      </c>
      <c r="AJ297" s="1" t="s">
        <v>7455</v>
      </c>
      <c r="AK297" s="7">
        <v>45560</v>
      </c>
      <c r="AL297" s="1" t="s">
        <v>7455</v>
      </c>
    </row>
    <row r="298" spans="1:38" s="20" customFormat="1" x14ac:dyDescent="0.3">
      <c r="A298" s="14">
        <v>297</v>
      </c>
      <c r="B298" s="14" t="str">
        <f>_xlfn.CONCAT(AE298,"-",VLOOKUP(AE298,t_objeto!B:D,3,FALSE),"-",A298)</f>
        <v>RMAT-PERCCO-297</v>
      </c>
      <c r="C298" s="22" t="str">
        <f t="shared" si="49"/>
        <v>LAMINA_LISA__ACERO_PINTRO_3'X10'_11</v>
      </c>
      <c r="D298" s="14" t="s">
        <v>7412</v>
      </c>
      <c r="E298" s="14" t="s">
        <v>7385</v>
      </c>
      <c r="F298" s="21" t="s">
        <v>7388</v>
      </c>
      <c r="G298" s="22" t="s">
        <v>7387</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7356</v>
      </c>
      <c r="AF298" s="1" t="str">
        <f>VLOOKUP(AE298,t_objeto!B:C,2,FALSE)</f>
        <v>RAW_MATERIAL</v>
      </c>
      <c r="AG298" s="1">
        <v>8</v>
      </c>
      <c r="AH298" s="1" t="str">
        <f>VLOOKUP(AG298,t_entry_status!A:AE,2,FALSE)</f>
        <v>PENDING</v>
      </c>
      <c r="AI298" s="7">
        <v>45560</v>
      </c>
      <c r="AJ298" s="1" t="s">
        <v>7455</v>
      </c>
      <c r="AK298" s="7">
        <v>45560</v>
      </c>
      <c r="AL298" s="1" t="s">
        <v>7455</v>
      </c>
    </row>
    <row r="299" spans="1:38" s="20" customFormat="1" x14ac:dyDescent="0.3">
      <c r="A299" s="14">
        <v>298</v>
      </c>
      <c r="B299" s="14" t="str">
        <f>_xlfn.CONCAT(AE299,"-",VLOOKUP(AE299,t_objeto!B:D,3,FALSE),"-",A299)</f>
        <v>RMAT-PERCCO-298</v>
      </c>
      <c r="C299" s="22" t="str">
        <f t="shared" si="49"/>
        <v>LAMINA_LISA__ACERO_PINTRO_3'X10'_12</v>
      </c>
      <c r="D299" s="14" t="s">
        <v>7412</v>
      </c>
      <c r="E299" s="14" t="s">
        <v>7385</v>
      </c>
      <c r="F299" s="21" t="s">
        <v>7388</v>
      </c>
      <c r="G299" s="22" t="s">
        <v>7387</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7356</v>
      </c>
      <c r="AF299" s="1" t="str">
        <f>VLOOKUP(AE299,t_objeto!B:C,2,FALSE)</f>
        <v>RAW_MATERIAL</v>
      </c>
      <c r="AG299" s="1">
        <v>8</v>
      </c>
      <c r="AH299" s="1" t="str">
        <f>VLOOKUP(AG299,t_entry_status!A:AE,2,FALSE)</f>
        <v>PENDING</v>
      </c>
      <c r="AI299" s="7">
        <v>45560</v>
      </c>
      <c r="AJ299" s="1" t="s">
        <v>7455</v>
      </c>
      <c r="AK299" s="7">
        <v>45560</v>
      </c>
      <c r="AL299" s="1" t="s">
        <v>7455</v>
      </c>
    </row>
    <row r="300" spans="1:38" s="20" customFormat="1" x14ac:dyDescent="0.3">
      <c r="A300" s="14">
        <v>299</v>
      </c>
      <c r="B300" s="14" t="str">
        <f>_xlfn.CONCAT(AE300,"-",VLOOKUP(AE300,t_objeto!B:D,3,FALSE),"-",A300)</f>
        <v>RMAT-PERCCO-299</v>
      </c>
      <c r="C300" s="22" t="str">
        <f t="shared" si="49"/>
        <v>LAMINA_LISA__ACERO_PINTRO_3'X10'_13</v>
      </c>
      <c r="D300" s="14" t="s">
        <v>7412</v>
      </c>
      <c r="E300" s="14" t="s">
        <v>7385</v>
      </c>
      <c r="F300" s="21" t="s">
        <v>7388</v>
      </c>
      <c r="G300" s="22" t="s">
        <v>7387</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7356</v>
      </c>
      <c r="AF300" s="1" t="str">
        <f>VLOOKUP(AE300,t_objeto!B:C,2,FALSE)</f>
        <v>RAW_MATERIAL</v>
      </c>
      <c r="AG300" s="1">
        <v>8</v>
      </c>
      <c r="AH300" s="1" t="str">
        <f>VLOOKUP(AG300,t_entry_status!A:AE,2,FALSE)</f>
        <v>PENDING</v>
      </c>
      <c r="AI300" s="7">
        <v>45560</v>
      </c>
      <c r="AJ300" s="1" t="s">
        <v>7455</v>
      </c>
      <c r="AK300" s="7">
        <v>45560</v>
      </c>
      <c r="AL300" s="1" t="s">
        <v>7455</v>
      </c>
    </row>
    <row r="301" spans="1:38" s="20" customFormat="1" ht="18" x14ac:dyDescent="0.35">
      <c r="A301" s="14">
        <v>300</v>
      </c>
      <c r="B301" s="14" t="str">
        <f>_xlfn.CONCAT(AE301,"-",VLOOKUP(AE301,t_objeto!B:D,3,FALSE),"-",A301)</f>
        <v>RMAT-PERCCO-300</v>
      </c>
      <c r="C301" s="22" t="str">
        <f t="shared" si="49"/>
        <v>LAMINA_LISA__ACERO_PINTRO_3'X10'_14</v>
      </c>
      <c r="D301" s="14" t="s">
        <v>7412</v>
      </c>
      <c r="E301" s="14" t="s">
        <v>7385</v>
      </c>
      <c r="F301" s="21" t="s">
        <v>7388</v>
      </c>
      <c r="G301" s="22" t="s">
        <v>7387</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7356</v>
      </c>
      <c r="AF301" s="1" t="str">
        <f>VLOOKUP(AE301,t_objeto!B:C,2,FALSE)</f>
        <v>RAW_MATERIAL</v>
      </c>
      <c r="AG301" s="1">
        <v>8</v>
      </c>
      <c r="AH301" s="1" t="str">
        <f>VLOOKUP(AG301,t_entry_status!A:AE,2,FALSE)</f>
        <v>PENDING</v>
      </c>
      <c r="AI301" s="7">
        <v>45560</v>
      </c>
      <c r="AJ301" s="1" t="s">
        <v>7455</v>
      </c>
      <c r="AK301" s="7">
        <v>45560</v>
      </c>
      <c r="AL301" s="1" t="s">
        <v>7455</v>
      </c>
    </row>
    <row r="302" spans="1:38" s="20" customFormat="1" x14ac:dyDescent="0.3">
      <c r="A302" s="14">
        <v>301</v>
      </c>
      <c r="B302" s="14" t="str">
        <f>_xlfn.CONCAT(AE302,"-",VLOOKUP(AE302,t_objeto!B:D,3,FALSE),"-",A302)</f>
        <v>RMAT-PERCCO-301</v>
      </c>
      <c r="C302" s="22" t="str">
        <f t="shared" si="49"/>
        <v>LAMINA_LISA__ACERO_PINTRO_3'X10'_15</v>
      </c>
      <c r="D302" s="14" t="s">
        <v>7412</v>
      </c>
      <c r="E302" s="14" t="s">
        <v>7385</v>
      </c>
      <c r="F302" s="21" t="s">
        <v>7388</v>
      </c>
      <c r="G302" s="22" t="s">
        <v>7387</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7356</v>
      </c>
      <c r="AF302" s="1" t="str">
        <f>VLOOKUP(AE302,t_objeto!B:C,2,FALSE)</f>
        <v>RAW_MATERIAL</v>
      </c>
      <c r="AG302" s="1">
        <v>8</v>
      </c>
      <c r="AH302" s="1" t="str">
        <f>VLOOKUP(AG302,t_entry_status!A:AE,2,FALSE)</f>
        <v>PENDING</v>
      </c>
      <c r="AI302" s="7">
        <v>45560</v>
      </c>
      <c r="AJ302" s="1" t="s">
        <v>7455</v>
      </c>
      <c r="AK302" s="7">
        <v>45560</v>
      </c>
      <c r="AL302" s="1" t="s">
        <v>7455</v>
      </c>
    </row>
    <row r="303" spans="1:38" s="20" customFormat="1" x14ac:dyDescent="0.3">
      <c r="A303" s="14">
        <v>302</v>
      </c>
      <c r="B303" s="14" t="str">
        <f>_xlfn.CONCAT(AE303,"-",VLOOKUP(AE303,t_objeto!B:D,3,FALSE),"-",A303)</f>
        <v>RMAT-PERCCO-302</v>
      </c>
      <c r="C303" s="22" t="str">
        <f t="shared" si="49"/>
        <v>LAMINA_LISA__ACERO_PINTRO_3'X10'_16</v>
      </c>
      <c r="D303" s="14" t="s">
        <v>7412</v>
      </c>
      <c r="E303" s="14" t="s">
        <v>7385</v>
      </c>
      <c r="F303" s="21" t="s">
        <v>7388</v>
      </c>
      <c r="G303" s="22" t="s">
        <v>7387</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7356</v>
      </c>
      <c r="AF303" s="1" t="str">
        <f>VLOOKUP(AE303,t_objeto!B:C,2,FALSE)</f>
        <v>RAW_MATERIAL</v>
      </c>
      <c r="AG303" s="1">
        <v>8</v>
      </c>
      <c r="AH303" s="1" t="str">
        <f>VLOOKUP(AG303,t_entry_status!A:AE,2,FALSE)</f>
        <v>PENDING</v>
      </c>
      <c r="AI303" s="7">
        <v>45560</v>
      </c>
      <c r="AJ303" s="1" t="s">
        <v>7455</v>
      </c>
      <c r="AK303" s="7">
        <v>45560</v>
      </c>
      <c r="AL303" s="1" t="s">
        <v>7455</v>
      </c>
    </row>
    <row r="304" spans="1:38" s="20" customFormat="1" x14ac:dyDescent="0.3">
      <c r="A304" s="14">
        <v>303</v>
      </c>
      <c r="B304" s="14" t="str">
        <f>_xlfn.CONCAT(AE304,"-",VLOOKUP(AE304,t_objeto!B:D,3,FALSE),"-",A304)</f>
        <v>RMAT-PERCCO-303</v>
      </c>
      <c r="C304" s="22" t="str">
        <f t="shared" si="49"/>
        <v>LAMINA_LISA__ACERO_PINTRO_3'X10'_17</v>
      </c>
      <c r="D304" s="14" t="s">
        <v>7412</v>
      </c>
      <c r="E304" s="14" t="s">
        <v>7385</v>
      </c>
      <c r="F304" s="21" t="s">
        <v>7388</v>
      </c>
      <c r="G304" s="22" t="s">
        <v>7387</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7356</v>
      </c>
      <c r="AF304" s="1" t="str">
        <f>VLOOKUP(AE304,t_objeto!B:C,2,FALSE)</f>
        <v>RAW_MATERIAL</v>
      </c>
      <c r="AG304" s="1">
        <v>8</v>
      </c>
      <c r="AH304" s="1" t="str">
        <f>VLOOKUP(AG304,t_entry_status!A:AE,2,FALSE)</f>
        <v>PENDING</v>
      </c>
      <c r="AI304" s="7">
        <v>45560</v>
      </c>
      <c r="AJ304" s="1" t="s">
        <v>7455</v>
      </c>
      <c r="AK304" s="7">
        <v>45560</v>
      </c>
      <c r="AL304" s="1" t="s">
        <v>7455</v>
      </c>
    </row>
    <row r="305" spans="1:38" s="20" customFormat="1" x14ac:dyDescent="0.3">
      <c r="A305" s="14">
        <v>304</v>
      </c>
      <c r="B305" s="14" t="str">
        <f>_xlfn.CONCAT(AE305,"-",VLOOKUP(AE305,t_objeto!B:D,3,FALSE),"-",A305)</f>
        <v>RMAT-PERCCO-304</v>
      </c>
      <c r="C305" s="22" t="str">
        <f t="shared" si="49"/>
        <v>LAMINA_LISA__ACERO_PINTRO_3'X10'_18</v>
      </c>
      <c r="D305" s="14" t="s">
        <v>7412</v>
      </c>
      <c r="E305" s="14" t="s">
        <v>7385</v>
      </c>
      <c r="F305" s="21" t="s">
        <v>7388</v>
      </c>
      <c r="G305" s="22" t="s">
        <v>7387</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7356</v>
      </c>
      <c r="AF305" s="1" t="str">
        <f>VLOOKUP(AE305,t_objeto!B:C,2,FALSE)</f>
        <v>RAW_MATERIAL</v>
      </c>
      <c r="AG305" s="1">
        <v>8</v>
      </c>
      <c r="AH305" s="1" t="str">
        <f>VLOOKUP(AG305,t_entry_status!A:AE,2,FALSE)</f>
        <v>PENDING</v>
      </c>
      <c r="AI305" s="7">
        <v>45560</v>
      </c>
      <c r="AJ305" s="1" t="s">
        <v>7455</v>
      </c>
      <c r="AK305" s="7">
        <v>45560</v>
      </c>
      <c r="AL305" s="1" t="s">
        <v>7455</v>
      </c>
    </row>
    <row r="306" spans="1:38" s="20" customFormat="1" x14ac:dyDescent="0.3">
      <c r="A306" s="14">
        <v>305</v>
      </c>
      <c r="B306" s="14" t="str">
        <f>_xlfn.CONCAT(AE306,"-",VLOOKUP(AE306,t_objeto!B:D,3,FALSE),"-",A306)</f>
        <v>RMAT-PERCCO-305</v>
      </c>
      <c r="C306" s="22" t="str">
        <f t="shared" si="49"/>
        <v>LAMINA_LISA__ACERO_PINTRO_3'X10'_19</v>
      </c>
      <c r="D306" s="14" t="s">
        <v>7412</v>
      </c>
      <c r="E306" s="14" t="s">
        <v>7385</v>
      </c>
      <c r="F306" s="21" t="s">
        <v>7388</v>
      </c>
      <c r="G306" s="22" t="s">
        <v>7387</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7356</v>
      </c>
      <c r="AF306" s="1" t="str">
        <f>VLOOKUP(AE306,t_objeto!B:C,2,FALSE)</f>
        <v>RAW_MATERIAL</v>
      </c>
      <c r="AG306" s="1">
        <v>8</v>
      </c>
      <c r="AH306" s="1" t="str">
        <f>VLOOKUP(AG306,t_entry_status!A:AE,2,FALSE)</f>
        <v>PENDING</v>
      </c>
      <c r="AI306" s="7">
        <v>45560</v>
      </c>
      <c r="AJ306" s="1" t="s">
        <v>7455</v>
      </c>
      <c r="AK306" s="7">
        <v>45560</v>
      </c>
      <c r="AL306" s="1" t="s">
        <v>7455</v>
      </c>
    </row>
    <row r="307" spans="1:38" s="20" customFormat="1" x14ac:dyDescent="0.3">
      <c r="A307" s="14">
        <v>306</v>
      </c>
      <c r="B307" s="14" t="str">
        <f>_xlfn.CONCAT(AE307,"-",VLOOKUP(AE307,t_objeto!B:D,3,FALSE),"-",A307)</f>
        <v>RMAT-PERCCO-306</v>
      </c>
      <c r="C307" s="22" t="str">
        <f t="shared" si="49"/>
        <v>LAMINA_LISA__ACERO_PINTRO_3'X10'_20</v>
      </c>
      <c r="D307" s="14" t="s">
        <v>7412</v>
      </c>
      <c r="E307" s="14" t="s">
        <v>7385</v>
      </c>
      <c r="F307" s="21" t="s">
        <v>7388</v>
      </c>
      <c r="G307" s="22" t="s">
        <v>7387</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7356</v>
      </c>
      <c r="AF307" s="1" t="str">
        <f>VLOOKUP(AE307,t_objeto!B:C,2,FALSE)</f>
        <v>RAW_MATERIAL</v>
      </c>
      <c r="AG307" s="1">
        <v>8</v>
      </c>
      <c r="AH307" s="1" t="str">
        <f>VLOOKUP(AG307,t_entry_status!A:AE,2,FALSE)</f>
        <v>PENDING</v>
      </c>
      <c r="AI307" s="7">
        <v>45560</v>
      </c>
      <c r="AJ307" s="1" t="s">
        <v>7455</v>
      </c>
      <c r="AK307" s="7">
        <v>45560</v>
      </c>
      <c r="AL307" s="1" t="s">
        <v>7455</v>
      </c>
    </row>
    <row r="308" spans="1:38" s="20" customFormat="1" x14ac:dyDescent="0.3">
      <c r="A308" s="14">
        <v>307</v>
      </c>
      <c r="B308" s="14" t="str">
        <f>_xlfn.CONCAT(AE308,"-",VLOOKUP(AE308,t_objeto!B:D,3,FALSE),"-",A308)</f>
        <v>RMAT-PERCCO-307</v>
      </c>
      <c r="C308" s="22" t="str">
        <f t="shared" si="49"/>
        <v>LAMINA_LISA__ACERO_PINTRO_3'X10'_21</v>
      </c>
      <c r="D308" s="14" t="s">
        <v>7412</v>
      </c>
      <c r="E308" s="14" t="s">
        <v>7385</v>
      </c>
      <c r="F308" s="21" t="s">
        <v>7388</v>
      </c>
      <c r="G308" s="22" t="s">
        <v>7387</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7356</v>
      </c>
      <c r="AF308" s="1" t="str">
        <f>VLOOKUP(AE308,t_objeto!B:C,2,FALSE)</f>
        <v>RAW_MATERIAL</v>
      </c>
      <c r="AG308" s="1">
        <v>8</v>
      </c>
      <c r="AH308" s="1" t="str">
        <f>VLOOKUP(AG308,t_entry_status!A:AE,2,FALSE)</f>
        <v>PENDING</v>
      </c>
      <c r="AI308" s="7">
        <v>45560</v>
      </c>
      <c r="AJ308" s="1" t="s">
        <v>7455</v>
      </c>
      <c r="AK308" s="7">
        <v>45560</v>
      </c>
      <c r="AL308" s="1" t="s">
        <v>7455</v>
      </c>
    </row>
    <row r="309" spans="1:38" s="20" customFormat="1" x14ac:dyDescent="0.3">
      <c r="A309" s="14">
        <v>308</v>
      </c>
      <c r="B309" s="14" t="str">
        <f>_xlfn.CONCAT(AE309,"-",VLOOKUP(AE309,t_objeto!B:D,3,FALSE),"-",A309)</f>
        <v>RMAT-PERCCO-308</v>
      </c>
      <c r="C309" s="22" t="str">
        <f t="shared" si="49"/>
        <v>LAMINA_LISA__ACERO_PINTRO_3'X10'_22</v>
      </c>
      <c r="D309" s="14" t="s">
        <v>7412</v>
      </c>
      <c r="E309" s="14" t="s">
        <v>7385</v>
      </c>
      <c r="F309" s="21" t="s">
        <v>7388</v>
      </c>
      <c r="G309" s="22" t="s">
        <v>7387</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7356</v>
      </c>
      <c r="AF309" s="1" t="str">
        <f>VLOOKUP(AE309,t_objeto!B:C,2,FALSE)</f>
        <v>RAW_MATERIAL</v>
      </c>
      <c r="AG309" s="1">
        <v>8</v>
      </c>
      <c r="AH309" s="1" t="str">
        <f>VLOOKUP(AG309,t_entry_status!A:AE,2,FALSE)</f>
        <v>PENDING</v>
      </c>
      <c r="AI309" s="7">
        <v>45560</v>
      </c>
      <c r="AJ309" s="1" t="s">
        <v>7455</v>
      </c>
      <c r="AK309" s="7">
        <v>45560</v>
      </c>
      <c r="AL309" s="1" t="s">
        <v>7455</v>
      </c>
    </row>
    <row r="310" spans="1:38" s="20" customFormat="1" x14ac:dyDescent="0.3">
      <c r="A310" s="14">
        <v>309</v>
      </c>
      <c r="B310" s="14" t="str">
        <f>_xlfn.CONCAT(AE310,"-",VLOOKUP(AE310,t_objeto!B:D,3,FALSE),"-",A310)</f>
        <v>RMAT-PERCCO-309</v>
      </c>
      <c r="C310" s="22" t="str">
        <f t="shared" si="49"/>
        <v>LAMINA_LISA__ACERO_PINTRO_3'X10'_23</v>
      </c>
      <c r="D310" s="14" t="s">
        <v>7412</v>
      </c>
      <c r="E310" s="14" t="s">
        <v>7385</v>
      </c>
      <c r="F310" s="21" t="s">
        <v>7388</v>
      </c>
      <c r="G310" s="22" t="s">
        <v>7387</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7356</v>
      </c>
      <c r="AF310" s="1" t="str">
        <f>VLOOKUP(AE310,t_objeto!B:C,2,FALSE)</f>
        <v>RAW_MATERIAL</v>
      </c>
      <c r="AG310" s="1">
        <v>8</v>
      </c>
      <c r="AH310" s="1" t="str">
        <f>VLOOKUP(AG310,t_entry_status!A:AE,2,FALSE)</f>
        <v>PENDING</v>
      </c>
      <c r="AI310" s="7">
        <v>45560</v>
      </c>
      <c r="AJ310" s="1" t="s">
        <v>7455</v>
      </c>
      <c r="AK310" s="7">
        <v>45560</v>
      </c>
      <c r="AL310" s="1" t="s">
        <v>7455</v>
      </c>
    </row>
    <row r="311" spans="1:38" s="20" customFormat="1" x14ac:dyDescent="0.3">
      <c r="A311" s="14">
        <v>310</v>
      </c>
      <c r="B311" s="14" t="str">
        <f>_xlfn.CONCAT(AE311,"-",VLOOKUP(AE311,t_objeto!B:D,3,FALSE),"-",A311)</f>
        <v>RMAT-PERCCO-310</v>
      </c>
      <c r="C311" s="22" t="str">
        <f t="shared" si="49"/>
        <v>LAMINA_LISA__ACERO_PINTRO_3'X10'_24</v>
      </c>
      <c r="D311" s="14" t="s">
        <v>7412</v>
      </c>
      <c r="E311" s="14" t="s">
        <v>7385</v>
      </c>
      <c r="F311" s="21" t="s">
        <v>7388</v>
      </c>
      <c r="G311" s="22" t="s">
        <v>7387</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7356</v>
      </c>
      <c r="AF311" s="1" t="str">
        <f>VLOOKUP(AE311,t_objeto!B:C,2,FALSE)</f>
        <v>RAW_MATERIAL</v>
      </c>
      <c r="AG311" s="1">
        <v>8</v>
      </c>
      <c r="AH311" s="1" t="str">
        <f>VLOOKUP(AG311,t_entry_status!A:AE,2,FALSE)</f>
        <v>PENDING</v>
      </c>
      <c r="AI311" s="7">
        <v>45560</v>
      </c>
      <c r="AJ311" s="1" t="s">
        <v>7455</v>
      </c>
      <c r="AK311" s="7">
        <v>45560</v>
      </c>
      <c r="AL311" s="1" t="s">
        <v>7455</v>
      </c>
    </row>
    <row r="312" spans="1:38" s="20" customFormat="1" x14ac:dyDescent="0.3">
      <c r="A312" s="14">
        <v>311</v>
      </c>
      <c r="B312" s="14" t="str">
        <f>_xlfn.CONCAT(AE312,"-",VLOOKUP(AE312,t_objeto!B:D,3,FALSE),"-",A312)</f>
        <v>RMAT-PERCCO-311</v>
      </c>
      <c r="C312" s="22" t="str">
        <f t="shared" si="49"/>
        <v>LAMINA_LISA__ACERO_PINTRO_3'X10'_25</v>
      </c>
      <c r="D312" s="14" t="s">
        <v>7412</v>
      </c>
      <c r="E312" s="14" t="s">
        <v>7385</v>
      </c>
      <c r="F312" s="21" t="s">
        <v>7388</v>
      </c>
      <c r="G312" s="22" t="s">
        <v>7387</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7356</v>
      </c>
      <c r="AF312" s="1" t="str">
        <f>VLOOKUP(AE312,t_objeto!B:C,2,FALSE)</f>
        <v>RAW_MATERIAL</v>
      </c>
      <c r="AG312" s="1">
        <v>8</v>
      </c>
      <c r="AH312" s="1" t="str">
        <f>VLOOKUP(AG312,t_entry_status!A:AE,2,FALSE)</f>
        <v>PENDING</v>
      </c>
      <c r="AI312" s="7">
        <v>45560</v>
      </c>
      <c r="AJ312" s="1" t="s">
        <v>7455</v>
      </c>
      <c r="AK312" s="7">
        <v>45560</v>
      </c>
      <c r="AL312" s="1" t="s">
        <v>7455</v>
      </c>
    </row>
    <row r="313" spans="1:38" s="20" customFormat="1" x14ac:dyDescent="0.3">
      <c r="A313" s="14">
        <v>312</v>
      </c>
      <c r="B313" s="14" t="str">
        <f>_xlfn.CONCAT(AE313,"-",VLOOKUP(AE313,t_objeto!B:D,3,FALSE),"-",A313)</f>
        <v>RMAT-PERCCO-312</v>
      </c>
      <c r="C313" s="22" t="str">
        <f t="shared" si="49"/>
        <v>LAMINA_LISA__ACERO_PINTRO_3'X10'_26</v>
      </c>
      <c r="D313" s="14" t="s">
        <v>7412</v>
      </c>
      <c r="E313" s="14" t="s">
        <v>7385</v>
      </c>
      <c r="F313" s="21" t="s">
        <v>7388</v>
      </c>
      <c r="G313" s="22" t="s">
        <v>7387</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7356</v>
      </c>
      <c r="AF313" s="1" t="str">
        <f>VLOOKUP(AE313,t_objeto!B:C,2,FALSE)</f>
        <v>RAW_MATERIAL</v>
      </c>
      <c r="AG313" s="1">
        <v>8</v>
      </c>
      <c r="AH313" s="1" t="str">
        <f>VLOOKUP(AG313,t_entry_status!A:AE,2,FALSE)</f>
        <v>PENDING</v>
      </c>
      <c r="AI313" s="7">
        <v>45560</v>
      </c>
      <c r="AJ313" s="1" t="s">
        <v>7455</v>
      </c>
      <c r="AK313" s="7">
        <v>45560</v>
      </c>
      <c r="AL313" s="1" t="s">
        <v>7455</v>
      </c>
    </row>
    <row r="314" spans="1:38" s="20" customFormat="1" x14ac:dyDescent="0.3">
      <c r="A314" s="14">
        <v>313</v>
      </c>
      <c r="B314" s="14" t="str">
        <f>_xlfn.CONCAT(AE314,"-",VLOOKUP(AE314,t_objeto!B:D,3,FALSE),"-",A314)</f>
        <v>RMAT-PERCCO-313</v>
      </c>
      <c r="C314" s="22" t="str">
        <f t="shared" si="49"/>
        <v>LAMINA_LISA__ACERO_PINTRO_3'X10'_27</v>
      </c>
      <c r="D314" s="14" t="s">
        <v>7412</v>
      </c>
      <c r="E314" s="14" t="s">
        <v>7385</v>
      </c>
      <c r="F314" s="21" t="s">
        <v>7388</v>
      </c>
      <c r="G314" s="22" t="s">
        <v>7387</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7356</v>
      </c>
      <c r="AF314" s="1" t="str">
        <f>VLOOKUP(AE314,t_objeto!B:C,2,FALSE)</f>
        <v>RAW_MATERIAL</v>
      </c>
      <c r="AG314" s="1">
        <v>8</v>
      </c>
      <c r="AH314" s="1" t="str">
        <f>VLOOKUP(AG314,t_entry_status!A:AE,2,FALSE)</f>
        <v>PENDING</v>
      </c>
      <c r="AI314" s="7">
        <v>45560</v>
      </c>
      <c r="AJ314" s="1" t="s">
        <v>7455</v>
      </c>
      <c r="AK314" s="7">
        <v>45560</v>
      </c>
      <c r="AL314" s="1" t="s">
        <v>7455</v>
      </c>
    </row>
    <row r="315" spans="1:38" s="20" customFormat="1" x14ac:dyDescent="0.3">
      <c r="A315" s="14">
        <v>314</v>
      </c>
      <c r="B315" s="14" t="str">
        <f>_xlfn.CONCAT(AE315,"-",VLOOKUP(AE315,t_objeto!B:D,3,FALSE),"-",A315)</f>
        <v>RMAT-PERCCO-314</v>
      </c>
      <c r="C315" s="22" t="str">
        <f t="shared" si="49"/>
        <v>LAMINA_LISA__ACERO_PINTRO_3'X10'_28</v>
      </c>
      <c r="D315" s="14" t="s">
        <v>7412</v>
      </c>
      <c r="E315" s="14" t="s">
        <v>7385</v>
      </c>
      <c r="F315" s="21" t="s">
        <v>7388</v>
      </c>
      <c r="G315" s="22" t="s">
        <v>7387</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7356</v>
      </c>
      <c r="AF315" s="1" t="str">
        <f>VLOOKUP(AE315,t_objeto!B:C,2,FALSE)</f>
        <v>RAW_MATERIAL</v>
      </c>
      <c r="AG315" s="1">
        <v>8</v>
      </c>
      <c r="AH315" s="1" t="str">
        <f>VLOOKUP(AG315,t_entry_status!A:AE,2,FALSE)</f>
        <v>PENDING</v>
      </c>
      <c r="AI315" s="7">
        <v>45560</v>
      </c>
      <c r="AJ315" s="1" t="s">
        <v>7455</v>
      </c>
      <c r="AK315" s="7">
        <v>45560</v>
      </c>
      <c r="AL315" s="1" t="s">
        <v>7455</v>
      </c>
    </row>
    <row r="316" spans="1:38" s="20" customFormat="1" x14ac:dyDescent="0.3">
      <c r="A316" s="14">
        <v>315</v>
      </c>
      <c r="B316" s="14" t="str">
        <f>_xlfn.CONCAT(AE316,"-",VLOOKUP(AE316,t_objeto!B:D,3,FALSE),"-",A316)</f>
        <v>RMAT-PERCCO-315</v>
      </c>
      <c r="C316" s="22" t="str">
        <f t="shared" si="49"/>
        <v>LAMINA_LISA__ACERO_PINTRO_3'X10'_29</v>
      </c>
      <c r="D316" s="14" t="s">
        <v>7412</v>
      </c>
      <c r="E316" s="14" t="s">
        <v>7385</v>
      </c>
      <c r="F316" s="21" t="s">
        <v>7388</v>
      </c>
      <c r="G316" s="22" t="s">
        <v>7387</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7356</v>
      </c>
      <c r="AF316" s="1" t="str">
        <f>VLOOKUP(AE316,t_objeto!B:C,2,FALSE)</f>
        <v>RAW_MATERIAL</v>
      </c>
      <c r="AG316" s="1">
        <v>8</v>
      </c>
      <c r="AH316" s="1" t="str">
        <f>VLOOKUP(AG316,t_entry_status!A:AE,2,FALSE)</f>
        <v>PENDING</v>
      </c>
      <c r="AI316" s="7">
        <v>45560</v>
      </c>
      <c r="AJ316" s="1" t="s">
        <v>7455</v>
      </c>
      <c r="AK316" s="7">
        <v>45560</v>
      </c>
      <c r="AL316" s="1" t="s">
        <v>7455</v>
      </c>
    </row>
    <row r="317" spans="1:38" s="20" customFormat="1" x14ac:dyDescent="0.3">
      <c r="A317" s="14">
        <v>316</v>
      </c>
      <c r="B317" s="14" t="str">
        <f>_xlfn.CONCAT(AE317,"-",VLOOKUP(AE317,t_objeto!B:D,3,FALSE),"-",A317)</f>
        <v>RMAT-PERCCO-316</v>
      </c>
      <c r="C317" s="22" t="str">
        <f t="shared" si="49"/>
        <v>LAMINA_LISA__ACERO_PINTRO_3'X10'_30</v>
      </c>
      <c r="D317" s="14" t="s">
        <v>7412</v>
      </c>
      <c r="E317" s="14" t="s">
        <v>7385</v>
      </c>
      <c r="F317" s="21" t="s">
        <v>7388</v>
      </c>
      <c r="G317" s="22" t="s">
        <v>7387</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7356</v>
      </c>
      <c r="AF317" s="1" t="str">
        <f>VLOOKUP(AE317,t_objeto!B:C,2,FALSE)</f>
        <v>RAW_MATERIAL</v>
      </c>
      <c r="AG317" s="1">
        <v>8</v>
      </c>
      <c r="AH317" s="1" t="str">
        <f>VLOOKUP(AG317,t_entry_status!A:AE,2,FALSE)</f>
        <v>PENDING</v>
      </c>
      <c r="AI317" s="7">
        <v>45560</v>
      </c>
      <c r="AJ317" s="1" t="s">
        <v>7455</v>
      </c>
      <c r="AK317" s="7">
        <v>45560</v>
      </c>
      <c r="AL317" s="1" t="s">
        <v>7455</v>
      </c>
    </row>
    <row r="318" spans="1:38" s="20" customFormat="1" x14ac:dyDescent="0.3">
      <c r="A318" s="14">
        <v>317</v>
      </c>
      <c r="B318" s="14" t="str">
        <f>_xlfn.CONCAT(AE318,"-",VLOOKUP(AE318,t_objeto!B:D,3,FALSE),"-",A318)</f>
        <v>RMAT-PERCCO-317</v>
      </c>
      <c r="C318" s="22" t="str">
        <f t="shared" si="49"/>
        <v>LAMINA_LISA__ACERO_PINTRO_4'X6'_10</v>
      </c>
      <c r="D318" s="14" t="s">
        <v>7412</v>
      </c>
      <c r="E318" s="14" t="s">
        <v>7385</v>
      </c>
      <c r="F318" s="21" t="s">
        <v>7388</v>
      </c>
      <c r="G318" s="22" t="s">
        <v>7389</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7356</v>
      </c>
      <c r="AF318" s="1" t="str">
        <f>VLOOKUP(AE318,t_objeto!B:C,2,FALSE)</f>
        <v>RAW_MATERIAL</v>
      </c>
      <c r="AG318" s="1">
        <v>8</v>
      </c>
      <c r="AH318" s="1" t="str">
        <f>VLOOKUP(AG318,t_entry_status!A:AE,2,FALSE)</f>
        <v>PENDING</v>
      </c>
      <c r="AI318" s="7">
        <v>45560</v>
      </c>
      <c r="AJ318" s="1" t="s">
        <v>7455</v>
      </c>
      <c r="AK318" s="7">
        <v>45560</v>
      </c>
      <c r="AL318" s="1" t="s">
        <v>7455</v>
      </c>
    </row>
    <row r="319" spans="1:38" s="20" customFormat="1" x14ac:dyDescent="0.3">
      <c r="A319" s="14">
        <v>318</v>
      </c>
      <c r="B319" s="14" t="str">
        <f>_xlfn.CONCAT(AE319,"-",VLOOKUP(AE319,t_objeto!B:D,3,FALSE),"-",A319)</f>
        <v>RMAT-PERCCO-318</v>
      </c>
      <c r="C319" s="22" t="str">
        <f t="shared" si="49"/>
        <v>LAMINA_LISA__ACERO_PINTRO_4'X6'_11</v>
      </c>
      <c r="D319" s="14" t="s">
        <v>7412</v>
      </c>
      <c r="E319" s="14" t="s">
        <v>7385</v>
      </c>
      <c r="F319" s="21" t="s">
        <v>7388</v>
      </c>
      <c r="G319" s="22" t="s">
        <v>7389</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7356</v>
      </c>
      <c r="AF319" s="1" t="str">
        <f>VLOOKUP(AE319,t_objeto!B:C,2,FALSE)</f>
        <v>RAW_MATERIAL</v>
      </c>
      <c r="AG319" s="1">
        <v>8</v>
      </c>
      <c r="AH319" s="1" t="str">
        <f>VLOOKUP(AG319,t_entry_status!A:AE,2,FALSE)</f>
        <v>PENDING</v>
      </c>
      <c r="AI319" s="7">
        <v>45560</v>
      </c>
      <c r="AJ319" s="1" t="s">
        <v>7455</v>
      </c>
      <c r="AK319" s="7">
        <v>45560</v>
      </c>
      <c r="AL319" s="1" t="s">
        <v>7455</v>
      </c>
    </row>
    <row r="320" spans="1:38" s="20" customFormat="1" x14ac:dyDescent="0.3">
      <c r="A320" s="14">
        <v>319</v>
      </c>
      <c r="B320" s="14" t="str">
        <f>_xlfn.CONCAT(AE320,"-",VLOOKUP(AE320,t_objeto!B:D,3,FALSE),"-",A320)</f>
        <v>RMAT-PERCCO-319</v>
      </c>
      <c r="C320" s="22" t="str">
        <f t="shared" si="49"/>
        <v>LAMINA_LISA__ACERO_PINTRO_4'X6'_12</v>
      </c>
      <c r="D320" s="14" t="s">
        <v>7412</v>
      </c>
      <c r="E320" s="14" t="s">
        <v>7385</v>
      </c>
      <c r="F320" s="21" t="s">
        <v>7388</v>
      </c>
      <c r="G320" s="22" t="s">
        <v>7389</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7356</v>
      </c>
      <c r="AF320" s="1" t="str">
        <f>VLOOKUP(AE320,t_objeto!B:C,2,FALSE)</f>
        <v>RAW_MATERIAL</v>
      </c>
      <c r="AG320" s="1">
        <v>8</v>
      </c>
      <c r="AH320" s="1" t="str">
        <f>VLOOKUP(AG320,t_entry_status!A:AE,2,FALSE)</f>
        <v>PENDING</v>
      </c>
      <c r="AI320" s="7">
        <v>45560</v>
      </c>
      <c r="AJ320" s="1" t="s">
        <v>7455</v>
      </c>
      <c r="AK320" s="7">
        <v>45560</v>
      </c>
      <c r="AL320" s="1" t="s">
        <v>7455</v>
      </c>
    </row>
    <row r="321" spans="1:38" s="20" customFormat="1" x14ac:dyDescent="0.3">
      <c r="A321" s="14">
        <v>320</v>
      </c>
      <c r="B321" s="14" t="str">
        <f>_xlfn.CONCAT(AE321,"-",VLOOKUP(AE321,t_objeto!B:D,3,FALSE),"-",A321)</f>
        <v>RMAT-PERCCO-320</v>
      </c>
      <c r="C321" s="22" t="str">
        <f t="shared" si="49"/>
        <v>LAMINA_LISA__ACERO_PINTRO_4'X6'_13</v>
      </c>
      <c r="D321" s="14" t="s">
        <v>7412</v>
      </c>
      <c r="E321" s="14" t="s">
        <v>7385</v>
      </c>
      <c r="F321" s="21" t="s">
        <v>7388</v>
      </c>
      <c r="G321" s="22" t="s">
        <v>7389</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7356</v>
      </c>
      <c r="AF321" s="1" t="str">
        <f>VLOOKUP(AE321,t_objeto!B:C,2,FALSE)</f>
        <v>RAW_MATERIAL</v>
      </c>
      <c r="AG321" s="1">
        <v>8</v>
      </c>
      <c r="AH321" s="1" t="str">
        <f>VLOOKUP(AG321,t_entry_status!A:AE,2,FALSE)</f>
        <v>PENDING</v>
      </c>
      <c r="AI321" s="7">
        <v>45560</v>
      </c>
      <c r="AJ321" s="1" t="s">
        <v>7455</v>
      </c>
      <c r="AK321" s="7">
        <v>45560</v>
      </c>
      <c r="AL321" s="1" t="s">
        <v>7455</v>
      </c>
    </row>
    <row r="322" spans="1:38" s="20" customFormat="1" ht="18" x14ac:dyDescent="0.35">
      <c r="A322" s="14">
        <v>321</v>
      </c>
      <c r="B322" s="14" t="str">
        <f>_xlfn.CONCAT(AE322,"-",VLOOKUP(AE322,t_objeto!B:D,3,FALSE),"-",A322)</f>
        <v>RMAT-PERCCO-321</v>
      </c>
      <c r="C322" s="22" t="str">
        <f t="shared" si="49"/>
        <v>LAMINA_LISA__ACERO_PINTRO_4'X6'_14</v>
      </c>
      <c r="D322" s="14" t="s">
        <v>7412</v>
      </c>
      <c r="E322" s="14" t="s">
        <v>7385</v>
      </c>
      <c r="F322" s="21" t="s">
        <v>7388</v>
      </c>
      <c r="G322" s="22" t="s">
        <v>7389</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7356</v>
      </c>
      <c r="AF322" s="1" t="str">
        <f>VLOOKUP(AE322,t_objeto!B:C,2,FALSE)</f>
        <v>RAW_MATERIAL</v>
      </c>
      <c r="AG322" s="1">
        <v>8</v>
      </c>
      <c r="AH322" s="1" t="str">
        <f>VLOOKUP(AG322,t_entry_status!A:AE,2,FALSE)</f>
        <v>PENDING</v>
      </c>
      <c r="AI322" s="7">
        <v>45560</v>
      </c>
      <c r="AJ322" s="1" t="s">
        <v>7455</v>
      </c>
      <c r="AK322" s="7">
        <v>45560</v>
      </c>
      <c r="AL322" s="1" t="s">
        <v>7455</v>
      </c>
    </row>
    <row r="323" spans="1:38" s="20" customFormat="1" x14ac:dyDescent="0.3">
      <c r="A323" s="14">
        <v>322</v>
      </c>
      <c r="B323" s="14" t="str">
        <f>_xlfn.CONCAT(AE323,"-",VLOOKUP(AE323,t_objeto!B:D,3,FALSE),"-",A323)</f>
        <v>RMAT-PERCCO-322</v>
      </c>
      <c r="C323" s="22" t="str">
        <f t="shared" ref="C323:C386" si="59">_xlfn.CONCAT(D323,"_","_",E323,"_",F323,"_",R323,"'","X",S323,"'","_",H323)</f>
        <v>LAMINA_LISA__ACERO_PINTRO_4'X6'_15</v>
      </c>
      <c r="D323" s="14" t="s">
        <v>7412</v>
      </c>
      <c r="E323" s="14" t="s">
        <v>7385</v>
      </c>
      <c r="F323" s="21" t="s">
        <v>7388</v>
      </c>
      <c r="G323" s="22" t="s">
        <v>7389</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7356</v>
      </c>
      <c r="AF323" s="1" t="str">
        <f>VLOOKUP(AE323,t_objeto!B:C,2,FALSE)</f>
        <v>RAW_MATERIAL</v>
      </c>
      <c r="AG323" s="1">
        <v>8</v>
      </c>
      <c r="AH323" s="1" t="str">
        <f>VLOOKUP(AG323,t_entry_status!A:AE,2,FALSE)</f>
        <v>PENDING</v>
      </c>
      <c r="AI323" s="7">
        <v>45560</v>
      </c>
      <c r="AJ323" s="1" t="s">
        <v>7455</v>
      </c>
      <c r="AK323" s="7">
        <v>45560</v>
      </c>
      <c r="AL323" s="1" t="s">
        <v>7455</v>
      </c>
    </row>
    <row r="324" spans="1:38" s="20" customFormat="1" x14ac:dyDescent="0.3">
      <c r="A324" s="14">
        <v>323</v>
      </c>
      <c r="B324" s="14" t="str">
        <f>_xlfn.CONCAT(AE324,"-",VLOOKUP(AE324,t_objeto!B:D,3,FALSE),"-",A324)</f>
        <v>RMAT-PERCCO-323</v>
      </c>
      <c r="C324" s="22" t="str">
        <f t="shared" si="59"/>
        <v>LAMINA_LISA__ACERO_PINTRO_4'X6'_16</v>
      </c>
      <c r="D324" s="14" t="s">
        <v>7412</v>
      </c>
      <c r="E324" s="14" t="s">
        <v>7385</v>
      </c>
      <c r="F324" s="21" t="s">
        <v>7388</v>
      </c>
      <c r="G324" s="22" t="s">
        <v>7389</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7356</v>
      </c>
      <c r="AF324" s="1" t="str">
        <f>VLOOKUP(AE324,t_objeto!B:C,2,FALSE)</f>
        <v>RAW_MATERIAL</v>
      </c>
      <c r="AG324" s="1">
        <v>8</v>
      </c>
      <c r="AH324" s="1" t="str">
        <f>VLOOKUP(AG324,t_entry_status!A:AE,2,FALSE)</f>
        <v>PENDING</v>
      </c>
      <c r="AI324" s="7">
        <v>45560</v>
      </c>
      <c r="AJ324" s="1" t="s">
        <v>7455</v>
      </c>
      <c r="AK324" s="7">
        <v>45560</v>
      </c>
      <c r="AL324" s="1" t="s">
        <v>7455</v>
      </c>
    </row>
    <row r="325" spans="1:38" s="20" customFormat="1" x14ac:dyDescent="0.3">
      <c r="A325" s="14">
        <v>324</v>
      </c>
      <c r="B325" s="14" t="str">
        <f>_xlfn.CONCAT(AE325,"-",VLOOKUP(AE325,t_objeto!B:D,3,FALSE),"-",A325)</f>
        <v>RMAT-PERCCO-324</v>
      </c>
      <c r="C325" s="22" t="str">
        <f t="shared" si="59"/>
        <v>LAMINA_LISA__ACERO_PINTRO_4'X6'_17</v>
      </c>
      <c r="D325" s="14" t="s">
        <v>7412</v>
      </c>
      <c r="E325" s="14" t="s">
        <v>7385</v>
      </c>
      <c r="F325" s="21" t="s">
        <v>7388</v>
      </c>
      <c r="G325" s="22" t="s">
        <v>7389</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7356</v>
      </c>
      <c r="AF325" s="1" t="str">
        <f>VLOOKUP(AE325,t_objeto!B:C,2,FALSE)</f>
        <v>RAW_MATERIAL</v>
      </c>
      <c r="AG325" s="1">
        <v>8</v>
      </c>
      <c r="AH325" s="1" t="str">
        <f>VLOOKUP(AG325,t_entry_status!A:AE,2,FALSE)</f>
        <v>PENDING</v>
      </c>
      <c r="AI325" s="7">
        <v>45560</v>
      </c>
      <c r="AJ325" s="1" t="s">
        <v>7455</v>
      </c>
      <c r="AK325" s="7">
        <v>45560</v>
      </c>
      <c r="AL325" s="1" t="s">
        <v>7455</v>
      </c>
    </row>
    <row r="326" spans="1:38" s="20" customFormat="1" x14ac:dyDescent="0.3">
      <c r="A326" s="14">
        <v>325</v>
      </c>
      <c r="B326" s="14" t="str">
        <f>_xlfn.CONCAT(AE326,"-",VLOOKUP(AE326,t_objeto!B:D,3,FALSE),"-",A326)</f>
        <v>RMAT-PERCCO-325</v>
      </c>
      <c r="C326" s="22" t="str">
        <f t="shared" si="59"/>
        <v>LAMINA_LISA__ACERO_PINTRO_4'X6'_18</v>
      </c>
      <c r="D326" s="14" t="s">
        <v>7412</v>
      </c>
      <c r="E326" s="14" t="s">
        <v>7385</v>
      </c>
      <c r="F326" s="21" t="s">
        <v>7388</v>
      </c>
      <c r="G326" s="22" t="s">
        <v>7389</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7356</v>
      </c>
      <c r="AF326" s="1" t="str">
        <f>VLOOKUP(AE326,t_objeto!B:C,2,FALSE)</f>
        <v>RAW_MATERIAL</v>
      </c>
      <c r="AG326" s="1">
        <v>8</v>
      </c>
      <c r="AH326" s="1" t="str">
        <f>VLOOKUP(AG326,t_entry_status!A:AE,2,FALSE)</f>
        <v>PENDING</v>
      </c>
      <c r="AI326" s="7">
        <v>45560</v>
      </c>
      <c r="AJ326" s="1" t="s">
        <v>7455</v>
      </c>
      <c r="AK326" s="7">
        <v>45560</v>
      </c>
      <c r="AL326" s="1" t="s">
        <v>7455</v>
      </c>
    </row>
    <row r="327" spans="1:38" s="20" customFormat="1" x14ac:dyDescent="0.3">
      <c r="A327" s="14">
        <v>326</v>
      </c>
      <c r="B327" s="14" t="str">
        <f>_xlfn.CONCAT(AE327,"-",VLOOKUP(AE327,t_objeto!B:D,3,FALSE),"-",A327)</f>
        <v>RMAT-PERCCO-326</v>
      </c>
      <c r="C327" s="22" t="str">
        <f t="shared" si="59"/>
        <v>LAMINA_LISA__ACERO_PINTRO_4'X6'_19</v>
      </c>
      <c r="D327" s="14" t="s">
        <v>7412</v>
      </c>
      <c r="E327" s="14" t="s">
        <v>7385</v>
      </c>
      <c r="F327" s="21" t="s">
        <v>7388</v>
      </c>
      <c r="G327" s="22" t="s">
        <v>7389</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7356</v>
      </c>
      <c r="AF327" s="1" t="str">
        <f>VLOOKUP(AE327,t_objeto!B:C,2,FALSE)</f>
        <v>RAW_MATERIAL</v>
      </c>
      <c r="AG327" s="1">
        <v>8</v>
      </c>
      <c r="AH327" s="1" t="str">
        <f>VLOOKUP(AG327,t_entry_status!A:AE,2,FALSE)</f>
        <v>PENDING</v>
      </c>
      <c r="AI327" s="7">
        <v>45560</v>
      </c>
      <c r="AJ327" s="1" t="s">
        <v>7455</v>
      </c>
      <c r="AK327" s="7">
        <v>45560</v>
      </c>
      <c r="AL327" s="1" t="s">
        <v>7455</v>
      </c>
    </row>
    <row r="328" spans="1:38" s="20" customFormat="1" x14ac:dyDescent="0.3">
      <c r="A328" s="14">
        <v>327</v>
      </c>
      <c r="B328" s="14" t="str">
        <f>_xlfn.CONCAT(AE328,"-",VLOOKUP(AE328,t_objeto!B:D,3,FALSE),"-",A328)</f>
        <v>RMAT-PERCCO-327</v>
      </c>
      <c r="C328" s="22" t="str">
        <f t="shared" si="59"/>
        <v>LAMINA_LISA__ACERO_PINTRO_4'X6'_20</v>
      </c>
      <c r="D328" s="14" t="s">
        <v>7412</v>
      </c>
      <c r="E328" s="14" t="s">
        <v>7385</v>
      </c>
      <c r="F328" s="21" t="s">
        <v>7388</v>
      </c>
      <c r="G328" s="22" t="s">
        <v>7389</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7356</v>
      </c>
      <c r="AF328" s="1" t="str">
        <f>VLOOKUP(AE328,t_objeto!B:C,2,FALSE)</f>
        <v>RAW_MATERIAL</v>
      </c>
      <c r="AG328" s="1">
        <v>8</v>
      </c>
      <c r="AH328" s="1" t="str">
        <f>VLOOKUP(AG328,t_entry_status!A:AE,2,FALSE)</f>
        <v>PENDING</v>
      </c>
      <c r="AI328" s="7">
        <v>45560</v>
      </c>
      <c r="AJ328" s="1" t="s">
        <v>7455</v>
      </c>
      <c r="AK328" s="7">
        <v>45560</v>
      </c>
      <c r="AL328" s="1" t="s">
        <v>7455</v>
      </c>
    </row>
    <row r="329" spans="1:38" s="20" customFormat="1" x14ac:dyDescent="0.3">
      <c r="A329" s="14">
        <v>328</v>
      </c>
      <c r="B329" s="14" t="str">
        <f>_xlfn.CONCAT(AE329,"-",VLOOKUP(AE329,t_objeto!B:D,3,FALSE),"-",A329)</f>
        <v>RMAT-PERCCO-328</v>
      </c>
      <c r="C329" s="22" t="str">
        <f t="shared" si="59"/>
        <v>LAMINA_LISA__ACERO_PINTRO_4'X6'_21</v>
      </c>
      <c r="D329" s="14" t="s">
        <v>7412</v>
      </c>
      <c r="E329" s="14" t="s">
        <v>7385</v>
      </c>
      <c r="F329" s="21" t="s">
        <v>7388</v>
      </c>
      <c r="G329" s="22" t="s">
        <v>7389</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7356</v>
      </c>
      <c r="AF329" s="1" t="str">
        <f>VLOOKUP(AE329,t_objeto!B:C,2,FALSE)</f>
        <v>RAW_MATERIAL</v>
      </c>
      <c r="AG329" s="1">
        <v>8</v>
      </c>
      <c r="AH329" s="1" t="str">
        <f>VLOOKUP(AG329,t_entry_status!A:AE,2,FALSE)</f>
        <v>PENDING</v>
      </c>
      <c r="AI329" s="7">
        <v>45560</v>
      </c>
      <c r="AJ329" s="1" t="s">
        <v>7455</v>
      </c>
      <c r="AK329" s="7">
        <v>45560</v>
      </c>
      <c r="AL329" s="1" t="s">
        <v>7455</v>
      </c>
    </row>
    <row r="330" spans="1:38" s="20" customFormat="1" x14ac:dyDescent="0.3">
      <c r="A330" s="14">
        <v>329</v>
      </c>
      <c r="B330" s="14" t="str">
        <f>_xlfn.CONCAT(AE330,"-",VLOOKUP(AE330,t_objeto!B:D,3,FALSE),"-",A330)</f>
        <v>RMAT-PERCCO-329</v>
      </c>
      <c r="C330" s="22" t="str">
        <f t="shared" si="59"/>
        <v>LAMINA_LISA__ACERO_PINTRO_4'X6'_22</v>
      </c>
      <c r="D330" s="14" t="s">
        <v>7412</v>
      </c>
      <c r="E330" s="14" t="s">
        <v>7385</v>
      </c>
      <c r="F330" s="21" t="s">
        <v>7388</v>
      </c>
      <c r="G330" s="22" t="s">
        <v>7389</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7356</v>
      </c>
      <c r="AF330" s="1" t="str">
        <f>VLOOKUP(AE330,t_objeto!B:C,2,FALSE)</f>
        <v>RAW_MATERIAL</v>
      </c>
      <c r="AG330" s="1">
        <v>8</v>
      </c>
      <c r="AH330" s="1" t="str">
        <f>VLOOKUP(AG330,t_entry_status!A:AE,2,FALSE)</f>
        <v>PENDING</v>
      </c>
      <c r="AI330" s="7">
        <v>45560</v>
      </c>
      <c r="AJ330" s="1" t="s">
        <v>7455</v>
      </c>
      <c r="AK330" s="7">
        <v>45560</v>
      </c>
      <c r="AL330" s="1" t="s">
        <v>7455</v>
      </c>
    </row>
    <row r="331" spans="1:38" s="20" customFormat="1" x14ac:dyDescent="0.3">
      <c r="A331" s="14">
        <v>330</v>
      </c>
      <c r="B331" s="14" t="str">
        <f>_xlfn.CONCAT(AE331,"-",VLOOKUP(AE331,t_objeto!B:D,3,FALSE),"-",A331)</f>
        <v>RMAT-PERCCO-330</v>
      </c>
      <c r="C331" s="22" t="str">
        <f t="shared" si="59"/>
        <v>LAMINA_LISA__ACERO_PINTRO_4'X6'_23</v>
      </c>
      <c r="D331" s="14" t="s">
        <v>7412</v>
      </c>
      <c r="E331" s="14" t="s">
        <v>7385</v>
      </c>
      <c r="F331" s="21" t="s">
        <v>7388</v>
      </c>
      <c r="G331" s="22" t="s">
        <v>7389</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7356</v>
      </c>
      <c r="AF331" s="1" t="str">
        <f>VLOOKUP(AE331,t_objeto!B:C,2,FALSE)</f>
        <v>RAW_MATERIAL</v>
      </c>
      <c r="AG331" s="1">
        <v>8</v>
      </c>
      <c r="AH331" s="1" t="str">
        <f>VLOOKUP(AG331,t_entry_status!A:AE,2,FALSE)</f>
        <v>PENDING</v>
      </c>
      <c r="AI331" s="7">
        <v>45560</v>
      </c>
      <c r="AJ331" s="1" t="s">
        <v>7455</v>
      </c>
      <c r="AK331" s="7">
        <v>45560</v>
      </c>
      <c r="AL331" s="1" t="s">
        <v>7455</v>
      </c>
    </row>
    <row r="332" spans="1:38" s="20" customFormat="1" x14ac:dyDescent="0.3">
      <c r="A332" s="14">
        <v>331</v>
      </c>
      <c r="B332" s="14" t="str">
        <f>_xlfn.CONCAT(AE332,"-",VLOOKUP(AE332,t_objeto!B:D,3,FALSE),"-",A332)</f>
        <v>RMAT-PERCCO-331</v>
      </c>
      <c r="C332" s="22" t="str">
        <f t="shared" si="59"/>
        <v>LAMINA_LISA__ACERO_PINTRO_4'X6'_24</v>
      </c>
      <c r="D332" s="14" t="s">
        <v>7412</v>
      </c>
      <c r="E332" s="14" t="s">
        <v>7385</v>
      </c>
      <c r="F332" s="21" t="s">
        <v>7388</v>
      </c>
      <c r="G332" s="22" t="s">
        <v>7389</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7356</v>
      </c>
      <c r="AF332" s="1" t="str">
        <f>VLOOKUP(AE332,t_objeto!B:C,2,FALSE)</f>
        <v>RAW_MATERIAL</v>
      </c>
      <c r="AG332" s="1">
        <v>8</v>
      </c>
      <c r="AH332" s="1" t="str">
        <f>VLOOKUP(AG332,t_entry_status!A:AE,2,FALSE)</f>
        <v>PENDING</v>
      </c>
      <c r="AI332" s="7">
        <v>45560</v>
      </c>
      <c r="AJ332" s="1" t="s">
        <v>7455</v>
      </c>
      <c r="AK332" s="7">
        <v>45560</v>
      </c>
      <c r="AL332" s="1" t="s">
        <v>7455</v>
      </c>
    </row>
    <row r="333" spans="1:38" s="20" customFormat="1" x14ac:dyDescent="0.3">
      <c r="A333" s="14">
        <v>332</v>
      </c>
      <c r="B333" s="14" t="str">
        <f>_xlfn.CONCAT(AE333,"-",VLOOKUP(AE333,t_objeto!B:D,3,FALSE),"-",A333)</f>
        <v>RMAT-PERCCO-332</v>
      </c>
      <c r="C333" s="22" t="str">
        <f t="shared" si="59"/>
        <v>LAMINA_LISA__ACERO_PINTRO_4'X6'_25</v>
      </c>
      <c r="D333" s="14" t="s">
        <v>7412</v>
      </c>
      <c r="E333" s="14" t="s">
        <v>7385</v>
      </c>
      <c r="F333" s="21" t="s">
        <v>7388</v>
      </c>
      <c r="G333" s="22" t="s">
        <v>7389</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7356</v>
      </c>
      <c r="AF333" s="1" t="str">
        <f>VLOOKUP(AE333,t_objeto!B:C,2,FALSE)</f>
        <v>RAW_MATERIAL</v>
      </c>
      <c r="AG333" s="1">
        <v>8</v>
      </c>
      <c r="AH333" s="1" t="str">
        <f>VLOOKUP(AG333,t_entry_status!A:AE,2,FALSE)</f>
        <v>PENDING</v>
      </c>
      <c r="AI333" s="7">
        <v>45560</v>
      </c>
      <c r="AJ333" s="1" t="s">
        <v>7455</v>
      </c>
      <c r="AK333" s="7">
        <v>45560</v>
      </c>
      <c r="AL333" s="1" t="s">
        <v>7455</v>
      </c>
    </row>
    <row r="334" spans="1:38" s="20" customFormat="1" x14ac:dyDescent="0.3">
      <c r="A334" s="14">
        <v>333</v>
      </c>
      <c r="B334" s="14" t="str">
        <f>_xlfn.CONCAT(AE334,"-",VLOOKUP(AE334,t_objeto!B:D,3,FALSE),"-",A334)</f>
        <v>RMAT-PERCCO-333</v>
      </c>
      <c r="C334" s="22" t="str">
        <f t="shared" si="59"/>
        <v>LAMINA_LISA__ACERO_PINTRO_4'X6'_26</v>
      </c>
      <c r="D334" s="14" t="s">
        <v>7412</v>
      </c>
      <c r="E334" s="14" t="s">
        <v>7385</v>
      </c>
      <c r="F334" s="21" t="s">
        <v>7388</v>
      </c>
      <c r="G334" s="22" t="s">
        <v>7389</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7356</v>
      </c>
      <c r="AF334" s="1" t="str">
        <f>VLOOKUP(AE334,t_objeto!B:C,2,FALSE)</f>
        <v>RAW_MATERIAL</v>
      </c>
      <c r="AG334" s="1">
        <v>8</v>
      </c>
      <c r="AH334" s="1" t="str">
        <f>VLOOKUP(AG334,t_entry_status!A:AE,2,FALSE)</f>
        <v>PENDING</v>
      </c>
      <c r="AI334" s="7">
        <v>45560</v>
      </c>
      <c r="AJ334" s="1" t="s">
        <v>7455</v>
      </c>
      <c r="AK334" s="7">
        <v>45560</v>
      </c>
      <c r="AL334" s="1" t="s">
        <v>7455</v>
      </c>
    </row>
    <row r="335" spans="1:38" s="20" customFormat="1" x14ac:dyDescent="0.3">
      <c r="A335" s="14">
        <v>334</v>
      </c>
      <c r="B335" s="14" t="str">
        <f>_xlfn.CONCAT(AE335,"-",VLOOKUP(AE335,t_objeto!B:D,3,FALSE),"-",A335)</f>
        <v>RMAT-PERCCO-334</v>
      </c>
      <c r="C335" s="22" t="str">
        <f t="shared" si="59"/>
        <v>LAMINA_LISA__ACERO_PINTRO_4'X6'_27</v>
      </c>
      <c r="D335" s="14" t="s">
        <v>7412</v>
      </c>
      <c r="E335" s="14" t="s">
        <v>7385</v>
      </c>
      <c r="F335" s="21" t="s">
        <v>7388</v>
      </c>
      <c r="G335" s="22" t="s">
        <v>7389</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7356</v>
      </c>
      <c r="AF335" s="1" t="str">
        <f>VLOOKUP(AE335,t_objeto!B:C,2,FALSE)</f>
        <v>RAW_MATERIAL</v>
      </c>
      <c r="AG335" s="1">
        <v>8</v>
      </c>
      <c r="AH335" s="1" t="str">
        <f>VLOOKUP(AG335,t_entry_status!A:AE,2,FALSE)</f>
        <v>PENDING</v>
      </c>
      <c r="AI335" s="7">
        <v>45560</v>
      </c>
      <c r="AJ335" s="1" t="s">
        <v>7455</v>
      </c>
      <c r="AK335" s="7">
        <v>45560</v>
      </c>
      <c r="AL335" s="1" t="s">
        <v>7455</v>
      </c>
    </row>
    <row r="336" spans="1:38" s="20" customFormat="1" x14ac:dyDescent="0.3">
      <c r="A336" s="14">
        <v>335</v>
      </c>
      <c r="B336" s="14" t="str">
        <f>_xlfn.CONCAT(AE336,"-",VLOOKUP(AE336,t_objeto!B:D,3,FALSE),"-",A336)</f>
        <v>RMAT-PERCCO-335</v>
      </c>
      <c r="C336" s="22" t="str">
        <f t="shared" si="59"/>
        <v>LAMINA_LISA__ACERO_PINTRO_4'X6'_28</v>
      </c>
      <c r="D336" s="14" t="s">
        <v>7412</v>
      </c>
      <c r="E336" s="14" t="s">
        <v>7385</v>
      </c>
      <c r="F336" s="21" t="s">
        <v>7388</v>
      </c>
      <c r="G336" s="22" t="s">
        <v>7389</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7356</v>
      </c>
      <c r="AF336" s="1" t="str">
        <f>VLOOKUP(AE336,t_objeto!B:C,2,FALSE)</f>
        <v>RAW_MATERIAL</v>
      </c>
      <c r="AG336" s="1">
        <v>8</v>
      </c>
      <c r="AH336" s="1" t="str">
        <f>VLOOKUP(AG336,t_entry_status!A:AE,2,FALSE)</f>
        <v>PENDING</v>
      </c>
      <c r="AI336" s="7">
        <v>45560</v>
      </c>
      <c r="AJ336" s="1" t="s">
        <v>7455</v>
      </c>
      <c r="AK336" s="7">
        <v>45560</v>
      </c>
      <c r="AL336" s="1" t="s">
        <v>7455</v>
      </c>
    </row>
    <row r="337" spans="1:38" s="20" customFormat="1" x14ac:dyDescent="0.3">
      <c r="A337" s="14">
        <v>336</v>
      </c>
      <c r="B337" s="14" t="str">
        <f>_xlfn.CONCAT(AE337,"-",VLOOKUP(AE337,t_objeto!B:D,3,FALSE),"-",A337)</f>
        <v>RMAT-PERCCO-336</v>
      </c>
      <c r="C337" s="22" t="str">
        <f t="shared" si="59"/>
        <v>LAMINA_LISA__ACERO_PINTRO_4'X6'_29</v>
      </c>
      <c r="D337" s="14" t="s">
        <v>7412</v>
      </c>
      <c r="E337" s="14" t="s">
        <v>7385</v>
      </c>
      <c r="F337" s="21" t="s">
        <v>7388</v>
      </c>
      <c r="G337" s="22" t="s">
        <v>7389</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7356</v>
      </c>
      <c r="AF337" s="1" t="str">
        <f>VLOOKUP(AE337,t_objeto!B:C,2,FALSE)</f>
        <v>RAW_MATERIAL</v>
      </c>
      <c r="AG337" s="1">
        <v>8</v>
      </c>
      <c r="AH337" s="1" t="str">
        <f>VLOOKUP(AG337,t_entry_status!A:AE,2,FALSE)</f>
        <v>PENDING</v>
      </c>
      <c r="AI337" s="7">
        <v>45560</v>
      </c>
      <c r="AJ337" s="1" t="s">
        <v>7455</v>
      </c>
      <c r="AK337" s="7">
        <v>45560</v>
      </c>
      <c r="AL337" s="1" t="s">
        <v>7455</v>
      </c>
    </row>
    <row r="338" spans="1:38" s="20" customFormat="1" x14ac:dyDescent="0.3">
      <c r="A338" s="14">
        <v>337</v>
      </c>
      <c r="B338" s="14" t="str">
        <f>_xlfn.CONCAT(AE338,"-",VLOOKUP(AE338,t_objeto!B:D,3,FALSE),"-",A338)</f>
        <v>RMAT-PERCCO-337</v>
      </c>
      <c r="C338" s="22" t="str">
        <f t="shared" si="59"/>
        <v>LAMINA_LISA__ACERO_PINTRO_4'X6'_30</v>
      </c>
      <c r="D338" s="14" t="s">
        <v>7412</v>
      </c>
      <c r="E338" s="14" t="s">
        <v>7385</v>
      </c>
      <c r="F338" s="21" t="s">
        <v>7388</v>
      </c>
      <c r="G338" s="22" t="s">
        <v>7389</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7356</v>
      </c>
      <c r="AF338" s="1" t="str">
        <f>VLOOKUP(AE338,t_objeto!B:C,2,FALSE)</f>
        <v>RAW_MATERIAL</v>
      </c>
      <c r="AG338" s="1">
        <v>8</v>
      </c>
      <c r="AH338" s="1" t="str">
        <f>VLOOKUP(AG338,t_entry_status!A:AE,2,FALSE)</f>
        <v>PENDING</v>
      </c>
      <c r="AI338" s="7">
        <v>45560</v>
      </c>
      <c r="AJ338" s="1" t="s">
        <v>7455</v>
      </c>
      <c r="AK338" s="7">
        <v>45560</v>
      </c>
      <c r="AL338" s="1" t="s">
        <v>7455</v>
      </c>
    </row>
    <row r="339" spans="1:38" s="20" customFormat="1" x14ac:dyDescent="0.3">
      <c r="A339" s="14">
        <v>338</v>
      </c>
      <c r="B339" s="14" t="str">
        <f>_xlfn.CONCAT(AE339,"-",VLOOKUP(AE339,t_objeto!B:D,3,FALSE),"-",A339)</f>
        <v>RMAT-PERCCO-338</v>
      </c>
      <c r="C339" s="22" t="str">
        <f t="shared" si="59"/>
        <v>LAMINA_LISA__ACERO_PINTRO_4'X8'_12</v>
      </c>
      <c r="D339" s="14" t="s">
        <v>7412</v>
      </c>
      <c r="E339" s="14" t="s">
        <v>7385</v>
      </c>
      <c r="F339" s="21" t="s">
        <v>7388</v>
      </c>
      <c r="G339" s="22" t="s">
        <v>7387</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7356</v>
      </c>
      <c r="AF339" s="1" t="str">
        <f>VLOOKUP(AE339,t_objeto!B:C,2,FALSE)</f>
        <v>RAW_MATERIAL</v>
      </c>
      <c r="AG339" s="1">
        <v>8</v>
      </c>
      <c r="AH339" s="1" t="str">
        <f>VLOOKUP(AG339,t_entry_status!A:AE,2,FALSE)</f>
        <v>PENDING</v>
      </c>
      <c r="AI339" s="7">
        <v>45560</v>
      </c>
      <c r="AJ339" s="1" t="s">
        <v>7455</v>
      </c>
      <c r="AK339" s="7">
        <v>45560</v>
      </c>
      <c r="AL339" s="1" t="s">
        <v>7455</v>
      </c>
    </row>
    <row r="340" spans="1:38" s="20" customFormat="1" x14ac:dyDescent="0.3">
      <c r="A340" s="14">
        <v>339</v>
      </c>
      <c r="B340" s="14" t="str">
        <f>_xlfn.CONCAT(AE340,"-",VLOOKUP(AE340,t_objeto!B:D,3,FALSE),"-",A340)</f>
        <v>RMAT-PERCCO-339</v>
      </c>
      <c r="C340" s="22" t="str">
        <f t="shared" si="59"/>
        <v>LAMINA_LISA__ACERO_PINTRO_4'X8'_13</v>
      </c>
      <c r="D340" s="14" t="s">
        <v>7412</v>
      </c>
      <c r="E340" s="14" t="s">
        <v>7385</v>
      </c>
      <c r="F340" s="21" t="s">
        <v>7388</v>
      </c>
      <c r="G340" s="22" t="s">
        <v>7387</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7356</v>
      </c>
      <c r="AF340" s="1" t="str">
        <f>VLOOKUP(AE340,t_objeto!B:C,2,FALSE)</f>
        <v>RAW_MATERIAL</v>
      </c>
      <c r="AG340" s="1">
        <v>8</v>
      </c>
      <c r="AH340" s="1" t="str">
        <f>VLOOKUP(AG340,t_entry_status!A:AE,2,FALSE)</f>
        <v>PENDING</v>
      </c>
      <c r="AI340" s="7">
        <v>45560</v>
      </c>
      <c r="AJ340" s="1" t="s">
        <v>7455</v>
      </c>
      <c r="AK340" s="7">
        <v>45560</v>
      </c>
      <c r="AL340" s="1" t="s">
        <v>7455</v>
      </c>
    </row>
    <row r="341" spans="1:38" s="20" customFormat="1" ht="18" x14ac:dyDescent="0.35">
      <c r="A341" s="14">
        <v>340</v>
      </c>
      <c r="B341" s="14" t="str">
        <f>_xlfn.CONCAT(AE341,"-",VLOOKUP(AE341,t_objeto!B:D,3,FALSE),"-",A341)</f>
        <v>RMAT-PERCCO-340</v>
      </c>
      <c r="C341" s="22" t="str">
        <f t="shared" si="59"/>
        <v>LAMINA_LISA__ACERO_PINTRO_4'X8'_14</v>
      </c>
      <c r="D341" s="14" t="s">
        <v>7412</v>
      </c>
      <c r="E341" s="14" t="s">
        <v>7385</v>
      </c>
      <c r="F341" s="21" t="s">
        <v>7388</v>
      </c>
      <c r="G341" s="22" t="s">
        <v>7387</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7356</v>
      </c>
      <c r="AF341" s="1" t="str">
        <f>VLOOKUP(AE341,t_objeto!B:C,2,FALSE)</f>
        <v>RAW_MATERIAL</v>
      </c>
      <c r="AG341" s="1">
        <v>8</v>
      </c>
      <c r="AH341" s="1" t="str">
        <f>VLOOKUP(AG341,t_entry_status!A:AE,2,FALSE)</f>
        <v>PENDING</v>
      </c>
      <c r="AI341" s="7">
        <v>45560</v>
      </c>
      <c r="AJ341" s="1" t="s">
        <v>7455</v>
      </c>
      <c r="AK341" s="7">
        <v>45560</v>
      </c>
      <c r="AL341" s="1" t="s">
        <v>7455</v>
      </c>
    </row>
    <row r="342" spans="1:38" s="20" customFormat="1" x14ac:dyDescent="0.3">
      <c r="A342" s="14">
        <v>341</v>
      </c>
      <c r="B342" s="14" t="str">
        <f>_xlfn.CONCAT(AE342,"-",VLOOKUP(AE342,t_objeto!B:D,3,FALSE),"-",A342)</f>
        <v>RMAT-PERCCO-341</v>
      </c>
      <c r="C342" s="22" t="str">
        <f t="shared" si="59"/>
        <v>LAMINA_LISA__ACERO_PINTRO_4'X8'_15</v>
      </c>
      <c r="D342" s="14" t="s">
        <v>7412</v>
      </c>
      <c r="E342" s="14" t="s">
        <v>7385</v>
      </c>
      <c r="F342" s="21" t="s">
        <v>7388</v>
      </c>
      <c r="G342" s="22" t="s">
        <v>7387</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7356</v>
      </c>
      <c r="AF342" s="1" t="str">
        <f>VLOOKUP(AE342,t_objeto!B:C,2,FALSE)</f>
        <v>RAW_MATERIAL</v>
      </c>
      <c r="AG342" s="1">
        <v>8</v>
      </c>
      <c r="AH342" s="1" t="str">
        <f>VLOOKUP(AG342,t_entry_status!A:AE,2,FALSE)</f>
        <v>PENDING</v>
      </c>
      <c r="AI342" s="7">
        <v>45560</v>
      </c>
      <c r="AJ342" s="1" t="s">
        <v>7455</v>
      </c>
      <c r="AK342" s="7">
        <v>45560</v>
      </c>
      <c r="AL342" s="1" t="s">
        <v>7455</v>
      </c>
    </row>
    <row r="343" spans="1:38" s="20" customFormat="1" x14ac:dyDescent="0.3">
      <c r="A343" s="14">
        <v>342</v>
      </c>
      <c r="B343" s="14" t="str">
        <f>_xlfn.CONCAT(AE343,"-",VLOOKUP(AE343,t_objeto!B:D,3,FALSE),"-",A343)</f>
        <v>RMAT-PERCCO-342</v>
      </c>
      <c r="C343" s="22" t="str">
        <f t="shared" si="59"/>
        <v>LAMINA_LISA__ACERO_PINTRO_4'X8'_16</v>
      </c>
      <c r="D343" s="14" t="s">
        <v>7412</v>
      </c>
      <c r="E343" s="14" t="s">
        <v>7385</v>
      </c>
      <c r="F343" s="21" t="s">
        <v>7388</v>
      </c>
      <c r="G343" s="22" t="s">
        <v>7387</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7356</v>
      </c>
      <c r="AF343" s="1" t="str">
        <f>VLOOKUP(AE343,t_objeto!B:C,2,FALSE)</f>
        <v>RAW_MATERIAL</v>
      </c>
      <c r="AG343" s="1">
        <v>8</v>
      </c>
      <c r="AH343" s="1" t="str">
        <f>VLOOKUP(AG343,t_entry_status!A:AE,2,FALSE)</f>
        <v>PENDING</v>
      </c>
      <c r="AI343" s="7">
        <v>45560</v>
      </c>
      <c r="AJ343" s="1" t="s">
        <v>7455</v>
      </c>
      <c r="AK343" s="7">
        <v>45560</v>
      </c>
      <c r="AL343" s="1" t="s">
        <v>7455</v>
      </c>
    </row>
    <row r="344" spans="1:38" s="20" customFormat="1" x14ac:dyDescent="0.3">
      <c r="A344" s="14">
        <v>343</v>
      </c>
      <c r="B344" s="14" t="str">
        <f>_xlfn.CONCAT(AE344,"-",VLOOKUP(AE344,t_objeto!B:D,3,FALSE),"-",A344)</f>
        <v>RMAT-PERCCO-343</v>
      </c>
      <c r="C344" s="22" t="str">
        <f t="shared" si="59"/>
        <v>LAMINA_LISA__ACERO_PINTRO_4'X8'_17</v>
      </c>
      <c r="D344" s="14" t="s">
        <v>7412</v>
      </c>
      <c r="E344" s="14" t="s">
        <v>7385</v>
      </c>
      <c r="F344" s="21" t="s">
        <v>7388</v>
      </c>
      <c r="G344" s="22" t="s">
        <v>7387</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7356</v>
      </c>
      <c r="AF344" s="1" t="str">
        <f>VLOOKUP(AE344,t_objeto!B:C,2,FALSE)</f>
        <v>RAW_MATERIAL</v>
      </c>
      <c r="AG344" s="1">
        <v>8</v>
      </c>
      <c r="AH344" s="1" t="str">
        <f>VLOOKUP(AG344,t_entry_status!A:AE,2,FALSE)</f>
        <v>PENDING</v>
      </c>
      <c r="AI344" s="7">
        <v>45560</v>
      </c>
      <c r="AJ344" s="1" t="s">
        <v>7455</v>
      </c>
      <c r="AK344" s="7">
        <v>45560</v>
      </c>
      <c r="AL344" s="1" t="s">
        <v>7455</v>
      </c>
    </row>
    <row r="345" spans="1:38" s="20" customFormat="1" x14ac:dyDescent="0.3">
      <c r="A345" s="14">
        <v>344</v>
      </c>
      <c r="B345" s="14" t="str">
        <f>_xlfn.CONCAT(AE345,"-",VLOOKUP(AE345,t_objeto!B:D,3,FALSE),"-",A345)</f>
        <v>RMAT-PERCCO-344</v>
      </c>
      <c r="C345" s="22" t="str">
        <f t="shared" si="59"/>
        <v>LAMINA_LISA__ACERO_PINTRO_4'X8'_18</v>
      </c>
      <c r="D345" s="14" t="s">
        <v>7412</v>
      </c>
      <c r="E345" s="14" t="s">
        <v>7385</v>
      </c>
      <c r="F345" s="21" t="s">
        <v>7388</v>
      </c>
      <c r="G345" s="22" t="s">
        <v>7387</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7356</v>
      </c>
      <c r="AF345" s="1" t="str">
        <f>VLOOKUP(AE345,t_objeto!B:C,2,FALSE)</f>
        <v>RAW_MATERIAL</v>
      </c>
      <c r="AG345" s="1">
        <v>8</v>
      </c>
      <c r="AH345" s="1" t="str">
        <f>VLOOKUP(AG345,t_entry_status!A:AE,2,FALSE)</f>
        <v>PENDING</v>
      </c>
      <c r="AI345" s="7">
        <v>45560</v>
      </c>
      <c r="AJ345" s="1" t="s">
        <v>7455</v>
      </c>
      <c r="AK345" s="7">
        <v>45560</v>
      </c>
      <c r="AL345" s="1" t="s">
        <v>7455</v>
      </c>
    </row>
    <row r="346" spans="1:38" s="20" customFormat="1" x14ac:dyDescent="0.3">
      <c r="A346" s="14">
        <v>345</v>
      </c>
      <c r="B346" s="14" t="str">
        <f>_xlfn.CONCAT(AE346,"-",VLOOKUP(AE346,t_objeto!B:D,3,FALSE),"-",A346)</f>
        <v>RMAT-PERCCO-345</v>
      </c>
      <c r="C346" s="22" t="str">
        <f t="shared" si="59"/>
        <v>LAMINA_LISA__ACERO_PINTRO_4'X8'_19</v>
      </c>
      <c r="D346" s="14" t="s">
        <v>7412</v>
      </c>
      <c r="E346" s="14" t="s">
        <v>7385</v>
      </c>
      <c r="F346" s="21" t="s">
        <v>7388</v>
      </c>
      <c r="G346" s="22" t="s">
        <v>7387</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7356</v>
      </c>
      <c r="AF346" s="1" t="str">
        <f>VLOOKUP(AE346,t_objeto!B:C,2,FALSE)</f>
        <v>RAW_MATERIAL</v>
      </c>
      <c r="AG346" s="1">
        <v>8</v>
      </c>
      <c r="AH346" s="1" t="str">
        <f>VLOOKUP(AG346,t_entry_status!A:AE,2,FALSE)</f>
        <v>PENDING</v>
      </c>
      <c r="AI346" s="7">
        <v>45560</v>
      </c>
      <c r="AJ346" s="1" t="s">
        <v>7455</v>
      </c>
      <c r="AK346" s="7">
        <v>45560</v>
      </c>
      <c r="AL346" s="1" t="s">
        <v>7455</v>
      </c>
    </row>
    <row r="347" spans="1:38" s="20" customFormat="1" x14ac:dyDescent="0.3">
      <c r="A347" s="14">
        <v>346</v>
      </c>
      <c r="B347" s="14" t="str">
        <f>_xlfn.CONCAT(AE347,"-",VLOOKUP(AE347,t_objeto!B:D,3,FALSE),"-",A347)</f>
        <v>RMAT-PERCCO-346</v>
      </c>
      <c r="C347" s="22" t="str">
        <f t="shared" si="59"/>
        <v>LAMINA_LISA__ACERO_PINTRO_4'X8'_20</v>
      </c>
      <c r="D347" s="14" t="s">
        <v>7412</v>
      </c>
      <c r="E347" s="14" t="s">
        <v>7385</v>
      </c>
      <c r="F347" s="21" t="s">
        <v>7388</v>
      </c>
      <c r="G347" s="22" t="s">
        <v>7387</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7356</v>
      </c>
      <c r="AF347" s="1" t="str">
        <f>VLOOKUP(AE347,t_objeto!B:C,2,FALSE)</f>
        <v>RAW_MATERIAL</v>
      </c>
      <c r="AG347" s="1">
        <v>8</v>
      </c>
      <c r="AH347" s="1" t="str">
        <f>VLOOKUP(AG347,t_entry_status!A:AE,2,FALSE)</f>
        <v>PENDING</v>
      </c>
      <c r="AI347" s="7">
        <v>45560</v>
      </c>
      <c r="AJ347" s="1" t="s">
        <v>7455</v>
      </c>
      <c r="AK347" s="7">
        <v>45560</v>
      </c>
      <c r="AL347" s="1" t="s">
        <v>7455</v>
      </c>
    </row>
    <row r="348" spans="1:38" s="20" customFormat="1" x14ac:dyDescent="0.3">
      <c r="A348" s="14">
        <v>347</v>
      </c>
      <c r="B348" s="14" t="str">
        <f>_xlfn.CONCAT(AE348,"-",VLOOKUP(AE348,t_objeto!B:D,3,FALSE),"-",A348)</f>
        <v>RMAT-PERCCO-347</v>
      </c>
      <c r="C348" s="22" t="str">
        <f t="shared" si="59"/>
        <v>LAMINA_LISA__ACERO_PINTRO_4'X8'_21</v>
      </c>
      <c r="D348" s="14" t="s">
        <v>7412</v>
      </c>
      <c r="E348" s="14" t="s">
        <v>7385</v>
      </c>
      <c r="F348" s="21" t="s">
        <v>7388</v>
      </c>
      <c r="G348" s="22" t="s">
        <v>7387</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7356</v>
      </c>
      <c r="AF348" s="1" t="str">
        <f>VLOOKUP(AE348,t_objeto!B:C,2,FALSE)</f>
        <v>RAW_MATERIAL</v>
      </c>
      <c r="AG348" s="1">
        <v>8</v>
      </c>
      <c r="AH348" s="1" t="str">
        <f>VLOOKUP(AG348,t_entry_status!A:AE,2,FALSE)</f>
        <v>PENDING</v>
      </c>
      <c r="AI348" s="7">
        <v>45560</v>
      </c>
      <c r="AJ348" s="1" t="s">
        <v>7455</v>
      </c>
      <c r="AK348" s="7">
        <v>45560</v>
      </c>
      <c r="AL348" s="1" t="s">
        <v>7455</v>
      </c>
    </row>
    <row r="349" spans="1:38" s="20" customFormat="1" x14ac:dyDescent="0.3">
      <c r="A349" s="14">
        <v>348</v>
      </c>
      <c r="B349" s="14" t="str">
        <f>_xlfn.CONCAT(AE349,"-",VLOOKUP(AE349,t_objeto!B:D,3,FALSE),"-",A349)</f>
        <v>RMAT-PERCCO-348</v>
      </c>
      <c r="C349" s="22" t="str">
        <f t="shared" si="59"/>
        <v>LAMINA_LISA__ACERO_PINTRO_4'X8'_22</v>
      </c>
      <c r="D349" s="14" t="s">
        <v>7412</v>
      </c>
      <c r="E349" s="14" t="s">
        <v>7385</v>
      </c>
      <c r="F349" s="21" t="s">
        <v>7388</v>
      </c>
      <c r="G349" s="22" t="s">
        <v>7387</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7356</v>
      </c>
      <c r="AF349" s="1" t="str">
        <f>VLOOKUP(AE349,t_objeto!B:C,2,FALSE)</f>
        <v>RAW_MATERIAL</v>
      </c>
      <c r="AG349" s="1">
        <v>8</v>
      </c>
      <c r="AH349" s="1" t="str">
        <f>VLOOKUP(AG349,t_entry_status!A:AE,2,FALSE)</f>
        <v>PENDING</v>
      </c>
      <c r="AI349" s="7">
        <v>45560</v>
      </c>
      <c r="AJ349" s="1" t="s">
        <v>7455</v>
      </c>
      <c r="AK349" s="7">
        <v>45560</v>
      </c>
      <c r="AL349" s="1" t="s">
        <v>7455</v>
      </c>
    </row>
    <row r="350" spans="1:38" s="20" customFormat="1" x14ac:dyDescent="0.3">
      <c r="A350" s="14">
        <v>349</v>
      </c>
      <c r="B350" s="14" t="str">
        <f>_xlfn.CONCAT(AE350,"-",VLOOKUP(AE350,t_objeto!B:D,3,FALSE),"-",A350)</f>
        <v>RMAT-PERCCO-349</v>
      </c>
      <c r="C350" s="22" t="str">
        <f t="shared" si="59"/>
        <v>LAMINA_LISA__ACERO_PINTRO_4'X8'_23</v>
      </c>
      <c r="D350" s="14" t="s">
        <v>7412</v>
      </c>
      <c r="E350" s="14" t="s">
        <v>7385</v>
      </c>
      <c r="F350" s="21" t="s">
        <v>7388</v>
      </c>
      <c r="G350" s="22" t="s">
        <v>7387</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7356</v>
      </c>
      <c r="AF350" s="1" t="str">
        <f>VLOOKUP(AE350,t_objeto!B:C,2,FALSE)</f>
        <v>RAW_MATERIAL</v>
      </c>
      <c r="AG350" s="1">
        <v>8</v>
      </c>
      <c r="AH350" s="1" t="str">
        <f>VLOOKUP(AG350,t_entry_status!A:AE,2,FALSE)</f>
        <v>PENDING</v>
      </c>
      <c r="AI350" s="7">
        <v>45560</v>
      </c>
      <c r="AJ350" s="1" t="s">
        <v>7455</v>
      </c>
      <c r="AK350" s="7">
        <v>45560</v>
      </c>
      <c r="AL350" s="1" t="s">
        <v>7455</v>
      </c>
    </row>
    <row r="351" spans="1:38" s="20" customFormat="1" x14ac:dyDescent="0.3">
      <c r="A351" s="14">
        <v>350</v>
      </c>
      <c r="B351" s="14" t="str">
        <f>_xlfn.CONCAT(AE351,"-",VLOOKUP(AE351,t_objeto!B:D,3,FALSE),"-",A351)</f>
        <v>RMAT-PERCCO-350</v>
      </c>
      <c r="C351" s="22" t="str">
        <f t="shared" si="59"/>
        <v>LAMINA_LISA__ACERO_PINTRO_4'X8'_24</v>
      </c>
      <c r="D351" s="14" t="s">
        <v>7412</v>
      </c>
      <c r="E351" s="14" t="s">
        <v>7385</v>
      </c>
      <c r="F351" s="21" t="s">
        <v>7388</v>
      </c>
      <c r="G351" s="22" t="s">
        <v>7387</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7356</v>
      </c>
      <c r="AF351" s="1" t="str">
        <f>VLOOKUP(AE351,t_objeto!B:C,2,FALSE)</f>
        <v>RAW_MATERIAL</v>
      </c>
      <c r="AG351" s="1">
        <v>8</v>
      </c>
      <c r="AH351" s="1" t="str">
        <f>VLOOKUP(AG351,t_entry_status!A:AE,2,FALSE)</f>
        <v>PENDING</v>
      </c>
      <c r="AI351" s="7">
        <v>45560</v>
      </c>
      <c r="AJ351" s="1" t="s">
        <v>7455</v>
      </c>
      <c r="AK351" s="7">
        <v>45560</v>
      </c>
      <c r="AL351" s="1" t="s">
        <v>7455</v>
      </c>
    </row>
    <row r="352" spans="1:38" s="20" customFormat="1" x14ac:dyDescent="0.3">
      <c r="A352" s="14">
        <v>351</v>
      </c>
      <c r="B352" s="14" t="str">
        <f>_xlfn.CONCAT(AE352,"-",VLOOKUP(AE352,t_objeto!B:D,3,FALSE),"-",A352)</f>
        <v>RMAT-PERCCO-351</v>
      </c>
      <c r="C352" s="22" t="str">
        <f t="shared" si="59"/>
        <v>LAMINA_LISA__ACERO_PINTRO_4'X8'_25</v>
      </c>
      <c r="D352" s="14" t="s">
        <v>7412</v>
      </c>
      <c r="E352" s="14" t="s">
        <v>7385</v>
      </c>
      <c r="F352" s="21" t="s">
        <v>7388</v>
      </c>
      <c r="G352" s="22" t="s">
        <v>7387</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7356</v>
      </c>
      <c r="AF352" s="1" t="str">
        <f>VLOOKUP(AE352,t_objeto!B:C,2,FALSE)</f>
        <v>RAW_MATERIAL</v>
      </c>
      <c r="AG352" s="1">
        <v>8</v>
      </c>
      <c r="AH352" s="1" t="str">
        <f>VLOOKUP(AG352,t_entry_status!A:AE,2,FALSE)</f>
        <v>PENDING</v>
      </c>
      <c r="AI352" s="7">
        <v>45560</v>
      </c>
      <c r="AJ352" s="1" t="s">
        <v>7455</v>
      </c>
      <c r="AK352" s="7">
        <v>45560</v>
      </c>
      <c r="AL352" s="1" t="s">
        <v>7455</v>
      </c>
    </row>
    <row r="353" spans="1:38" s="20" customFormat="1" x14ac:dyDescent="0.3">
      <c r="A353" s="14">
        <v>352</v>
      </c>
      <c r="B353" s="14" t="str">
        <f>_xlfn.CONCAT(AE353,"-",VLOOKUP(AE353,t_objeto!B:D,3,FALSE),"-",A353)</f>
        <v>RMAT-PERCCO-352</v>
      </c>
      <c r="C353" s="22" t="str">
        <f t="shared" si="59"/>
        <v>LAMINA_LISA__ACERO_PINTRO_4'X8'_26</v>
      </c>
      <c r="D353" s="14" t="s">
        <v>7412</v>
      </c>
      <c r="E353" s="14" t="s">
        <v>7385</v>
      </c>
      <c r="F353" s="21" t="s">
        <v>7388</v>
      </c>
      <c r="G353" s="22" t="s">
        <v>7387</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7356</v>
      </c>
      <c r="AF353" s="1" t="str">
        <f>VLOOKUP(AE353,t_objeto!B:C,2,FALSE)</f>
        <v>RAW_MATERIAL</v>
      </c>
      <c r="AG353" s="1">
        <v>8</v>
      </c>
      <c r="AH353" s="1" t="str">
        <f>VLOOKUP(AG353,t_entry_status!A:AE,2,FALSE)</f>
        <v>PENDING</v>
      </c>
      <c r="AI353" s="7">
        <v>45560</v>
      </c>
      <c r="AJ353" s="1" t="s">
        <v>7455</v>
      </c>
      <c r="AK353" s="7">
        <v>45560</v>
      </c>
      <c r="AL353" s="1" t="s">
        <v>7455</v>
      </c>
    </row>
    <row r="354" spans="1:38" s="20" customFormat="1" x14ac:dyDescent="0.3">
      <c r="A354" s="14">
        <v>353</v>
      </c>
      <c r="B354" s="14" t="str">
        <f>_xlfn.CONCAT(AE354,"-",VLOOKUP(AE354,t_objeto!B:D,3,FALSE),"-",A354)</f>
        <v>RMAT-PERCCO-353</v>
      </c>
      <c r="C354" s="22" t="str">
        <f t="shared" si="59"/>
        <v>LAMINA_LISA__ACERO_PINTRO_4'X8'_27</v>
      </c>
      <c r="D354" s="14" t="s">
        <v>7412</v>
      </c>
      <c r="E354" s="14" t="s">
        <v>7385</v>
      </c>
      <c r="F354" s="21" t="s">
        <v>7388</v>
      </c>
      <c r="G354" s="22" t="s">
        <v>7387</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7356</v>
      </c>
      <c r="AF354" s="1" t="str">
        <f>VLOOKUP(AE354,t_objeto!B:C,2,FALSE)</f>
        <v>RAW_MATERIAL</v>
      </c>
      <c r="AG354" s="1">
        <v>8</v>
      </c>
      <c r="AH354" s="1" t="str">
        <f>VLOOKUP(AG354,t_entry_status!A:AE,2,FALSE)</f>
        <v>PENDING</v>
      </c>
      <c r="AI354" s="7">
        <v>45560</v>
      </c>
      <c r="AJ354" s="1" t="s">
        <v>7455</v>
      </c>
      <c r="AK354" s="7">
        <v>45560</v>
      </c>
      <c r="AL354" s="1" t="s">
        <v>7455</v>
      </c>
    </row>
    <row r="355" spans="1:38" s="20" customFormat="1" x14ac:dyDescent="0.3">
      <c r="A355" s="14">
        <v>354</v>
      </c>
      <c r="B355" s="14" t="str">
        <f>_xlfn.CONCAT(AE355,"-",VLOOKUP(AE355,t_objeto!B:D,3,FALSE),"-",A355)</f>
        <v>RMAT-PERCCO-354</v>
      </c>
      <c r="C355" s="22" t="str">
        <f t="shared" si="59"/>
        <v>LAMINA_LISA__ACERO_PINTRO_4'X8'_28</v>
      </c>
      <c r="D355" s="14" t="s">
        <v>7412</v>
      </c>
      <c r="E355" s="14" t="s">
        <v>7385</v>
      </c>
      <c r="F355" s="21" t="s">
        <v>7388</v>
      </c>
      <c r="G355" s="22" t="s">
        <v>7387</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7356</v>
      </c>
      <c r="AF355" s="1" t="str">
        <f>VLOOKUP(AE355,t_objeto!B:C,2,FALSE)</f>
        <v>RAW_MATERIAL</v>
      </c>
      <c r="AG355" s="1">
        <v>8</v>
      </c>
      <c r="AH355" s="1" t="str">
        <f>VLOOKUP(AG355,t_entry_status!A:AE,2,FALSE)</f>
        <v>PENDING</v>
      </c>
      <c r="AI355" s="7">
        <v>45560</v>
      </c>
      <c r="AJ355" s="1" t="s">
        <v>7455</v>
      </c>
      <c r="AK355" s="7">
        <v>45560</v>
      </c>
      <c r="AL355" s="1" t="s">
        <v>7455</v>
      </c>
    </row>
    <row r="356" spans="1:38" s="20" customFormat="1" x14ac:dyDescent="0.3">
      <c r="A356" s="14">
        <v>355</v>
      </c>
      <c r="B356" s="14" t="str">
        <f>_xlfn.CONCAT(AE356,"-",VLOOKUP(AE356,t_objeto!B:D,3,FALSE),"-",A356)</f>
        <v>RMAT-PERCCO-355</v>
      </c>
      <c r="C356" s="22" t="str">
        <f t="shared" si="59"/>
        <v>LAMINA_LISA__ACERO_PINTRO_4'X8'_29</v>
      </c>
      <c r="D356" s="14" t="s">
        <v>7412</v>
      </c>
      <c r="E356" s="14" t="s">
        <v>7385</v>
      </c>
      <c r="F356" s="21" t="s">
        <v>7388</v>
      </c>
      <c r="G356" s="22" t="s">
        <v>7387</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7356</v>
      </c>
      <c r="AF356" s="1" t="str">
        <f>VLOOKUP(AE356,t_objeto!B:C,2,FALSE)</f>
        <v>RAW_MATERIAL</v>
      </c>
      <c r="AG356" s="1">
        <v>8</v>
      </c>
      <c r="AH356" s="1" t="str">
        <f>VLOOKUP(AG356,t_entry_status!A:AE,2,FALSE)</f>
        <v>PENDING</v>
      </c>
      <c r="AI356" s="7">
        <v>45560</v>
      </c>
      <c r="AJ356" s="1" t="s">
        <v>7455</v>
      </c>
      <c r="AK356" s="7">
        <v>45560</v>
      </c>
      <c r="AL356" s="1" t="s">
        <v>7455</v>
      </c>
    </row>
    <row r="357" spans="1:38" s="20" customFormat="1" x14ac:dyDescent="0.3">
      <c r="A357" s="14">
        <v>356</v>
      </c>
      <c r="B357" s="14" t="str">
        <f>_xlfn.CONCAT(AE357,"-",VLOOKUP(AE357,t_objeto!B:D,3,FALSE),"-",A357)</f>
        <v>RMAT-PERCCO-356</v>
      </c>
      <c r="C357" s="22" t="str">
        <f t="shared" si="59"/>
        <v>LAMINA_LISA__ACERO_PINTRO_4'X8'_30</v>
      </c>
      <c r="D357" s="14" t="s">
        <v>7412</v>
      </c>
      <c r="E357" s="14" t="s">
        <v>7385</v>
      </c>
      <c r="F357" s="21" t="s">
        <v>7388</v>
      </c>
      <c r="G357" s="22" t="s">
        <v>7387</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7356</v>
      </c>
      <c r="AF357" s="1" t="str">
        <f>VLOOKUP(AE357,t_objeto!B:C,2,FALSE)</f>
        <v>RAW_MATERIAL</v>
      </c>
      <c r="AG357" s="1">
        <v>8</v>
      </c>
      <c r="AH357" s="1" t="str">
        <f>VLOOKUP(AG357,t_entry_status!A:AE,2,FALSE)</f>
        <v>PENDING</v>
      </c>
      <c r="AI357" s="7">
        <v>45560</v>
      </c>
      <c r="AJ357" s="1" t="s">
        <v>7455</v>
      </c>
      <c r="AK357" s="7">
        <v>45560</v>
      </c>
      <c r="AL357" s="1" t="s">
        <v>7455</v>
      </c>
    </row>
    <row r="358" spans="1:38" s="20" customFormat="1" x14ac:dyDescent="0.3">
      <c r="A358" s="14">
        <v>357</v>
      </c>
      <c r="B358" s="14" t="str">
        <f>_xlfn.CONCAT(AE358,"-",VLOOKUP(AE358,t_objeto!B:D,3,FALSE),"-",A358)</f>
        <v>RMAT-PERCCO-357</v>
      </c>
      <c r="C358" s="22" t="str">
        <f t="shared" si="59"/>
        <v>PLACA__ACERO_ROLADA EN CALIENTE_4'X8'_1"</v>
      </c>
      <c r="D358" s="14" t="s">
        <v>7390</v>
      </c>
      <c r="E358" s="14" t="s">
        <v>7385</v>
      </c>
      <c r="F358" s="21" t="s">
        <v>7391</v>
      </c>
      <c r="G358" s="22" t="s">
        <v>7387</v>
      </c>
      <c r="H358" s="14" t="s">
        <v>7392</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7356</v>
      </c>
      <c r="AF358" s="1" t="str">
        <f>VLOOKUP(AE358,t_objeto!B:C,2,FALSE)</f>
        <v>RAW_MATERIAL</v>
      </c>
      <c r="AG358" s="1">
        <v>8</v>
      </c>
      <c r="AH358" s="1" t="str">
        <f>VLOOKUP(AG358,t_entry_status!A:AE,2,FALSE)</f>
        <v>PENDING</v>
      </c>
      <c r="AI358" s="7">
        <v>45560</v>
      </c>
      <c r="AJ358" s="1" t="s">
        <v>7455</v>
      </c>
      <c r="AK358" s="7">
        <v>45560</v>
      </c>
      <c r="AL358" s="1" t="s">
        <v>7455</v>
      </c>
    </row>
    <row r="359" spans="1:38" s="20" customFormat="1" x14ac:dyDescent="0.3">
      <c r="A359" s="14">
        <v>358</v>
      </c>
      <c r="B359" s="14" t="str">
        <f>_xlfn.CONCAT(AE359,"-",VLOOKUP(AE359,t_objeto!B:D,3,FALSE),"-",A359)</f>
        <v>RMAT-PERCCO-358</v>
      </c>
      <c r="C359" s="22" t="str">
        <f t="shared" si="59"/>
        <v>PLACA__ACERO_ROLADA EN CALIENTE_4'X8'_7/8"</v>
      </c>
      <c r="D359" s="14" t="s">
        <v>7390</v>
      </c>
      <c r="E359" s="14" t="s">
        <v>7385</v>
      </c>
      <c r="F359" s="21" t="s">
        <v>7391</v>
      </c>
      <c r="G359" s="22" t="s">
        <v>7387</v>
      </c>
      <c r="H359" s="14" t="s">
        <v>7393</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7356</v>
      </c>
      <c r="AF359" s="1" t="str">
        <f>VLOOKUP(AE359,t_objeto!B:C,2,FALSE)</f>
        <v>RAW_MATERIAL</v>
      </c>
      <c r="AG359" s="1">
        <v>8</v>
      </c>
      <c r="AH359" s="1" t="str">
        <f>VLOOKUP(AG359,t_entry_status!A:AE,2,FALSE)</f>
        <v>PENDING</v>
      </c>
      <c r="AI359" s="7">
        <v>45560</v>
      </c>
      <c r="AJ359" s="1" t="s">
        <v>7455</v>
      </c>
      <c r="AK359" s="7">
        <v>45560</v>
      </c>
      <c r="AL359" s="1" t="s">
        <v>7455</v>
      </c>
    </row>
    <row r="360" spans="1:38" s="20" customFormat="1" x14ac:dyDescent="0.3">
      <c r="A360" s="14">
        <v>359</v>
      </c>
      <c r="B360" s="14" t="str">
        <f>_xlfn.CONCAT(AE360,"-",VLOOKUP(AE360,t_objeto!B:D,3,FALSE),"-",A360)</f>
        <v>RMAT-PERCCO-359</v>
      </c>
      <c r="C360" s="22" t="str">
        <f t="shared" si="59"/>
        <v>PLACA__ACERO_ROLADA EN CALIENTE_4'X8'_3/4"</v>
      </c>
      <c r="D360" s="14" t="s">
        <v>7390</v>
      </c>
      <c r="E360" s="14" t="s">
        <v>7385</v>
      </c>
      <c r="F360" s="21" t="s">
        <v>7391</v>
      </c>
      <c r="G360" s="22" t="s">
        <v>7387</v>
      </c>
      <c r="H360" s="14" t="s">
        <v>7394</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7356</v>
      </c>
      <c r="AF360" s="1" t="str">
        <f>VLOOKUP(AE360,t_objeto!B:C,2,FALSE)</f>
        <v>RAW_MATERIAL</v>
      </c>
      <c r="AG360" s="1">
        <v>8</v>
      </c>
      <c r="AH360" s="1" t="str">
        <f>VLOOKUP(AG360,t_entry_status!A:AE,2,FALSE)</f>
        <v>PENDING</v>
      </c>
      <c r="AI360" s="7">
        <v>45560</v>
      </c>
      <c r="AJ360" s="1" t="s">
        <v>7455</v>
      </c>
      <c r="AK360" s="7">
        <v>45560</v>
      </c>
      <c r="AL360" s="1" t="s">
        <v>7455</v>
      </c>
    </row>
    <row r="361" spans="1:38" s="20" customFormat="1" x14ac:dyDescent="0.3">
      <c r="A361" s="14">
        <v>360</v>
      </c>
      <c r="B361" s="14" t="str">
        <f>_xlfn.CONCAT(AE361,"-",VLOOKUP(AE361,t_objeto!B:D,3,FALSE),"-",A361)</f>
        <v>RMAT-PERCCO-360</v>
      </c>
      <c r="C361" s="22" t="str">
        <f t="shared" si="59"/>
        <v>PLACA__ACERO_ROLADA EN CALIENTE_4'X8'_11/16"</v>
      </c>
      <c r="D361" s="14" t="s">
        <v>7390</v>
      </c>
      <c r="E361" s="14" t="s">
        <v>7385</v>
      </c>
      <c r="F361" s="21" t="s">
        <v>7391</v>
      </c>
      <c r="G361" s="22" t="s">
        <v>7387</v>
      </c>
      <c r="H361" s="14" t="s">
        <v>7395</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7356</v>
      </c>
      <c r="AF361" s="1" t="str">
        <f>VLOOKUP(AE361,t_objeto!B:C,2,FALSE)</f>
        <v>RAW_MATERIAL</v>
      </c>
      <c r="AG361" s="1">
        <v>8</v>
      </c>
      <c r="AH361" s="1" t="str">
        <f>VLOOKUP(AG361,t_entry_status!A:AE,2,FALSE)</f>
        <v>PENDING</v>
      </c>
      <c r="AI361" s="7">
        <v>45560</v>
      </c>
      <c r="AJ361" s="1" t="s">
        <v>7455</v>
      </c>
      <c r="AK361" s="7">
        <v>45560</v>
      </c>
      <c r="AL361" s="1" t="s">
        <v>7455</v>
      </c>
    </row>
    <row r="362" spans="1:38" s="20" customFormat="1" x14ac:dyDescent="0.3">
      <c r="A362" s="14">
        <v>361</v>
      </c>
      <c r="B362" s="14" t="str">
        <f>_xlfn.CONCAT(AE362,"-",VLOOKUP(AE362,t_objeto!B:D,3,FALSE),"-",A362)</f>
        <v>RMAT-PERCCO-361</v>
      </c>
      <c r="C362" s="22" t="str">
        <f t="shared" si="59"/>
        <v>PLACA__ACERO_ROLADA EN CALIENTE_4'X8'_5/8"</v>
      </c>
      <c r="D362" s="14" t="s">
        <v>7390</v>
      </c>
      <c r="E362" s="14" t="s">
        <v>7385</v>
      </c>
      <c r="F362" s="21" t="s">
        <v>7391</v>
      </c>
      <c r="G362" s="22" t="s">
        <v>7387</v>
      </c>
      <c r="H362" s="14" t="s">
        <v>7396</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7356</v>
      </c>
      <c r="AF362" s="1" t="str">
        <f>VLOOKUP(AE362,t_objeto!B:C,2,FALSE)</f>
        <v>RAW_MATERIAL</v>
      </c>
      <c r="AG362" s="1">
        <v>8</v>
      </c>
      <c r="AH362" s="1" t="str">
        <f>VLOOKUP(AG362,t_entry_status!A:AE,2,FALSE)</f>
        <v>PENDING</v>
      </c>
      <c r="AI362" s="7">
        <v>45560</v>
      </c>
      <c r="AJ362" s="1" t="s">
        <v>7455</v>
      </c>
      <c r="AK362" s="7">
        <v>45560</v>
      </c>
      <c r="AL362" s="1" t="s">
        <v>7455</v>
      </c>
    </row>
    <row r="363" spans="1:38" s="20" customFormat="1" x14ac:dyDescent="0.3">
      <c r="A363" s="14">
        <v>362</v>
      </c>
      <c r="B363" s="14" t="str">
        <f>_xlfn.CONCAT(AE363,"-",VLOOKUP(AE363,t_objeto!B:D,3,FALSE),"-",A363)</f>
        <v>RMAT-PERCCO-362</v>
      </c>
      <c r="C363" s="22" t="str">
        <f t="shared" si="59"/>
        <v>PLACA__ACERO_ROLADA EN CALIENTE_4'X8'_9/16"</v>
      </c>
      <c r="D363" s="14" t="s">
        <v>7390</v>
      </c>
      <c r="E363" s="14" t="s">
        <v>7385</v>
      </c>
      <c r="F363" s="21" t="s">
        <v>7391</v>
      </c>
      <c r="G363" s="22" t="s">
        <v>7387</v>
      </c>
      <c r="H363" s="14" t="s">
        <v>7397</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7356</v>
      </c>
      <c r="AF363" s="1" t="str">
        <f>VLOOKUP(AE363,t_objeto!B:C,2,FALSE)</f>
        <v>RAW_MATERIAL</v>
      </c>
      <c r="AG363" s="1">
        <v>8</v>
      </c>
      <c r="AH363" s="1" t="str">
        <f>VLOOKUP(AG363,t_entry_status!A:AE,2,FALSE)</f>
        <v>PENDING</v>
      </c>
      <c r="AI363" s="7">
        <v>45560</v>
      </c>
      <c r="AJ363" s="1" t="s">
        <v>7455</v>
      </c>
      <c r="AK363" s="7">
        <v>45560</v>
      </c>
      <c r="AL363" s="1" t="s">
        <v>7455</v>
      </c>
    </row>
    <row r="364" spans="1:38" s="20" customFormat="1" x14ac:dyDescent="0.3">
      <c r="A364" s="14">
        <v>363</v>
      </c>
      <c r="B364" s="14" t="str">
        <f>_xlfn.CONCAT(AE364,"-",VLOOKUP(AE364,t_objeto!B:D,3,FALSE),"-",A364)</f>
        <v>RMAT-PERCCO-363</v>
      </c>
      <c r="C364" s="22" t="str">
        <f t="shared" si="59"/>
        <v>PLACA__ACERO_ROLADA EN CALIENTE_4'X8'_1/2"</v>
      </c>
      <c r="D364" s="14" t="s">
        <v>7390</v>
      </c>
      <c r="E364" s="14" t="s">
        <v>7385</v>
      </c>
      <c r="F364" s="21" t="s">
        <v>7391</v>
      </c>
      <c r="G364" s="22" t="s">
        <v>7387</v>
      </c>
      <c r="H364" s="14" t="s">
        <v>7398</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7356</v>
      </c>
      <c r="AF364" s="1" t="str">
        <f>VLOOKUP(AE364,t_objeto!B:C,2,FALSE)</f>
        <v>RAW_MATERIAL</v>
      </c>
      <c r="AG364" s="1">
        <v>8</v>
      </c>
      <c r="AH364" s="1" t="str">
        <f>VLOOKUP(AG364,t_entry_status!A:AE,2,FALSE)</f>
        <v>PENDING</v>
      </c>
      <c r="AI364" s="7">
        <v>45560</v>
      </c>
      <c r="AJ364" s="1" t="s">
        <v>7455</v>
      </c>
      <c r="AK364" s="7">
        <v>45560</v>
      </c>
      <c r="AL364" s="1" t="s">
        <v>7455</v>
      </c>
    </row>
    <row r="365" spans="1:38" s="20" customFormat="1" x14ac:dyDescent="0.3">
      <c r="A365" s="14">
        <v>364</v>
      </c>
      <c r="B365" s="14" t="str">
        <f>_xlfn.CONCAT(AE365,"-",VLOOKUP(AE365,t_objeto!B:D,3,FALSE),"-",A365)</f>
        <v>RMAT-PERCCO-364</v>
      </c>
      <c r="C365" s="22" t="str">
        <f t="shared" si="59"/>
        <v>PLACA__ACERO_ROLADA EN CALIENTE_4'X8'_7/16"</v>
      </c>
      <c r="D365" s="14" t="s">
        <v>7390</v>
      </c>
      <c r="E365" s="14" t="s">
        <v>7385</v>
      </c>
      <c r="F365" s="21" t="s">
        <v>7391</v>
      </c>
      <c r="G365" s="22" t="s">
        <v>7387</v>
      </c>
      <c r="H365" s="14" t="s">
        <v>7399</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7356</v>
      </c>
      <c r="AF365" s="1" t="str">
        <f>VLOOKUP(AE365,t_objeto!B:C,2,FALSE)</f>
        <v>RAW_MATERIAL</v>
      </c>
      <c r="AG365" s="1">
        <v>8</v>
      </c>
      <c r="AH365" s="1" t="str">
        <f>VLOOKUP(AG365,t_entry_status!A:AE,2,FALSE)</f>
        <v>PENDING</v>
      </c>
      <c r="AI365" s="7">
        <v>45560</v>
      </c>
      <c r="AJ365" s="1" t="s">
        <v>7455</v>
      </c>
      <c r="AK365" s="7">
        <v>45560</v>
      </c>
      <c r="AL365" s="1" t="s">
        <v>7455</v>
      </c>
    </row>
    <row r="366" spans="1:38" s="20" customFormat="1" x14ac:dyDescent="0.3">
      <c r="A366" s="14">
        <v>365</v>
      </c>
      <c r="B366" s="14" t="str">
        <f>_xlfn.CONCAT(AE366,"-",VLOOKUP(AE366,t_objeto!B:D,3,FALSE),"-",A366)</f>
        <v>RMAT-PERCCO-365</v>
      </c>
      <c r="C366" s="22" t="str">
        <f t="shared" si="59"/>
        <v>PLACA__ACERO_ROLADA EN CALIENTE_4'X8'_3/8"</v>
      </c>
      <c r="D366" s="14" t="s">
        <v>7390</v>
      </c>
      <c r="E366" s="14" t="s">
        <v>7385</v>
      </c>
      <c r="F366" s="21" t="s">
        <v>7391</v>
      </c>
      <c r="G366" s="22" t="s">
        <v>7387</v>
      </c>
      <c r="H366" s="14" t="s">
        <v>7400</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7356</v>
      </c>
      <c r="AF366" s="1" t="str">
        <f>VLOOKUP(AE366,t_objeto!B:C,2,FALSE)</f>
        <v>RAW_MATERIAL</v>
      </c>
      <c r="AG366" s="1">
        <v>8</v>
      </c>
      <c r="AH366" s="1" t="str">
        <f>VLOOKUP(AG366,t_entry_status!A:AE,2,FALSE)</f>
        <v>PENDING</v>
      </c>
      <c r="AI366" s="7">
        <v>45560</v>
      </c>
      <c r="AJ366" s="1" t="s">
        <v>7455</v>
      </c>
      <c r="AK366" s="7">
        <v>45560</v>
      </c>
      <c r="AL366" s="1" t="s">
        <v>7455</v>
      </c>
    </row>
    <row r="367" spans="1:38" s="20" customFormat="1" x14ac:dyDescent="0.3">
      <c r="A367" s="14">
        <v>366</v>
      </c>
      <c r="B367" s="14" t="str">
        <f>_xlfn.CONCAT(AE367,"-",VLOOKUP(AE367,t_objeto!B:D,3,FALSE),"-",A367)</f>
        <v>RMAT-PERCCO-366</v>
      </c>
      <c r="C367" s="22" t="str">
        <f t="shared" si="59"/>
        <v>PLACA__ACERO_ROLADA EN CALIENTE_4'X8'_5/16"</v>
      </c>
      <c r="D367" s="14" t="s">
        <v>7390</v>
      </c>
      <c r="E367" s="14" t="s">
        <v>7385</v>
      </c>
      <c r="F367" s="21" t="s">
        <v>7391</v>
      </c>
      <c r="G367" s="22" t="s">
        <v>7387</v>
      </c>
      <c r="H367" s="14" t="s">
        <v>7401</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7356</v>
      </c>
      <c r="AF367" s="1" t="str">
        <f>VLOOKUP(AE367,t_objeto!B:C,2,FALSE)</f>
        <v>RAW_MATERIAL</v>
      </c>
      <c r="AG367" s="1">
        <v>8</v>
      </c>
      <c r="AH367" s="1" t="str">
        <f>VLOOKUP(AG367,t_entry_status!A:AE,2,FALSE)</f>
        <v>PENDING</v>
      </c>
      <c r="AI367" s="7">
        <v>45560</v>
      </c>
      <c r="AJ367" s="1" t="s">
        <v>7455</v>
      </c>
      <c r="AK367" s="7">
        <v>45560</v>
      </c>
      <c r="AL367" s="1" t="s">
        <v>7455</v>
      </c>
    </row>
    <row r="368" spans="1:38" s="20" customFormat="1" x14ac:dyDescent="0.3">
      <c r="A368" s="14">
        <v>367</v>
      </c>
      <c r="B368" s="14" t="str">
        <f>_xlfn.CONCAT(AE368,"-",VLOOKUP(AE368,t_objeto!B:D,3,FALSE),"-",A368)</f>
        <v>RMAT-PERCCO-367</v>
      </c>
      <c r="C368" s="22" t="str">
        <f t="shared" si="59"/>
        <v>PLACA__ACERO_ROLADA EN CALIENTE_4'X8'_1/4"</v>
      </c>
      <c r="D368" s="14" t="s">
        <v>7390</v>
      </c>
      <c r="E368" s="14" t="s">
        <v>7385</v>
      </c>
      <c r="F368" s="21" t="s">
        <v>7391</v>
      </c>
      <c r="G368" s="22" t="s">
        <v>7387</v>
      </c>
      <c r="H368" s="14" t="s">
        <v>7402</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7356</v>
      </c>
      <c r="AF368" s="1" t="str">
        <f>VLOOKUP(AE368,t_objeto!B:C,2,FALSE)</f>
        <v>RAW_MATERIAL</v>
      </c>
      <c r="AG368" s="1">
        <v>8</v>
      </c>
      <c r="AH368" s="1" t="str">
        <f>VLOOKUP(AG368,t_entry_status!A:AE,2,FALSE)</f>
        <v>PENDING</v>
      </c>
      <c r="AI368" s="7">
        <v>45560</v>
      </c>
      <c r="AJ368" s="1" t="s">
        <v>7455</v>
      </c>
      <c r="AK368" s="7">
        <v>45560</v>
      </c>
      <c r="AL368" s="1" t="s">
        <v>7455</v>
      </c>
    </row>
    <row r="369" spans="1:38" s="20" customFormat="1" x14ac:dyDescent="0.3">
      <c r="A369" s="14">
        <v>368</v>
      </c>
      <c r="B369" s="14" t="str">
        <f>_xlfn.CONCAT(AE369,"-",VLOOKUP(AE369,t_objeto!B:D,3,FALSE),"-",A369)</f>
        <v>RMAT-PERCCO-368</v>
      </c>
      <c r="C369" s="22" t="str">
        <f t="shared" si="59"/>
        <v>PLACA__ACERO_ROLADA EN CALIENTE_4'X8'_3/16"</v>
      </c>
      <c r="D369" s="14" t="s">
        <v>7390</v>
      </c>
      <c r="E369" s="14" t="s">
        <v>7385</v>
      </c>
      <c r="F369" s="21" t="s">
        <v>7391</v>
      </c>
      <c r="G369" s="22" t="s">
        <v>7387</v>
      </c>
      <c r="H369" s="14" t="s">
        <v>7403</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7356</v>
      </c>
      <c r="AF369" s="1" t="str">
        <f>VLOOKUP(AE369,t_objeto!B:C,2,FALSE)</f>
        <v>RAW_MATERIAL</v>
      </c>
      <c r="AG369" s="1">
        <v>8</v>
      </c>
      <c r="AH369" s="1" t="str">
        <f>VLOOKUP(AG369,t_entry_status!A:AE,2,FALSE)</f>
        <v>PENDING</v>
      </c>
      <c r="AI369" s="7">
        <v>45560</v>
      </c>
      <c r="AJ369" s="1" t="s">
        <v>7455</v>
      </c>
      <c r="AK369" s="7">
        <v>45560</v>
      </c>
      <c r="AL369" s="1" t="s">
        <v>7455</v>
      </c>
    </row>
    <row r="370" spans="1:38" s="20" customFormat="1" x14ac:dyDescent="0.3">
      <c r="A370" s="14">
        <v>369</v>
      </c>
      <c r="B370" s="14" t="str">
        <f>_xlfn.CONCAT(AE370,"-",VLOOKUP(AE370,t_objeto!B:D,3,FALSE),"-",A370)</f>
        <v>RMAT-PERCCO-369</v>
      </c>
      <c r="C370" s="22" t="str">
        <f t="shared" si="59"/>
        <v>LAMINA_LISA__ACERO_ROLADA EN CALIENTE_4'X8'_4</v>
      </c>
      <c r="D370" s="14" t="s">
        <v>7412</v>
      </c>
      <c r="E370" s="14" t="s">
        <v>7385</v>
      </c>
      <c r="F370" s="21" t="s">
        <v>7391</v>
      </c>
      <c r="G370" s="22" t="s">
        <v>7387</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7356</v>
      </c>
      <c r="AF370" s="1" t="str">
        <f>VLOOKUP(AE370,t_objeto!B:C,2,FALSE)</f>
        <v>RAW_MATERIAL</v>
      </c>
      <c r="AG370" s="1">
        <v>8</v>
      </c>
      <c r="AH370" s="1" t="str">
        <f>VLOOKUP(AG370,t_entry_status!A:AE,2,FALSE)</f>
        <v>PENDING</v>
      </c>
      <c r="AI370" s="7">
        <v>45560</v>
      </c>
      <c r="AJ370" s="1" t="s">
        <v>7455</v>
      </c>
      <c r="AK370" s="7">
        <v>45560</v>
      </c>
      <c r="AL370" s="1" t="s">
        <v>7455</v>
      </c>
    </row>
    <row r="371" spans="1:38" s="20" customFormat="1" x14ac:dyDescent="0.3">
      <c r="A371" s="14">
        <v>370</v>
      </c>
      <c r="B371" s="14" t="str">
        <f>_xlfn.CONCAT(AE371,"-",VLOOKUP(AE371,t_objeto!B:D,3,FALSE),"-",A371)</f>
        <v>RMAT-PERCCO-370</v>
      </c>
      <c r="C371" s="22" t="str">
        <f t="shared" si="59"/>
        <v>LAMINA_LISA__ACERO_ROLADA EN CALIENTE_4'X8'_5</v>
      </c>
      <c r="D371" s="14" t="s">
        <v>7412</v>
      </c>
      <c r="E371" s="14" t="s">
        <v>7385</v>
      </c>
      <c r="F371" s="21" t="s">
        <v>7391</v>
      </c>
      <c r="G371" s="22" t="s">
        <v>7387</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7356</v>
      </c>
      <c r="AF371" s="1" t="str">
        <f>VLOOKUP(AE371,t_objeto!B:C,2,FALSE)</f>
        <v>RAW_MATERIAL</v>
      </c>
      <c r="AG371" s="1">
        <v>8</v>
      </c>
      <c r="AH371" s="1" t="str">
        <f>VLOOKUP(AG371,t_entry_status!A:AE,2,FALSE)</f>
        <v>PENDING</v>
      </c>
      <c r="AI371" s="7">
        <v>45560</v>
      </c>
      <c r="AJ371" s="1" t="s">
        <v>7455</v>
      </c>
      <c r="AK371" s="7">
        <v>45560</v>
      </c>
      <c r="AL371" s="1" t="s">
        <v>7455</v>
      </c>
    </row>
    <row r="372" spans="1:38" s="20" customFormat="1" x14ac:dyDescent="0.3">
      <c r="A372" s="14">
        <v>371</v>
      </c>
      <c r="B372" s="14" t="str">
        <f>_xlfn.CONCAT(AE372,"-",VLOOKUP(AE372,t_objeto!B:D,3,FALSE),"-",A372)</f>
        <v>RMAT-PERCCO-371</v>
      </c>
      <c r="C372" s="22" t="str">
        <f t="shared" si="59"/>
        <v>LAMINA_LISA__ACERO_ROLADA EN CALIENTE_4'X8'_6</v>
      </c>
      <c r="D372" s="14" t="s">
        <v>7412</v>
      </c>
      <c r="E372" s="14" t="s">
        <v>7385</v>
      </c>
      <c r="F372" s="21" t="s">
        <v>7391</v>
      </c>
      <c r="G372" s="22" t="s">
        <v>7387</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7356</v>
      </c>
      <c r="AF372" s="1" t="str">
        <f>VLOOKUP(AE372,t_objeto!B:C,2,FALSE)</f>
        <v>RAW_MATERIAL</v>
      </c>
      <c r="AG372" s="1">
        <v>8</v>
      </c>
      <c r="AH372" s="1" t="str">
        <f>VLOOKUP(AG372,t_entry_status!A:AE,2,FALSE)</f>
        <v>PENDING</v>
      </c>
      <c r="AI372" s="7">
        <v>45560</v>
      </c>
      <c r="AJ372" s="1" t="s">
        <v>7455</v>
      </c>
      <c r="AK372" s="7">
        <v>45560</v>
      </c>
      <c r="AL372" s="1" t="s">
        <v>7455</v>
      </c>
    </row>
    <row r="373" spans="1:38" s="20" customFormat="1" x14ac:dyDescent="0.3">
      <c r="A373" s="14">
        <v>372</v>
      </c>
      <c r="B373" s="14" t="str">
        <f>_xlfn.CONCAT(AE373,"-",VLOOKUP(AE373,t_objeto!B:D,3,FALSE),"-",A373)</f>
        <v>RMAT-PERCCO-372</v>
      </c>
      <c r="C373" s="22" t="str">
        <f t="shared" si="59"/>
        <v>LAMINA_LISA__ACERO_ROLADA EN CALIENTE_4'X8'_7</v>
      </c>
      <c r="D373" s="14" t="s">
        <v>7412</v>
      </c>
      <c r="E373" s="14" t="s">
        <v>7385</v>
      </c>
      <c r="F373" s="21" t="s">
        <v>7391</v>
      </c>
      <c r="G373" s="22" t="s">
        <v>7387</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7356</v>
      </c>
      <c r="AF373" s="1" t="str">
        <f>VLOOKUP(AE373,t_objeto!B:C,2,FALSE)</f>
        <v>RAW_MATERIAL</v>
      </c>
      <c r="AG373" s="1">
        <v>8</v>
      </c>
      <c r="AH373" s="1" t="str">
        <f>VLOOKUP(AG373,t_entry_status!A:AE,2,FALSE)</f>
        <v>PENDING</v>
      </c>
      <c r="AI373" s="7">
        <v>45560</v>
      </c>
      <c r="AJ373" s="1" t="s">
        <v>7455</v>
      </c>
      <c r="AK373" s="7">
        <v>45560</v>
      </c>
      <c r="AL373" s="1" t="s">
        <v>7455</v>
      </c>
    </row>
    <row r="374" spans="1:38" s="20" customFormat="1" x14ac:dyDescent="0.3">
      <c r="A374" s="14">
        <v>373</v>
      </c>
      <c r="B374" s="14" t="str">
        <f>_xlfn.CONCAT(AE374,"-",VLOOKUP(AE374,t_objeto!B:D,3,FALSE),"-",A374)</f>
        <v>RMAT-PERCCO-373</v>
      </c>
      <c r="C374" s="22" t="str">
        <f t="shared" si="59"/>
        <v>LAMINA_LISA__ACERO_ROLADA EN CALIENTE_4'X8'_8</v>
      </c>
      <c r="D374" s="14" t="s">
        <v>7412</v>
      </c>
      <c r="E374" s="14" t="s">
        <v>7385</v>
      </c>
      <c r="F374" s="21" t="s">
        <v>7391</v>
      </c>
      <c r="G374" s="22" t="s">
        <v>7387</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7356</v>
      </c>
      <c r="AF374" s="1" t="str">
        <f>VLOOKUP(AE374,t_objeto!B:C,2,FALSE)</f>
        <v>RAW_MATERIAL</v>
      </c>
      <c r="AG374" s="1">
        <v>8</v>
      </c>
      <c r="AH374" s="1" t="str">
        <f>VLOOKUP(AG374,t_entry_status!A:AE,2,FALSE)</f>
        <v>PENDING</v>
      </c>
      <c r="AI374" s="7">
        <v>45560</v>
      </c>
      <c r="AJ374" s="1" t="s">
        <v>7455</v>
      </c>
      <c r="AK374" s="7">
        <v>45560</v>
      </c>
      <c r="AL374" s="1" t="s">
        <v>7455</v>
      </c>
    </row>
    <row r="375" spans="1:38" s="20" customFormat="1" x14ac:dyDescent="0.3">
      <c r="A375" s="14">
        <v>374</v>
      </c>
      <c r="B375" s="14" t="str">
        <f>_xlfn.CONCAT(AE375,"-",VLOOKUP(AE375,t_objeto!B:D,3,FALSE),"-",A375)</f>
        <v>RMAT-PERCCO-374</v>
      </c>
      <c r="C375" s="22" t="str">
        <f t="shared" si="59"/>
        <v>LAMINA_LISA__ACERO_ROLADA EN CALIENTE_4'X8'_9</v>
      </c>
      <c r="D375" s="14" t="s">
        <v>7412</v>
      </c>
      <c r="E375" s="14" t="s">
        <v>7385</v>
      </c>
      <c r="F375" s="21" t="s">
        <v>7391</v>
      </c>
      <c r="G375" s="22" t="s">
        <v>7387</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7356</v>
      </c>
      <c r="AF375" s="1" t="str">
        <f>VLOOKUP(AE375,t_objeto!B:C,2,FALSE)</f>
        <v>RAW_MATERIAL</v>
      </c>
      <c r="AG375" s="1">
        <v>8</v>
      </c>
      <c r="AH375" s="1" t="str">
        <f>VLOOKUP(AG375,t_entry_status!A:AE,2,FALSE)</f>
        <v>PENDING</v>
      </c>
      <c r="AI375" s="7">
        <v>45560</v>
      </c>
      <c r="AJ375" s="1" t="s">
        <v>7455</v>
      </c>
      <c r="AK375" s="7">
        <v>45560</v>
      </c>
      <c r="AL375" s="1" t="s">
        <v>7455</v>
      </c>
    </row>
    <row r="376" spans="1:38" s="20" customFormat="1" x14ac:dyDescent="0.3">
      <c r="A376" s="14">
        <v>375</v>
      </c>
      <c r="B376" s="14" t="str">
        <f>_xlfn.CONCAT(AE376,"-",VLOOKUP(AE376,t_objeto!B:D,3,FALSE),"-",A376)</f>
        <v>RMAT-PERCCO-375</v>
      </c>
      <c r="C376" s="22" t="str">
        <f t="shared" si="59"/>
        <v>LAMINA_LISA__ACERO_ROLADA EN CALIENTE_4'X8'_10</v>
      </c>
      <c r="D376" s="14" t="s">
        <v>7412</v>
      </c>
      <c r="E376" s="14" t="s">
        <v>7385</v>
      </c>
      <c r="F376" s="21" t="s">
        <v>7391</v>
      </c>
      <c r="G376" s="22" t="s">
        <v>7387</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7356</v>
      </c>
      <c r="AF376" s="1" t="str">
        <f>VLOOKUP(AE376,t_objeto!B:C,2,FALSE)</f>
        <v>RAW_MATERIAL</v>
      </c>
      <c r="AG376" s="1">
        <v>8</v>
      </c>
      <c r="AH376" s="1" t="str">
        <f>VLOOKUP(AG376,t_entry_status!A:AE,2,FALSE)</f>
        <v>PENDING</v>
      </c>
      <c r="AI376" s="7">
        <v>45560</v>
      </c>
      <c r="AJ376" s="1" t="s">
        <v>7455</v>
      </c>
      <c r="AK376" s="7">
        <v>45560</v>
      </c>
      <c r="AL376" s="1" t="s">
        <v>7455</v>
      </c>
    </row>
    <row r="377" spans="1:38" s="20" customFormat="1" x14ac:dyDescent="0.3">
      <c r="A377" s="14">
        <v>376</v>
      </c>
      <c r="B377" s="14" t="str">
        <f>_xlfn.CONCAT(AE377,"-",VLOOKUP(AE377,t_objeto!B:D,3,FALSE),"-",A377)</f>
        <v>RMAT-PERCCO-376</v>
      </c>
      <c r="C377" s="22" t="str">
        <f t="shared" si="59"/>
        <v>LAMINA_LISA__ACERO_ROLADA EN CALIENTE_4'X8'_1/8"</v>
      </c>
      <c r="D377" s="14" t="s">
        <v>7412</v>
      </c>
      <c r="E377" s="14" t="s">
        <v>7385</v>
      </c>
      <c r="F377" s="21" t="s">
        <v>7391</v>
      </c>
      <c r="G377" s="22" t="s">
        <v>7387</v>
      </c>
      <c r="H377" s="14" t="s">
        <v>7404</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7356</v>
      </c>
      <c r="AF377" s="1" t="str">
        <f>VLOOKUP(AE377,t_objeto!B:C,2,FALSE)</f>
        <v>RAW_MATERIAL</v>
      </c>
      <c r="AG377" s="1">
        <v>8</v>
      </c>
      <c r="AH377" s="1" t="str">
        <f>VLOOKUP(AG377,t_entry_status!A:AE,2,FALSE)</f>
        <v>PENDING</v>
      </c>
      <c r="AI377" s="7">
        <v>45560</v>
      </c>
      <c r="AJ377" s="1" t="s">
        <v>7455</v>
      </c>
      <c r="AK377" s="7">
        <v>45560</v>
      </c>
      <c r="AL377" s="1" t="s">
        <v>7455</v>
      </c>
    </row>
    <row r="378" spans="1:38" s="20" customFormat="1" x14ac:dyDescent="0.3">
      <c r="A378" s="14">
        <v>377</v>
      </c>
      <c r="B378" s="14" t="str">
        <f>_xlfn.CONCAT(AE378,"-",VLOOKUP(AE378,t_objeto!B:D,3,FALSE),"-",A378)</f>
        <v>RMAT-PERCCO-377</v>
      </c>
      <c r="C378" s="22" t="str">
        <f t="shared" si="59"/>
        <v>LAMINA_LISA__ACERO_ROLADA EN CALIENTE_4'X8'_11</v>
      </c>
      <c r="D378" s="14" t="s">
        <v>7412</v>
      </c>
      <c r="E378" s="14" t="s">
        <v>7385</v>
      </c>
      <c r="F378" s="21" t="s">
        <v>7391</v>
      </c>
      <c r="G378" s="22" t="s">
        <v>7387</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7356</v>
      </c>
      <c r="AF378" s="1" t="str">
        <f>VLOOKUP(AE378,t_objeto!B:C,2,FALSE)</f>
        <v>RAW_MATERIAL</v>
      </c>
      <c r="AG378" s="1">
        <v>8</v>
      </c>
      <c r="AH378" s="1" t="str">
        <f>VLOOKUP(AG378,t_entry_status!A:AE,2,FALSE)</f>
        <v>PENDING</v>
      </c>
      <c r="AI378" s="7">
        <v>45560</v>
      </c>
      <c r="AJ378" s="1" t="s">
        <v>7455</v>
      </c>
      <c r="AK378" s="7">
        <v>45560</v>
      </c>
      <c r="AL378" s="1" t="s">
        <v>7455</v>
      </c>
    </row>
    <row r="379" spans="1:38" s="20" customFormat="1" x14ac:dyDescent="0.3">
      <c r="A379" s="14">
        <v>378</v>
      </c>
      <c r="B379" s="14" t="str">
        <f>_xlfn.CONCAT(AE379,"-",VLOOKUP(AE379,t_objeto!B:D,3,FALSE),"-",A379)</f>
        <v>RMAT-PERCCO-378</v>
      </c>
      <c r="C379" s="22" t="str">
        <f t="shared" si="59"/>
        <v>LAMINA_LISA__ACERO_ROLADA EN CALIENTE_4'X8'_12</v>
      </c>
      <c r="D379" s="14" t="s">
        <v>7412</v>
      </c>
      <c r="E379" s="14" t="s">
        <v>7385</v>
      </c>
      <c r="F379" s="21" t="s">
        <v>7391</v>
      </c>
      <c r="G379" s="22" t="s">
        <v>7387</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7356</v>
      </c>
      <c r="AF379" s="1" t="str">
        <f>VLOOKUP(AE379,t_objeto!B:C,2,FALSE)</f>
        <v>RAW_MATERIAL</v>
      </c>
      <c r="AG379" s="1">
        <v>8</v>
      </c>
      <c r="AH379" s="1" t="str">
        <f>VLOOKUP(AG379,t_entry_status!A:AE,2,FALSE)</f>
        <v>PENDING</v>
      </c>
      <c r="AI379" s="7">
        <v>45560</v>
      </c>
      <c r="AJ379" s="1" t="s">
        <v>7455</v>
      </c>
      <c r="AK379" s="7">
        <v>45560</v>
      </c>
      <c r="AL379" s="1" t="s">
        <v>7455</v>
      </c>
    </row>
    <row r="380" spans="1:38" s="20" customFormat="1" x14ac:dyDescent="0.3">
      <c r="A380" s="14">
        <v>379</v>
      </c>
      <c r="B380" s="14" t="str">
        <f>_xlfn.CONCAT(AE380,"-",VLOOKUP(AE380,t_objeto!B:D,3,FALSE),"-",A380)</f>
        <v>RMAT-PERCCO-379</v>
      </c>
      <c r="C380" s="22" t="str">
        <f t="shared" si="59"/>
        <v>LAMINA_LISA__ACERO_ROLADA EN CALIENTE_4'X8'_13</v>
      </c>
      <c r="D380" s="14" t="s">
        <v>7412</v>
      </c>
      <c r="E380" s="14" t="s">
        <v>7385</v>
      </c>
      <c r="F380" s="21" t="s">
        <v>7391</v>
      </c>
      <c r="G380" s="22" t="s">
        <v>7387</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7356</v>
      </c>
      <c r="AF380" s="1" t="str">
        <f>VLOOKUP(AE380,t_objeto!B:C,2,FALSE)</f>
        <v>RAW_MATERIAL</v>
      </c>
      <c r="AG380" s="1">
        <v>8</v>
      </c>
      <c r="AH380" s="1" t="str">
        <f>VLOOKUP(AG380,t_entry_status!A:AE,2,FALSE)</f>
        <v>PENDING</v>
      </c>
      <c r="AI380" s="7">
        <v>45560</v>
      </c>
      <c r="AJ380" s="1" t="s">
        <v>7455</v>
      </c>
      <c r="AK380" s="7">
        <v>45560</v>
      </c>
      <c r="AL380" s="1" t="s">
        <v>7455</v>
      </c>
    </row>
    <row r="381" spans="1:38" s="20" customFormat="1" x14ac:dyDescent="0.3">
      <c r="A381" s="14">
        <v>380</v>
      </c>
      <c r="B381" s="14" t="str">
        <f>_xlfn.CONCAT(AE381,"-",VLOOKUP(AE381,t_objeto!B:D,3,FALSE),"-",A381)</f>
        <v>RMAT-PERCCO-380</v>
      </c>
      <c r="C381" s="22" t="str">
        <f t="shared" si="59"/>
        <v>LAMINA_LISA__ACERO_ROLADA EN CALIENTE_4'X8'_14</v>
      </c>
      <c r="D381" s="14" t="s">
        <v>7412</v>
      </c>
      <c r="E381" s="14" t="s">
        <v>7385</v>
      </c>
      <c r="F381" s="21" t="s">
        <v>7391</v>
      </c>
      <c r="G381" s="22" t="s">
        <v>7387</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7356</v>
      </c>
      <c r="AF381" s="1" t="str">
        <f>VLOOKUP(AE381,t_objeto!B:C,2,FALSE)</f>
        <v>RAW_MATERIAL</v>
      </c>
      <c r="AG381" s="1">
        <v>8</v>
      </c>
      <c r="AH381" s="1" t="str">
        <f>VLOOKUP(AG381,t_entry_status!A:AE,2,FALSE)</f>
        <v>PENDING</v>
      </c>
      <c r="AI381" s="7">
        <v>45560</v>
      </c>
      <c r="AJ381" s="1" t="s">
        <v>7455</v>
      </c>
      <c r="AK381" s="7">
        <v>45560</v>
      </c>
      <c r="AL381" s="1" t="s">
        <v>7455</v>
      </c>
    </row>
    <row r="382" spans="1:38" s="20" customFormat="1" x14ac:dyDescent="0.3">
      <c r="A382" s="14">
        <v>381</v>
      </c>
      <c r="B382" s="14" t="str">
        <f>_xlfn.CONCAT(AE382,"-",VLOOKUP(AE382,t_objeto!B:D,3,FALSE),"-",A382)</f>
        <v>RMAT-PERCCO-381</v>
      </c>
      <c r="C382" s="22" t="str">
        <f t="shared" si="59"/>
        <v>LAMINA_LISA__ACERO_ROLADA EN CALIENTE_4'X8'_15</v>
      </c>
      <c r="D382" s="14" t="s">
        <v>7412</v>
      </c>
      <c r="E382" s="14" t="s">
        <v>7385</v>
      </c>
      <c r="F382" s="21" t="s">
        <v>7391</v>
      </c>
      <c r="G382" s="22" t="s">
        <v>7387</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7356</v>
      </c>
      <c r="AF382" s="1" t="str">
        <f>VLOOKUP(AE382,t_objeto!B:C,2,FALSE)</f>
        <v>RAW_MATERIAL</v>
      </c>
      <c r="AG382" s="1">
        <v>8</v>
      </c>
      <c r="AH382" s="1" t="str">
        <f>VLOOKUP(AG382,t_entry_status!A:AE,2,FALSE)</f>
        <v>PENDING</v>
      </c>
      <c r="AI382" s="7">
        <v>45560</v>
      </c>
      <c r="AJ382" s="1" t="s">
        <v>7455</v>
      </c>
      <c r="AK382" s="7">
        <v>45560</v>
      </c>
      <c r="AL382" s="1" t="s">
        <v>7455</v>
      </c>
    </row>
    <row r="383" spans="1:38" s="20" customFormat="1" x14ac:dyDescent="0.3">
      <c r="A383" s="14">
        <v>382</v>
      </c>
      <c r="B383" s="14" t="str">
        <f>_xlfn.CONCAT(AE383,"-",VLOOKUP(AE383,t_objeto!B:D,3,FALSE),"-",A383)</f>
        <v>RMAT-PERCCO-382</v>
      </c>
      <c r="C383" s="22" t="str">
        <f t="shared" si="59"/>
        <v>LAMINA_LISA__ACERO_ROLADA EN CALIENTE_4'X8'_16</v>
      </c>
      <c r="D383" s="14" t="s">
        <v>7412</v>
      </c>
      <c r="E383" s="14" t="s">
        <v>7385</v>
      </c>
      <c r="F383" s="21" t="s">
        <v>7391</v>
      </c>
      <c r="G383" s="22" t="s">
        <v>7387</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7356</v>
      </c>
      <c r="AF383" s="1" t="str">
        <f>VLOOKUP(AE383,t_objeto!B:C,2,FALSE)</f>
        <v>RAW_MATERIAL</v>
      </c>
      <c r="AG383" s="1">
        <v>8</v>
      </c>
      <c r="AH383" s="1" t="str">
        <f>VLOOKUP(AG383,t_entry_status!A:AE,2,FALSE)</f>
        <v>PENDING</v>
      </c>
      <c r="AI383" s="7">
        <v>45560</v>
      </c>
      <c r="AJ383" s="1" t="s">
        <v>7455</v>
      </c>
      <c r="AK383" s="7">
        <v>45560</v>
      </c>
      <c r="AL383" s="1" t="s">
        <v>7455</v>
      </c>
    </row>
    <row r="384" spans="1:38" s="20" customFormat="1" x14ac:dyDescent="0.3">
      <c r="A384" s="14">
        <v>383</v>
      </c>
      <c r="B384" s="14" t="str">
        <f>_xlfn.CONCAT(AE384,"-",VLOOKUP(AE384,t_objeto!B:D,3,FALSE),"-",A384)</f>
        <v>RMAT-PERCCO-383</v>
      </c>
      <c r="C384" s="22" t="str">
        <f t="shared" si="59"/>
        <v>LAMINA_LISA__ACERO_ROLADA EN CALIENTE_4'X8'_17</v>
      </c>
      <c r="D384" s="14" t="s">
        <v>7412</v>
      </c>
      <c r="E384" s="14" t="s">
        <v>7385</v>
      </c>
      <c r="F384" s="21" t="s">
        <v>7391</v>
      </c>
      <c r="G384" s="22" t="s">
        <v>7387</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7356</v>
      </c>
      <c r="AF384" s="1" t="str">
        <f>VLOOKUP(AE384,t_objeto!B:C,2,FALSE)</f>
        <v>RAW_MATERIAL</v>
      </c>
      <c r="AG384" s="1">
        <v>8</v>
      </c>
      <c r="AH384" s="1" t="str">
        <f>VLOOKUP(AG384,t_entry_status!A:AE,2,FALSE)</f>
        <v>PENDING</v>
      </c>
      <c r="AI384" s="7">
        <v>45560</v>
      </c>
      <c r="AJ384" s="1" t="s">
        <v>7455</v>
      </c>
      <c r="AK384" s="7">
        <v>45560</v>
      </c>
      <c r="AL384" s="1" t="s">
        <v>7455</v>
      </c>
    </row>
    <row r="385" spans="1:38" s="20" customFormat="1" x14ac:dyDescent="0.3">
      <c r="A385" s="14">
        <v>384</v>
      </c>
      <c r="B385" s="14" t="str">
        <f>_xlfn.CONCAT(AE385,"-",VLOOKUP(AE385,t_objeto!B:D,3,FALSE),"-",A385)</f>
        <v>RMAT-PERCCO-384</v>
      </c>
      <c r="C385" s="22" t="str">
        <f t="shared" si="59"/>
        <v>LAMINA_LISA__ACERO_ROLADA EN CALIENTE_4'X8'_18</v>
      </c>
      <c r="D385" s="14" t="s">
        <v>7412</v>
      </c>
      <c r="E385" s="14" t="s">
        <v>7385</v>
      </c>
      <c r="F385" s="21" t="s">
        <v>7391</v>
      </c>
      <c r="G385" s="22" t="s">
        <v>7387</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7356</v>
      </c>
      <c r="AF385" s="1" t="str">
        <f>VLOOKUP(AE385,t_objeto!B:C,2,FALSE)</f>
        <v>RAW_MATERIAL</v>
      </c>
      <c r="AG385" s="1">
        <v>8</v>
      </c>
      <c r="AH385" s="1" t="str">
        <f>VLOOKUP(AG385,t_entry_status!A:AE,2,FALSE)</f>
        <v>PENDING</v>
      </c>
      <c r="AI385" s="7">
        <v>45560</v>
      </c>
      <c r="AJ385" s="1" t="s">
        <v>7455</v>
      </c>
      <c r="AK385" s="7">
        <v>45560</v>
      </c>
      <c r="AL385" s="1" t="s">
        <v>7455</v>
      </c>
    </row>
    <row r="386" spans="1:38" s="20" customFormat="1" x14ac:dyDescent="0.3">
      <c r="A386" s="14">
        <v>385</v>
      </c>
      <c r="B386" s="14" t="str">
        <f>_xlfn.CONCAT(AE386,"-",VLOOKUP(AE386,t_objeto!B:D,3,FALSE),"-",A386)</f>
        <v>RMAT-PERCCO-385</v>
      </c>
      <c r="C386" s="22" t="str">
        <f t="shared" si="59"/>
        <v>LAMINA_LISA__ACERO_ROLADA EN CALIENTE_4'X8'_19</v>
      </c>
      <c r="D386" s="14" t="s">
        <v>7412</v>
      </c>
      <c r="E386" s="14" t="s">
        <v>7385</v>
      </c>
      <c r="F386" s="21" t="s">
        <v>7391</v>
      </c>
      <c r="G386" s="22" t="s">
        <v>7387</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7356</v>
      </c>
      <c r="AF386" s="1" t="str">
        <f>VLOOKUP(AE386,t_objeto!B:C,2,FALSE)</f>
        <v>RAW_MATERIAL</v>
      </c>
      <c r="AG386" s="1">
        <v>8</v>
      </c>
      <c r="AH386" s="1" t="str">
        <f>VLOOKUP(AG386,t_entry_status!A:AE,2,FALSE)</f>
        <v>PENDING</v>
      </c>
      <c r="AI386" s="7">
        <v>45560</v>
      </c>
      <c r="AJ386" s="1" t="s">
        <v>7455</v>
      </c>
      <c r="AK386" s="7">
        <v>45560</v>
      </c>
      <c r="AL386" s="1" t="s">
        <v>7455</v>
      </c>
    </row>
    <row r="387" spans="1:38" s="20" customFormat="1" x14ac:dyDescent="0.3">
      <c r="A387" s="14">
        <v>386</v>
      </c>
      <c r="B387" s="14" t="str">
        <f>_xlfn.CONCAT(AE387,"-",VLOOKUP(AE387,t_objeto!B:D,3,FALSE),"-",A387)</f>
        <v>RMAT-PERCCO-386</v>
      </c>
      <c r="C387" s="22" t="str">
        <f t="shared" ref="C387:C450" si="69">_xlfn.CONCAT(D387,"_","_",E387,"_",F387,"_",R387,"'","X",S387,"'","_",H387)</f>
        <v>LAMINA_LISA__ACERO_ROLADA EN CALIENTE_4'X8'_20</v>
      </c>
      <c r="D387" s="14" t="s">
        <v>7412</v>
      </c>
      <c r="E387" s="14" t="s">
        <v>7385</v>
      </c>
      <c r="F387" s="21" t="s">
        <v>7391</v>
      </c>
      <c r="G387" s="22" t="s">
        <v>7387</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7356</v>
      </c>
      <c r="AF387" s="1" t="str">
        <f>VLOOKUP(AE387,t_objeto!B:C,2,FALSE)</f>
        <v>RAW_MATERIAL</v>
      </c>
      <c r="AG387" s="1">
        <v>8</v>
      </c>
      <c r="AH387" s="1" t="str">
        <f>VLOOKUP(AG387,t_entry_status!A:AE,2,FALSE)</f>
        <v>PENDING</v>
      </c>
      <c r="AI387" s="7">
        <v>45560</v>
      </c>
      <c r="AJ387" s="1" t="s">
        <v>7455</v>
      </c>
      <c r="AK387" s="7">
        <v>45560</v>
      </c>
      <c r="AL387" s="1" t="s">
        <v>7455</v>
      </c>
    </row>
    <row r="388" spans="1:38" s="20" customFormat="1" x14ac:dyDescent="0.3">
      <c r="A388" s="14">
        <v>387</v>
      </c>
      <c r="B388" s="14" t="str">
        <f>_xlfn.CONCAT(AE388,"-",VLOOKUP(AE388,t_objeto!B:D,3,FALSE),"-",A388)</f>
        <v>RMAT-PERCCO-387</v>
      </c>
      <c r="C388" s="22" t="str">
        <f t="shared" si="69"/>
        <v>LAMINA_LISA__ACERO_ROLADA EN CALIENTE_4'X8'_21</v>
      </c>
      <c r="D388" s="14" t="s">
        <v>7412</v>
      </c>
      <c r="E388" s="14" t="s">
        <v>7385</v>
      </c>
      <c r="F388" s="21" t="s">
        <v>7391</v>
      </c>
      <c r="G388" s="22" t="s">
        <v>7387</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7356</v>
      </c>
      <c r="AF388" s="1" t="str">
        <f>VLOOKUP(AE388,t_objeto!B:C,2,FALSE)</f>
        <v>RAW_MATERIAL</v>
      </c>
      <c r="AG388" s="1">
        <v>8</v>
      </c>
      <c r="AH388" s="1" t="str">
        <f>VLOOKUP(AG388,t_entry_status!A:AE,2,FALSE)</f>
        <v>PENDING</v>
      </c>
      <c r="AI388" s="7">
        <v>45560</v>
      </c>
      <c r="AJ388" s="1" t="s">
        <v>7455</v>
      </c>
      <c r="AK388" s="7">
        <v>45560</v>
      </c>
      <c r="AL388" s="1" t="s">
        <v>7455</v>
      </c>
    </row>
    <row r="389" spans="1:38" s="20" customFormat="1" x14ac:dyDescent="0.3">
      <c r="A389" s="14">
        <v>388</v>
      </c>
      <c r="B389" s="14" t="str">
        <f>_xlfn.CONCAT(AE389,"-",VLOOKUP(AE389,t_objeto!B:D,3,FALSE),"-",A389)</f>
        <v>RMAT-PERCCO-388</v>
      </c>
      <c r="C389" s="22" t="str">
        <f t="shared" si="69"/>
        <v>LAMINA_LISA__ACERO_ROLADA EN CALIENTE_4'X8'_22</v>
      </c>
      <c r="D389" s="14" t="s">
        <v>7412</v>
      </c>
      <c r="E389" s="14" t="s">
        <v>7385</v>
      </c>
      <c r="F389" s="21" t="s">
        <v>7391</v>
      </c>
      <c r="G389" s="22" t="s">
        <v>7387</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7356</v>
      </c>
      <c r="AF389" s="1" t="str">
        <f>VLOOKUP(AE389,t_objeto!B:C,2,FALSE)</f>
        <v>RAW_MATERIAL</v>
      </c>
      <c r="AG389" s="1">
        <v>8</v>
      </c>
      <c r="AH389" s="1" t="str">
        <f>VLOOKUP(AG389,t_entry_status!A:AE,2,FALSE)</f>
        <v>PENDING</v>
      </c>
      <c r="AI389" s="7">
        <v>45560</v>
      </c>
      <c r="AJ389" s="1" t="s">
        <v>7455</v>
      </c>
      <c r="AK389" s="7">
        <v>45560</v>
      </c>
      <c r="AL389" s="1" t="s">
        <v>7455</v>
      </c>
    </row>
    <row r="390" spans="1:38" s="20" customFormat="1" x14ac:dyDescent="0.3">
      <c r="A390" s="14">
        <v>389</v>
      </c>
      <c r="B390" s="14" t="str">
        <f>_xlfn.CONCAT(AE390,"-",VLOOKUP(AE390,t_objeto!B:D,3,FALSE),"-",A390)</f>
        <v>RMAT-PERCCO-389</v>
      </c>
      <c r="C390" s="22" t="str">
        <f t="shared" si="69"/>
        <v>LAMINA_LISA__ACERO_ROLADA EN CALIENTE_4'X8'_23</v>
      </c>
      <c r="D390" s="14" t="s">
        <v>7412</v>
      </c>
      <c r="E390" s="14" t="s">
        <v>7385</v>
      </c>
      <c r="F390" s="21" t="s">
        <v>7391</v>
      </c>
      <c r="G390" s="22" t="s">
        <v>7387</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7356</v>
      </c>
      <c r="AF390" s="1" t="str">
        <f>VLOOKUP(AE390,t_objeto!B:C,2,FALSE)</f>
        <v>RAW_MATERIAL</v>
      </c>
      <c r="AG390" s="1">
        <v>8</v>
      </c>
      <c r="AH390" s="1" t="str">
        <f>VLOOKUP(AG390,t_entry_status!A:AE,2,FALSE)</f>
        <v>PENDING</v>
      </c>
      <c r="AI390" s="7">
        <v>45560</v>
      </c>
      <c r="AJ390" s="1" t="s">
        <v>7455</v>
      </c>
      <c r="AK390" s="7">
        <v>45560</v>
      </c>
      <c r="AL390" s="1" t="s">
        <v>7455</v>
      </c>
    </row>
    <row r="391" spans="1:38" s="20" customFormat="1" x14ac:dyDescent="0.3">
      <c r="A391" s="14">
        <v>390</v>
      </c>
      <c r="B391" s="14" t="str">
        <f>_xlfn.CONCAT(AE391,"-",VLOOKUP(AE391,t_objeto!B:D,3,FALSE),"-",A391)</f>
        <v>RMAT-PERCCO-390</v>
      </c>
      <c r="C391" s="22" t="str">
        <f t="shared" si="69"/>
        <v>LAMINA_LISA__ACERO_ROLADA EN CALIENTE_4'X8'_24</v>
      </c>
      <c r="D391" s="14" t="s">
        <v>7412</v>
      </c>
      <c r="E391" s="14" t="s">
        <v>7385</v>
      </c>
      <c r="F391" s="21" t="s">
        <v>7391</v>
      </c>
      <c r="G391" s="22" t="s">
        <v>7387</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7356</v>
      </c>
      <c r="AF391" s="1" t="str">
        <f>VLOOKUP(AE391,t_objeto!B:C,2,FALSE)</f>
        <v>RAW_MATERIAL</v>
      </c>
      <c r="AG391" s="1">
        <v>8</v>
      </c>
      <c r="AH391" s="1" t="str">
        <f>VLOOKUP(AG391,t_entry_status!A:AE,2,FALSE)</f>
        <v>PENDING</v>
      </c>
      <c r="AI391" s="7">
        <v>45560</v>
      </c>
      <c r="AJ391" s="1" t="s">
        <v>7455</v>
      </c>
      <c r="AK391" s="7">
        <v>45560</v>
      </c>
      <c r="AL391" s="1" t="s">
        <v>7455</v>
      </c>
    </row>
    <row r="392" spans="1:38" s="20" customFormat="1" x14ac:dyDescent="0.3">
      <c r="A392" s="14">
        <v>391</v>
      </c>
      <c r="B392" s="14" t="str">
        <f>_xlfn.CONCAT(AE392,"-",VLOOKUP(AE392,t_objeto!B:D,3,FALSE),"-",A392)</f>
        <v>RMAT-PERCCO-391</v>
      </c>
      <c r="C392" s="22" t="str">
        <f t="shared" si="69"/>
        <v>LAMINA_LISA__ACERO_ROLADA EN CALIENTE_4'X8'_25</v>
      </c>
      <c r="D392" s="14" t="s">
        <v>7412</v>
      </c>
      <c r="E392" s="14" t="s">
        <v>7385</v>
      </c>
      <c r="F392" s="21" t="s">
        <v>7391</v>
      </c>
      <c r="G392" s="22" t="s">
        <v>7387</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7356</v>
      </c>
      <c r="AF392" s="1" t="str">
        <f>VLOOKUP(AE392,t_objeto!B:C,2,FALSE)</f>
        <v>RAW_MATERIAL</v>
      </c>
      <c r="AG392" s="1">
        <v>8</v>
      </c>
      <c r="AH392" s="1" t="str">
        <f>VLOOKUP(AG392,t_entry_status!A:AE,2,FALSE)</f>
        <v>PENDING</v>
      </c>
      <c r="AI392" s="7">
        <v>45560</v>
      </c>
      <c r="AJ392" s="1" t="s">
        <v>7455</v>
      </c>
      <c r="AK392" s="7">
        <v>45560</v>
      </c>
      <c r="AL392" s="1" t="s">
        <v>7455</v>
      </c>
    </row>
    <row r="393" spans="1:38" s="20" customFormat="1" x14ac:dyDescent="0.3">
      <c r="A393" s="14">
        <v>392</v>
      </c>
      <c r="B393" s="14" t="str">
        <f>_xlfn.CONCAT(AE393,"-",VLOOKUP(AE393,t_objeto!B:D,3,FALSE),"-",A393)</f>
        <v>RMAT-PERCCO-392</v>
      </c>
      <c r="C393" s="22" t="str">
        <f t="shared" si="69"/>
        <v>LAMINA_LISA__ACERO_ROLADA EN CALIENTE_4'X8'_26</v>
      </c>
      <c r="D393" s="14" t="s">
        <v>7412</v>
      </c>
      <c r="E393" s="14" t="s">
        <v>7385</v>
      </c>
      <c r="F393" s="21" t="s">
        <v>7391</v>
      </c>
      <c r="G393" s="22" t="s">
        <v>7387</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7356</v>
      </c>
      <c r="AF393" s="1" t="str">
        <f>VLOOKUP(AE393,t_objeto!B:C,2,FALSE)</f>
        <v>RAW_MATERIAL</v>
      </c>
      <c r="AG393" s="1">
        <v>8</v>
      </c>
      <c r="AH393" s="1" t="str">
        <f>VLOOKUP(AG393,t_entry_status!A:AE,2,FALSE)</f>
        <v>PENDING</v>
      </c>
      <c r="AI393" s="7">
        <v>45560</v>
      </c>
      <c r="AJ393" s="1" t="s">
        <v>7455</v>
      </c>
      <c r="AK393" s="7">
        <v>45560</v>
      </c>
      <c r="AL393" s="1" t="s">
        <v>7455</v>
      </c>
    </row>
    <row r="394" spans="1:38" s="20" customFormat="1" x14ac:dyDescent="0.3">
      <c r="A394" s="14">
        <v>393</v>
      </c>
      <c r="B394" s="14" t="str">
        <f>_xlfn.CONCAT(AE394,"-",VLOOKUP(AE394,t_objeto!B:D,3,FALSE),"-",A394)</f>
        <v>RMAT-PERCCO-393</v>
      </c>
      <c r="C394" s="22" t="str">
        <f t="shared" si="69"/>
        <v>LAMINA_LISA__ACERO_ROLADA EN CALIENTE_4'X8'_27</v>
      </c>
      <c r="D394" s="14" t="s">
        <v>7412</v>
      </c>
      <c r="E394" s="14" t="s">
        <v>7385</v>
      </c>
      <c r="F394" s="21" t="s">
        <v>7391</v>
      </c>
      <c r="G394" s="22" t="s">
        <v>7387</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7356</v>
      </c>
      <c r="AF394" s="1" t="str">
        <f>VLOOKUP(AE394,t_objeto!B:C,2,FALSE)</f>
        <v>RAW_MATERIAL</v>
      </c>
      <c r="AG394" s="1">
        <v>8</v>
      </c>
      <c r="AH394" s="1" t="str">
        <f>VLOOKUP(AG394,t_entry_status!A:AE,2,FALSE)</f>
        <v>PENDING</v>
      </c>
      <c r="AI394" s="7">
        <v>45560</v>
      </c>
      <c r="AJ394" s="1" t="s">
        <v>7455</v>
      </c>
      <c r="AK394" s="7">
        <v>45560</v>
      </c>
      <c r="AL394" s="1" t="s">
        <v>7455</v>
      </c>
    </row>
    <row r="395" spans="1:38" s="20" customFormat="1" x14ac:dyDescent="0.3">
      <c r="A395" s="14">
        <v>394</v>
      </c>
      <c r="B395" s="14" t="str">
        <f>_xlfn.CONCAT(AE395,"-",VLOOKUP(AE395,t_objeto!B:D,3,FALSE),"-",A395)</f>
        <v>RMAT-PERCCO-394</v>
      </c>
      <c r="C395" s="22" t="str">
        <f t="shared" si="69"/>
        <v>LAMINA_LISA__ACERO_ROLADA EN CALIENTE_4'X8'_28</v>
      </c>
      <c r="D395" s="14" t="s">
        <v>7412</v>
      </c>
      <c r="E395" s="14" t="s">
        <v>7385</v>
      </c>
      <c r="F395" s="21" t="s">
        <v>7391</v>
      </c>
      <c r="G395" s="22" t="s">
        <v>7387</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7356</v>
      </c>
      <c r="AF395" s="1" t="str">
        <f>VLOOKUP(AE395,t_objeto!B:C,2,FALSE)</f>
        <v>RAW_MATERIAL</v>
      </c>
      <c r="AG395" s="1">
        <v>8</v>
      </c>
      <c r="AH395" s="1" t="str">
        <f>VLOOKUP(AG395,t_entry_status!A:AE,2,FALSE)</f>
        <v>PENDING</v>
      </c>
      <c r="AI395" s="7">
        <v>45560</v>
      </c>
      <c r="AJ395" s="1" t="s">
        <v>7455</v>
      </c>
      <c r="AK395" s="7">
        <v>45560</v>
      </c>
      <c r="AL395" s="1" t="s">
        <v>7455</v>
      </c>
    </row>
    <row r="396" spans="1:38" s="20" customFormat="1" x14ac:dyDescent="0.3">
      <c r="A396" s="14">
        <v>395</v>
      </c>
      <c r="B396" s="14" t="str">
        <f>_xlfn.CONCAT(AE396,"-",VLOOKUP(AE396,t_objeto!B:D,3,FALSE),"-",A396)</f>
        <v>RMAT-PERCCO-395</v>
      </c>
      <c r="C396" s="22" t="str">
        <f t="shared" si="69"/>
        <v>LAMINA_LISA__ACERO_ROLADA EN CALIENTE_4'X8'_29</v>
      </c>
      <c r="D396" s="14" t="s">
        <v>7412</v>
      </c>
      <c r="E396" s="14" t="s">
        <v>7385</v>
      </c>
      <c r="F396" s="21" t="s">
        <v>7391</v>
      </c>
      <c r="G396" s="22" t="s">
        <v>7387</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7356</v>
      </c>
      <c r="AF396" s="1" t="str">
        <f>VLOOKUP(AE396,t_objeto!B:C,2,FALSE)</f>
        <v>RAW_MATERIAL</v>
      </c>
      <c r="AG396" s="1">
        <v>8</v>
      </c>
      <c r="AH396" s="1" t="str">
        <f>VLOOKUP(AG396,t_entry_status!A:AE,2,FALSE)</f>
        <v>PENDING</v>
      </c>
      <c r="AI396" s="7">
        <v>45560</v>
      </c>
      <c r="AJ396" s="1" t="s">
        <v>7455</v>
      </c>
      <c r="AK396" s="7">
        <v>45560</v>
      </c>
      <c r="AL396" s="1" t="s">
        <v>7455</v>
      </c>
    </row>
    <row r="397" spans="1:38" s="20" customFormat="1" x14ac:dyDescent="0.3">
      <c r="A397" s="14">
        <v>396</v>
      </c>
      <c r="B397" s="14" t="str">
        <f>_xlfn.CONCAT(AE397,"-",VLOOKUP(AE397,t_objeto!B:D,3,FALSE),"-",A397)</f>
        <v>RMAT-PERCCO-396</v>
      </c>
      <c r="C397" s="22" t="str">
        <f t="shared" si="69"/>
        <v>LAMINA_LISA__ACERO_ROLADA EN CALIENTE_4'X8'_30</v>
      </c>
      <c r="D397" s="14" t="s">
        <v>7412</v>
      </c>
      <c r="E397" s="14" t="s">
        <v>7385</v>
      </c>
      <c r="F397" s="21" t="s">
        <v>7391</v>
      </c>
      <c r="G397" s="22" t="s">
        <v>7387</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7356</v>
      </c>
      <c r="AF397" s="1" t="str">
        <f>VLOOKUP(AE397,t_objeto!B:C,2,FALSE)</f>
        <v>RAW_MATERIAL</v>
      </c>
      <c r="AG397" s="1">
        <v>8</v>
      </c>
      <c r="AH397" s="1" t="str">
        <f>VLOOKUP(AG397,t_entry_status!A:AE,2,FALSE)</f>
        <v>PENDING</v>
      </c>
      <c r="AI397" s="7">
        <v>45560</v>
      </c>
      <c r="AJ397" s="1" t="s">
        <v>7455</v>
      </c>
      <c r="AK397" s="7">
        <v>45560</v>
      </c>
      <c r="AL397" s="1" t="s">
        <v>7455</v>
      </c>
    </row>
    <row r="398" spans="1:38" s="20" customFormat="1" x14ac:dyDescent="0.3">
      <c r="A398" s="14">
        <v>397</v>
      </c>
      <c r="B398" s="14" t="str">
        <f>_xlfn.CONCAT(AE398,"-",VLOOKUP(AE398,t_objeto!B:D,3,FALSE),"-",A398)</f>
        <v>RMAT-PERCCO-397</v>
      </c>
      <c r="C398" s="22" t="str">
        <f t="shared" si="69"/>
        <v>PLACA__ACERO_ROLADA EN FRIO_4'X8'_1"</v>
      </c>
      <c r="D398" s="14" t="s">
        <v>7390</v>
      </c>
      <c r="E398" s="14" t="s">
        <v>7385</v>
      </c>
      <c r="F398" s="21" t="s">
        <v>7405</v>
      </c>
      <c r="G398" s="22" t="s">
        <v>7387</v>
      </c>
      <c r="H398" s="14" t="s">
        <v>7392</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7356</v>
      </c>
      <c r="AF398" s="1" t="str">
        <f>VLOOKUP(AE398,t_objeto!B:C,2,FALSE)</f>
        <v>RAW_MATERIAL</v>
      </c>
      <c r="AG398" s="1">
        <v>8</v>
      </c>
      <c r="AH398" s="1" t="str">
        <f>VLOOKUP(AG398,t_entry_status!A:AE,2,FALSE)</f>
        <v>PENDING</v>
      </c>
      <c r="AI398" s="7">
        <v>45560</v>
      </c>
      <c r="AJ398" s="1" t="s">
        <v>7455</v>
      </c>
      <c r="AK398" s="7">
        <v>45560</v>
      </c>
      <c r="AL398" s="1" t="s">
        <v>7455</v>
      </c>
    </row>
    <row r="399" spans="1:38" s="20" customFormat="1" x14ac:dyDescent="0.3">
      <c r="A399" s="14">
        <v>398</v>
      </c>
      <c r="B399" s="14" t="str">
        <f>_xlfn.CONCAT(AE399,"-",VLOOKUP(AE399,t_objeto!B:D,3,FALSE),"-",A399)</f>
        <v>RMAT-PERCCO-398</v>
      </c>
      <c r="C399" s="22" t="str">
        <f t="shared" si="69"/>
        <v>PLACA__ACERO_ROLADA EN FRIO_4'X8'_7/8"</v>
      </c>
      <c r="D399" s="14" t="s">
        <v>7390</v>
      </c>
      <c r="E399" s="14" t="s">
        <v>7385</v>
      </c>
      <c r="F399" s="21" t="s">
        <v>7405</v>
      </c>
      <c r="G399" s="22" t="s">
        <v>7387</v>
      </c>
      <c r="H399" s="14" t="s">
        <v>7393</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7356</v>
      </c>
      <c r="AF399" s="1" t="str">
        <f>VLOOKUP(AE399,t_objeto!B:C,2,FALSE)</f>
        <v>RAW_MATERIAL</v>
      </c>
      <c r="AG399" s="1">
        <v>8</v>
      </c>
      <c r="AH399" s="1" t="str">
        <f>VLOOKUP(AG399,t_entry_status!A:AE,2,FALSE)</f>
        <v>PENDING</v>
      </c>
      <c r="AI399" s="7">
        <v>45560</v>
      </c>
      <c r="AJ399" s="1" t="s">
        <v>7455</v>
      </c>
      <c r="AK399" s="7">
        <v>45560</v>
      </c>
      <c r="AL399" s="1" t="s">
        <v>7455</v>
      </c>
    </row>
    <row r="400" spans="1:38" s="20" customFormat="1" x14ac:dyDescent="0.3">
      <c r="A400" s="14">
        <v>399</v>
      </c>
      <c r="B400" s="14" t="str">
        <f>_xlfn.CONCAT(AE400,"-",VLOOKUP(AE400,t_objeto!B:D,3,FALSE),"-",A400)</f>
        <v>RMAT-PERCCO-399</v>
      </c>
      <c r="C400" s="22" t="str">
        <f t="shared" si="69"/>
        <v>PLACA__ACERO_ROLADA EN FRIO_4'X8'_3/4"</v>
      </c>
      <c r="D400" s="14" t="s">
        <v>7390</v>
      </c>
      <c r="E400" s="14" t="s">
        <v>7385</v>
      </c>
      <c r="F400" s="21" t="s">
        <v>7405</v>
      </c>
      <c r="G400" s="22" t="s">
        <v>7387</v>
      </c>
      <c r="H400" s="14" t="s">
        <v>7394</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7356</v>
      </c>
      <c r="AF400" s="1" t="str">
        <f>VLOOKUP(AE400,t_objeto!B:C,2,FALSE)</f>
        <v>RAW_MATERIAL</v>
      </c>
      <c r="AG400" s="1">
        <v>8</v>
      </c>
      <c r="AH400" s="1" t="str">
        <f>VLOOKUP(AG400,t_entry_status!A:AE,2,FALSE)</f>
        <v>PENDING</v>
      </c>
      <c r="AI400" s="7">
        <v>45560</v>
      </c>
      <c r="AJ400" s="1" t="s">
        <v>7455</v>
      </c>
      <c r="AK400" s="7">
        <v>45560</v>
      </c>
      <c r="AL400" s="1" t="s">
        <v>7455</v>
      </c>
    </row>
    <row r="401" spans="1:38" s="20" customFormat="1" x14ac:dyDescent="0.3">
      <c r="A401" s="14">
        <v>400</v>
      </c>
      <c r="B401" s="14" t="str">
        <f>_xlfn.CONCAT(AE401,"-",VLOOKUP(AE401,t_objeto!B:D,3,FALSE),"-",A401)</f>
        <v>RMAT-PERCCO-400</v>
      </c>
      <c r="C401" s="22" t="str">
        <f t="shared" si="69"/>
        <v>PLACA__ACERO_ROLADA EN FRIO_4'X8'_11/16"</v>
      </c>
      <c r="D401" s="14" t="s">
        <v>7390</v>
      </c>
      <c r="E401" s="14" t="s">
        <v>7385</v>
      </c>
      <c r="F401" s="21" t="s">
        <v>7405</v>
      </c>
      <c r="G401" s="22" t="s">
        <v>7387</v>
      </c>
      <c r="H401" s="14" t="s">
        <v>7395</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7356</v>
      </c>
      <c r="AF401" s="1" t="str">
        <f>VLOOKUP(AE401,t_objeto!B:C,2,FALSE)</f>
        <v>RAW_MATERIAL</v>
      </c>
      <c r="AG401" s="1">
        <v>8</v>
      </c>
      <c r="AH401" s="1" t="str">
        <f>VLOOKUP(AG401,t_entry_status!A:AE,2,FALSE)</f>
        <v>PENDING</v>
      </c>
      <c r="AI401" s="7">
        <v>45560</v>
      </c>
      <c r="AJ401" s="1" t="s">
        <v>7455</v>
      </c>
      <c r="AK401" s="7">
        <v>45560</v>
      </c>
      <c r="AL401" s="1" t="s">
        <v>7455</v>
      </c>
    </row>
    <row r="402" spans="1:38" s="20" customFormat="1" x14ac:dyDescent="0.3">
      <c r="A402" s="14">
        <v>401</v>
      </c>
      <c r="B402" s="14" t="str">
        <f>_xlfn.CONCAT(AE402,"-",VLOOKUP(AE402,t_objeto!B:D,3,FALSE),"-",A402)</f>
        <v>RMAT-PERCCO-401</v>
      </c>
      <c r="C402" s="22" t="str">
        <f t="shared" si="69"/>
        <v>PLACA__ACERO_ROLADA EN FRIO_4'X8'_5/8"</v>
      </c>
      <c r="D402" s="14" t="s">
        <v>7390</v>
      </c>
      <c r="E402" s="14" t="s">
        <v>7385</v>
      </c>
      <c r="F402" s="21" t="s">
        <v>7405</v>
      </c>
      <c r="G402" s="22" t="s">
        <v>7387</v>
      </c>
      <c r="H402" s="14" t="s">
        <v>7396</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7356</v>
      </c>
      <c r="AF402" s="1" t="str">
        <f>VLOOKUP(AE402,t_objeto!B:C,2,FALSE)</f>
        <v>RAW_MATERIAL</v>
      </c>
      <c r="AG402" s="1">
        <v>8</v>
      </c>
      <c r="AH402" s="1" t="str">
        <f>VLOOKUP(AG402,t_entry_status!A:AE,2,FALSE)</f>
        <v>PENDING</v>
      </c>
      <c r="AI402" s="7">
        <v>45560</v>
      </c>
      <c r="AJ402" s="1" t="s">
        <v>7455</v>
      </c>
      <c r="AK402" s="7">
        <v>45560</v>
      </c>
      <c r="AL402" s="1" t="s">
        <v>7455</v>
      </c>
    </row>
    <row r="403" spans="1:38" s="20" customFormat="1" x14ac:dyDescent="0.3">
      <c r="A403" s="14">
        <v>402</v>
      </c>
      <c r="B403" s="14" t="str">
        <f>_xlfn.CONCAT(AE403,"-",VLOOKUP(AE403,t_objeto!B:D,3,FALSE),"-",A403)</f>
        <v>RMAT-PERCCO-402</v>
      </c>
      <c r="C403" s="22" t="str">
        <f t="shared" si="69"/>
        <v>PLACA__ACERO_ROLADA EN FRIO_4'X8'_9/16"</v>
      </c>
      <c r="D403" s="14" t="s">
        <v>7390</v>
      </c>
      <c r="E403" s="14" t="s">
        <v>7385</v>
      </c>
      <c r="F403" s="21" t="s">
        <v>7405</v>
      </c>
      <c r="G403" s="22" t="s">
        <v>7387</v>
      </c>
      <c r="H403" s="14" t="s">
        <v>7397</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7356</v>
      </c>
      <c r="AF403" s="1" t="str">
        <f>VLOOKUP(AE403,t_objeto!B:C,2,FALSE)</f>
        <v>RAW_MATERIAL</v>
      </c>
      <c r="AG403" s="1">
        <v>8</v>
      </c>
      <c r="AH403" s="1" t="str">
        <f>VLOOKUP(AG403,t_entry_status!A:AE,2,FALSE)</f>
        <v>PENDING</v>
      </c>
      <c r="AI403" s="7">
        <v>45560</v>
      </c>
      <c r="AJ403" s="1" t="s">
        <v>7455</v>
      </c>
      <c r="AK403" s="7">
        <v>45560</v>
      </c>
      <c r="AL403" s="1" t="s">
        <v>7455</v>
      </c>
    </row>
    <row r="404" spans="1:38" s="20" customFormat="1" x14ac:dyDescent="0.3">
      <c r="A404" s="14">
        <v>403</v>
      </c>
      <c r="B404" s="14" t="str">
        <f>_xlfn.CONCAT(AE404,"-",VLOOKUP(AE404,t_objeto!B:D,3,FALSE),"-",A404)</f>
        <v>RMAT-PERCCO-403</v>
      </c>
      <c r="C404" s="22" t="str">
        <f t="shared" si="69"/>
        <v>PLACA__ACERO_ROLADA EN FRIO_4'X8'_1/2"</v>
      </c>
      <c r="D404" s="14" t="s">
        <v>7390</v>
      </c>
      <c r="E404" s="14" t="s">
        <v>7385</v>
      </c>
      <c r="F404" s="21" t="s">
        <v>7405</v>
      </c>
      <c r="G404" s="22" t="s">
        <v>7387</v>
      </c>
      <c r="H404" s="14" t="s">
        <v>7398</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7356</v>
      </c>
      <c r="AF404" s="1" t="str">
        <f>VLOOKUP(AE404,t_objeto!B:C,2,FALSE)</f>
        <v>RAW_MATERIAL</v>
      </c>
      <c r="AG404" s="1">
        <v>8</v>
      </c>
      <c r="AH404" s="1" t="str">
        <f>VLOOKUP(AG404,t_entry_status!A:AE,2,FALSE)</f>
        <v>PENDING</v>
      </c>
      <c r="AI404" s="7">
        <v>45560</v>
      </c>
      <c r="AJ404" s="1" t="s">
        <v>7455</v>
      </c>
      <c r="AK404" s="7">
        <v>45560</v>
      </c>
      <c r="AL404" s="1" t="s">
        <v>7455</v>
      </c>
    </row>
    <row r="405" spans="1:38" s="20" customFormat="1" x14ac:dyDescent="0.3">
      <c r="A405" s="14">
        <v>404</v>
      </c>
      <c r="B405" s="14" t="str">
        <f>_xlfn.CONCAT(AE405,"-",VLOOKUP(AE405,t_objeto!B:D,3,FALSE),"-",A405)</f>
        <v>RMAT-PERCCO-404</v>
      </c>
      <c r="C405" s="22" t="str">
        <f t="shared" si="69"/>
        <v>PLACA__ACERO_ROLADA EN FRIO_4'X8'_7/16"</v>
      </c>
      <c r="D405" s="14" t="s">
        <v>7390</v>
      </c>
      <c r="E405" s="14" t="s">
        <v>7385</v>
      </c>
      <c r="F405" s="21" t="s">
        <v>7405</v>
      </c>
      <c r="G405" s="22" t="s">
        <v>7387</v>
      </c>
      <c r="H405" s="14" t="s">
        <v>7399</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7356</v>
      </c>
      <c r="AF405" s="1" t="str">
        <f>VLOOKUP(AE405,t_objeto!B:C,2,FALSE)</f>
        <v>RAW_MATERIAL</v>
      </c>
      <c r="AG405" s="1">
        <v>8</v>
      </c>
      <c r="AH405" s="1" t="str">
        <f>VLOOKUP(AG405,t_entry_status!A:AE,2,FALSE)</f>
        <v>PENDING</v>
      </c>
      <c r="AI405" s="7">
        <v>45560</v>
      </c>
      <c r="AJ405" s="1" t="s">
        <v>7455</v>
      </c>
      <c r="AK405" s="7">
        <v>45560</v>
      </c>
      <c r="AL405" s="1" t="s">
        <v>7455</v>
      </c>
    </row>
    <row r="406" spans="1:38" s="20" customFormat="1" x14ac:dyDescent="0.3">
      <c r="A406" s="14">
        <v>405</v>
      </c>
      <c r="B406" s="14" t="str">
        <f>_xlfn.CONCAT(AE406,"-",VLOOKUP(AE406,t_objeto!B:D,3,FALSE),"-",A406)</f>
        <v>RMAT-PERCCO-405</v>
      </c>
      <c r="C406" s="22" t="str">
        <f t="shared" si="69"/>
        <v>PLACA__ACERO_ROLADA EN FRIO_4'X8'_3/8"</v>
      </c>
      <c r="D406" s="14" t="s">
        <v>7390</v>
      </c>
      <c r="E406" s="14" t="s">
        <v>7385</v>
      </c>
      <c r="F406" s="21" t="s">
        <v>7405</v>
      </c>
      <c r="G406" s="22" t="s">
        <v>7387</v>
      </c>
      <c r="H406" s="14" t="s">
        <v>7400</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7356</v>
      </c>
      <c r="AF406" s="1" t="str">
        <f>VLOOKUP(AE406,t_objeto!B:C,2,FALSE)</f>
        <v>RAW_MATERIAL</v>
      </c>
      <c r="AG406" s="1">
        <v>8</v>
      </c>
      <c r="AH406" s="1" t="str">
        <f>VLOOKUP(AG406,t_entry_status!A:AE,2,FALSE)</f>
        <v>PENDING</v>
      </c>
      <c r="AI406" s="7">
        <v>45560</v>
      </c>
      <c r="AJ406" s="1" t="s">
        <v>7455</v>
      </c>
      <c r="AK406" s="7">
        <v>45560</v>
      </c>
      <c r="AL406" s="1" t="s">
        <v>7455</v>
      </c>
    </row>
    <row r="407" spans="1:38" s="20" customFormat="1" x14ac:dyDescent="0.3">
      <c r="A407" s="14">
        <v>406</v>
      </c>
      <c r="B407" s="14" t="str">
        <f>_xlfn.CONCAT(AE407,"-",VLOOKUP(AE407,t_objeto!B:D,3,FALSE),"-",A407)</f>
        <v>RMAT-PERCCO-406</v>
      </c>
      <c r="C407" s="22" t="str">
        <f t="shared" si="69"/>
        <v>PLACA__ACERO_ROLADA EN FRIO_4'X8'_5/16"</v>
      </c>
      <c r="D407" s="14" t="s">
        <v>7390</v>
      </c>
      <c r="E407" s="14" t="s">
        <v>7385</v>
      </c>
      <c r="F407" s="21" t="s">
        <v>7405</v>
      </c>
      <c r="G407" s="22" t="s">
        <v>7387</v>
      </c>
      <c r="H407" s="14" t="s">
        <v>7401</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7356</v>
      </c>
      <c r="AF407" s="1" t="str">
        <f>VLOOKUP(AE407,t_objeto!B:C,2,FALSE)</f>
        <v>RAW_MATERIAL</v>
      </c>
      <c r="AG407" s="1">
        <v>8</v>
      </c>
      <c r="AH407" s="1" t="str">
        <f>VLOOKUP(AG407,t_entry_status!A:AE,2,FALSE)</f>
        <v>PENDING</v>
      </c>
      <c r="AI407" s="7">
        <v>45560</v>
      </c>
      <c r="AJ407" s="1" t="s">
        <v>7455</v>
      </c>
      <c r="AK407" s="7">
        <v>45560</v>
      </c>
      <c r="AL407" s="1" t="s">
        <v>7455</v>
      </c>
    </row>
    <row r="408" spans="1:38" s="20" customFormat="1" x14ac:dyDescent="0.3">
      <c r="A408" s="14">
        <v>407</v>
      </c>
      <c r="B408" s="14" t="str">
        <f>_xlfn.CONCAT(AE408,"-",VLOOKUP(AE408,t_objeto!B:D,3,FALSE),"-",A408)</f>
        <v>RMAT-PERCCO-407</v>
      </c>
      <c r="C408" s="22" t="str">
        <f t="shared" si="69"/>
        <v>PLACA__ACERO_ROLADA EN FRIO_4'X8'_1/4"</v>
      </c>
      <c r="D408" s="14" t="s">
        <v>7390</v>
      </c>
      <c r="E408" s="14" t="s">
        <v>7385</v>
      </c>
      <c r="F408" s="21" t="s">
        <v>7405</v>
      </c>
      <c r="G408" s="22" t="s">
        <v>7387</v>
      </c>
      <c r="H408" s="14" t="s">
        <v>7402</v>
      </c>
      <c r="I408" s="16">
        <v>6.35</v>
      </c>
      <c r="J408" s="16">
        <f t="shared" si="70"/>
        <v>0.25</v>
      </c>
      <c r="K408" s="16">
        <v>49.847999999999999</v>
      </c>
      <c r="L408" s="23">
        <v>1.2</v>
      </c>
      <c r="M408" s="23">
        <v>0.6</v>
      </c>
      <c r="N408" s="23"/>
      <c r="O408" s="23"/>
      <c r="P408" s="23"/>
      <c r="Q408" s="19" t="s">
        <v>7406</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7356</v>
      </c>
      <c r="AF408" s="1" t="str">
        <f>VLOOKUP(AE408,t_objeto!B:C,2,FALSE)</f>
        <v>RAW_MATERIAL</v>
      </c>
      <c r="AG408" s="1">
        <v>8</v>
      </c>
      <c r="AH408" s="1" t="str">
        <f>VLOOKUP(AG408,t_entry_status!A:AE,2,FALSE)</f>
        <v>PENDING</v>
      </c>
      <c r="AI408" s="7">
        <v>45560</v>
      </c>
      <c r="AJ408" s="1" t="s">
        <v>7455</v>
      </c>
      <c r="AK408" s="7">
        <v>45560</v>
      </c>
      <c r="AL408" s="1" t="s">
        <v>7455</v>
      </c>
    </row>
    <row r="409" spans="1:38" s="20" customFormat="1" x14ac:dyDescent="0.3">
      <c r="A409" s="14">
        <v>408</v>
      </c>
      <c r="B409" s="14" t="str">
        <f>_xlfn.CONCAT(AE409,"-",VLOOKUP(AE409,t_objeto!B:D,3,FALSE),"-",A409)</f>
        <v>RMAT-PERCCO-408</v>
      </c>
      <c r="C409" s="22" t="str">
        <f t="shared" si="69"/>
        <v>PLACA__ACERO_ROLADA EN FRIO_4'X8'_3/16"</v>
      </c>
      <c r="D409" s="14" t="s">
        <v>7390</v>
      </c>
      <c r="E409" s="14" t="s">
        <v>7385</v>
      </c>
      <c r="F409" s="21" t="s">
        <v>7405</v>
      </c>
      <c r="G409" s="22" t="s">
        <v>7387</v>
      </c>
      <c r="H409" s="14" t="s">
        <v>7403</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7356</v>
      </c>
      <c r="AF409" s="1" t="str">
        <f>VLOOKUP(AE409,t_objeto!B:C,2,FALSE)</f>
        <v>RAW_MATERIAL</v>
      </c>
      <c r="AG409" s="1">
        <v>8</v>
      </c>
      <c r="AH409" s="1" t="str">
        <f>VLOOKUP(AG409,t_entry_status!A:AE,2,FALSE)</f>
        <v>PENDING</v>
      </c>
      <c r="AI409" s="7">
        <v>45560</v>
      </c>
      <c r="AJ409" s="1" t="s">
        <v>7455</v>
      </c>
      <c r="AK409" s="7">
        <v>45560</v>
      </c>
      <c r="AL409" s="1" t="s">
        <v>7455</v>
      </c>
    </row>
    <row r="410" spans="1:38" s="20" customFormat="1" x14ac:dyDescent="0.3">
      <c r="A410" s="14">
        <v>409</v>
      </c>
      <c r="B410" s="14" t="str">
        <f>_xlfn.CONCAT(AE410,"-",VLOOKUP(AE410,t_objeto!B:D,3,FALSE),"-",A410)</f>
        <v>RMAT-PERCCO-409</v>
      </c>
      <c r="C410" s="22" t="str">
        <f t="shared" si="69"/>
        <v>LAMINA_LISA__ACERO_ROLADA EN FRIO_4'X8'_4</v>
      </c>
      <c r="D410" s="14" t="s">
        <v>7412</v>
      </c>
      <c r="E410" s="14" t="s">
        <v>7385</v>
      </c>
      <c r="F410" s="21" t="s">
        <v>7405</v>
      </c>
      <c r="G410" s="22" t="s">
        <v>7387</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7356</v>
      </c>
      <c r="AF410" s="1" t="str">
        <f>VLOOKUP(AE410,t_objeto!B:C,2,FALSE)</f>
        <v>RAW_MATERIAL</v>
      </c>
      <c r="AG410" s="1">
        <v>8</v>
      </c>
      <c r="AH410" s="1" t="str">
        <f>VLOOKUP(AG410,t_entry_status!A:AE,2,FALSE)</f>
        <v>PENDING</v>
      </c>
      <c r="AI410" s="7">
        <v>45560</v>
      </c>
      <c r="AJ410" s="1" t="s">
        <v>7455</v>
      </c>
      <c r="AK410" s="7">
        <v>45560</v>
      </c>
      <c r="AL410" s="1" t="s">
        <v>7455</v>
      </c>
    </row>
    <row r="411" spans="1:38" s="20" customFormat="1" x14ac:dyDescent="0.3">
      <c r="A411" s="14">
        <v>410</v>
      </c>
      <c r="B411" s="14" t="str">
        <f>_xlfn.CONCAT(AE411,"-",VLOOKUP(AE411,t_objeto!B:D,3,FALSE),"-",A411)</f>
        <v>RMAT-PERCCO-410</v>
      </c>
      <c r="C411" s="22" t="str">
        <f t="shared" si="69"/>
        <v>LAMINA_LISA__ACERO_ROLADA EN FRIO_4'X8'_5</v>
      </c>
      <c r="D411" s="14" t="s">
        <v>7412</v>
      </c>
      <c r="E411" s="14" t="s">
        <v>7385</v>
      </c>
      <c r="F411" s="21" t="s">
        <v>7405</v>
      </c>
      <c r="G411" s="22" t="s">
        <v>7387</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7356</v>
      </c>
      <c r="AF411" s="1" t="str">
        <f>VLOOKUP(AE411,t_objeto!B:C,2,FALSE)</f>
        <v>RAW_MATERIAL</v>
      </c>
      <c r="AG411" s="1">
        <v>8</v>
      </c>
      <c r="AH411" s="1" t="str">
        <f>VLOOKUP(AG411,t_entry_status!A:AE,2,FALSE)</f>
        <v>PENDING</v>
      </c>
      <c r="AI411" s="7">
        <v>45560</v>
      </c>
      <c r="AJ411" s="1" t="s">
        <v>7455</v>
      </c>
      <c r="AK411" s="7">
        <v>45560</v>
      </c>
      <c r="AL411" s="1" t="s">
        <v>7455</v>
      </c>
    </row>
    <row r="412" spans="1:38" s="20" customFormat="1" x14ac:dyDescent="0.3">
      <c r="A412" s="14">
        <v>411</v>
      </c>
      <c r="B412" s="14" t="str">
        <f>_xlfn.CONCAT(AE412,"-",VLOOKUP(AE412,t_objeto!B:D,3,FALSE),"-",A412)</f>
        <v>RMAT-PERCCO-411</v>
      </c>
      <c r="C412" s="22" t="str">
        <f t="shared" si="69"/>
        <v>LAMINA_LISA__ACERO_ROLADA EN FRIO_4'X8'_6</v>
      </c>
      <c r="D412" s="14" t="s">
        <v>7412</v>
      </c>
      <c r="E412" s="14" t="s">
        <v>7385</v>
      </c>
      <c r="F412" s="21" t="s">
        <v>7405</v>
      </c>
      <c r="G412" s="22" t="s">
        <v>7387</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7356</v>
      </c>
      <c r="AF412" s="1" t="str">
        <f>VLOOKUP(AE412,t_objeto!B:C,2,FALSE)</f>
        <v>RAW_MATERIAL</v>
      </c>
      <c r="AG412" s="1">
        <v>8</v>
      </c>
      <c r="AH412" s="1" t="str">
        <f>VLOOKUP(AG412,t_entry_status!A:AE,2,FALSE)</f>
        <v>PENDING</v>
      </c>
      <c r="AI412" s="7">
        <v>45560</v>
      </c>
      <c r="AJ412" s="1" t="s">
        <v>7455</v>
      </c>
      <c r="AK412" s="7">
        <v>45560</v>
      </c>
      <c r="AL412" s="1" t="s">
        <v>7455</v>
      </c>
    </row>
    <row r="413" spans="1:38" s="20" customFormat="1" x14ac:dyDescent="0.3">
      <c r="A413" s="14">
        <v>412</v>
      </c>
      <c r="B413" s="14" t="str">
        <f>_xlfn.CONCAT(AE413,"-",VLOOKUP(AE413,t_objeto!B:D,3,FALSE),"-",A413)</f>
        <v>RMAT-PERCCO-412</v>
      </c>
      <c r="C413" s="22" t="str">
        <f t="shared" si="69"/>
        <v>LAMINA_LISA__ACERO_ROLADA EN FRIO_4'X8'_7</v>
      </c>
      <c r="D413" s="14" t="s">
        <v>7412</v>
      </c>
      <c r="E413" s="14" t="s">
        <v>7385</v>
      </c>
      <c r="F413" s="21" t="s">
        <v>7405</v>
      </c>
      <c r="G413" s="22" t="s">
        <v>7387</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7356</v>
      </c>
      <c r="AF413" s="1" t="str">
        <f>VLOOKUP(AE413,t_objeto!B:C,2,FALSE)</f>
        <v>RAW_MATERIAL</v>
      </c>
      <c r="AG413" s="1">
        <v>8</v>
      </c>
      <c r="AH413" s="1" t="str">
        <f>VLOOKUP(AG413,t_entry_status!A:AE,2,FALSE)</f>
        <v>PENDING</v>
      </c>
      <c r="AI413" s="7">
        <v>45560</v>
      </c>
      <c r="AJ413" s="1" t="s">
        <v>7455</v>
      </c>
      <c r="AK413" s="7">
        <v>45560</v>
      </c>
      <c r="AL413" s="1" t="s">
        <v>7455</v>
      </c>
    </row>
    <row r="414" spans="1:38" s="20" customFormat="1" x14ac:dyDescent="0.3">
      <c r="A414" s="14">
        <v>413</v>
      </c>
      <c r="B414" s="14" t="str">
        <f>_xlfn.CONCAT(AE414,"-",VLOOKUP(AE414,t_objeto!B:D,3,FALSE),"-",A414)</f>
        <v>RMAT-PERCCO-413</v>
      </c>
      <c r="C414" s="22" t="str">
        <f t="shared" si="69"/>
        <v>LAMINA_LISA__ACERO_ROLADA EN FRIO_4'X8'_8</v>
      </c>
      <c r="D414" s="14" t="s">
        <v>7412</v>
      </c>
      <c r="E414" s="14" t="s">
        <v>7385</v>
      </c>
      <c r="F414" s="21" t="s">
        <v>7405</v>
      </c>
      <c r="G414" s="22" t="s">
        <v>7387</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7356</v>
      </c>
      <c r="AF414" s="1" t="str">
        <f>VLOOKUP(AE414,t_objeto!B:C,2,FALSE)</f>
        <v>RAW_MATERIAL</v>
      </c>
      <c r="AG414" s="1">
        <v>8</v>
      </c>
      <c r="AH414" s="1" t="str">
        <f>VLOOKUP(AG414,t_entry_status!A:AE,2,FALSE)</f>
        <v>PENDING</v>
      </c>
      <c r="AI414" s="7">
        <v>45560</v>
      </c>
      <c r="AJ414" s="1" t="s">
        <v>7455</v>
      </c>
      <c r="AK414" s="7">
        <v>45560</v>
      </c>
      <c r="AL414" s="1" t="s">
        <v>7455</v>
      </c>
    </row>
    <row r="415" spans="1:38" s="20" customFormat="1" x14ac:dyDescent="0.3">
      <c r="A415" s="14">
        <v>414</v>
      </c>
      <c r="B415" s="14" t="str">
        <f>_xlfn.CONCAT(AE415,"-",VLOOKUP(AE415,t_objeto!B:D,3,FALSE),"-",A415)</f>
        <v>RMAT-PERCCO-414</v>
      </c>
      <c r="C415" s="22" t="str">
        <f t="shared" si="69"/>
        <v>LAMINA_LISA__ACERO_ROLADA EN FRIO_4'X8'_9</v>
      </c>
      <c r="D415" s="14" t="s">
        <v>7412</v>
      </c>
      <c r="E415" s="14" t="s">
        <v>7385</v>
      </c>
      <c r="F415" s="21" t="s">
        <v>7405</v>
      </c>
      <c r="G415" s="22" t="s">
        <v>7387</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7356</v>
      </c>
      <c r="AF415" s="1" t="str">
        <f>VLOOKUP(AE415,t_objeto!B:C,2,FALSE)</f>
        <v>RAW_MATERIAL</v>
      </c>
      <c r="AG415" s="1">
        <v>8</v>
      </c>
      <c r="AH415" s="1" t="str">
        <f>VLOOKUP(AG415,t_entry_status!A:AE,2,FALSE)</f>
        <v>PENDING</v>
      </c>
      <c r="AI415" s="7">
        <v>45560</v>
      </c>
      <c r="AJ415" s="1" t="s">
        <v>7455</v>
      </c>
      <c r="AK415" s="7">
        <v>45560</v>
      </c>
      <c r="AL415" s="1" t="s">
        <v>7455</v>
      </c>
    </row>
    <row r="416" spans="1:38" s="20" customFormat="1" x14ac:dyDescent="0.3">
      <c r="A416" s="14">
        <v>415</v>
      </c>
      <c r="B416" s="14" t="str">
        <f>_xlfn.CONCAT(AE416,"-",VLOOKUP(AE416,t_objeto!B:D,3,FALSE),"-",A416)</f>
        <v>RMAT-PERCCO-415</v>
      </c>
      <c r="C416" s="22" t="str">
        <f t="shared" si="69"/>
        <v>LAMINA_LISA__ACERO_ROLADA EN FRIO_4'X8'_10</v>
      </c>
      <c r="D416" s="14" t="s">
        <v>7412</v>
      </c>
      <c r="E416" s="14" t="s">
        <v>7385</v>
      </c>
      <c r="F416" s="21" t="s">
        <v>7405</v>
      </c>
      <c r="G416" s="22" t="s">
        <v>7387</v>
      </c>
      <c r="H416" s="14">
        <v>10</v>
      </c>
      <c r="I416" s="16">
        <v>3.42</v>
      </c>
      <c r="J416" s="16">
        <f t="shared" si="70"/>
        <v>0.13464566929133859</v>
      </c>
      <c r="K416" s="16">
        <v>26.847000000000001</v>
      </c>
      <c r="L416" s="23">
        <v>2</v>
      </c>
      <c r="M416" s="23">
        <v>1</v>
      </c>
      <c r="N416" s="23">
        <v>10</v>
      </c>
      <c r="O416" s="23"/>
      <c r="P416" s="23"/>
      <c r="Q416" s="19" t="s">
        <v>7407</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7356</v>
      </c>
      <c r="AF416" s="1" t="str">
        <f>VLOOKUP(AE416,t_objeto!B:C,2,FALSE)</f>
        <v>RAW_MATERIAL</v>
      </c>
      <c r="AG416" s="1">
        <v>8</v>
      </c>
      <c r="AH416" s="1" t="str">
        <f>VLOOKUP(AG416,t_entry_status!A:AE,2,FALSE)</f>
        <v>PENDING</v>
      </c>
      <c r="AI416" s="7">
        <v>45560</v>
      </c>
      <c r="AJ416" s="1" t="s">
        <v>7455</v>
      </c>
      <c r="AK416" s="7">
        <v>45560</v>
      </c>
      <c r="AL416" s="1" t="s">
        <v>7455</v>
      </c>
    </row>
    <row r="417" spans="1:38" s="20" customFormat="1" x14ac:dyDescent="0.3">
      <c r="A417" s="14">
        <v>416</v>
      </c>
      <c r="B417" s="14" t="str">
        <f>_xlfn.CONCAT(AE417,"-",VLOOKUP(AE417,t_objeto!B:D,3,FALSE),"-",A417)</f>
        <v>RMAT-PERCCO-416</v>
      </c>
      <c r="C417" s="22" t="str">
        <f t="shared" si="69"/>
        <v>LAMINA_LISA__ACERO_ROLADA EN FRIO_4'X8'_1/8"</v>
      </c>
      <c r="D417" s="14" t="s">
        <v>7412</v>
      </c>
      <c r="E417" s="14" t="s">
        <v>7385</v>
      </c>
      <c r="F417" s="21" t="s">
        <v>7405</v>
      </c>
      <c r="G417" s="22" t="s">
        <v>7387</v>
      </c>
      <c r="H417" s="14" t="s">
        <v>7404</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7356</v>
      </c>
      <c r="AF417" s="1" t="str">
        <f>VLOOKUP(AE417,t_objeto!B:C,2,FALSE)</f>
        <v>RAW_MATERIAL</v>
      </c>
      <c r="AG417" s="1">
        <v>8</v>
      </c>
      <c r="AH417" s="1" t="str">
        <f>VLOOKUP(AG417,t_entry_status!A:AE,2,FALSE)</f>
        <v>PENDING</v>
      </c>
      <c r="AI417" s="7">
        <v>45560</v>
      </c>
      <c r="AJ417" s="1" t="s">
        <v>7455</v>
      </c>
      <c r="AK417" s="7">
        <v>45560</v>
      </c>
      <c r="AL417" s="1" t="s">
        <v>7455</v>
      </c>
    </row>
    <row r="418" spans="1:38" s="20" customFormat="1" x14ac:dyDescent="0.3">
      <c r="A418" s="14">
        <v>417</v>
      </c>
      <c r="B418" s="14" t="str">
        <f>_xlfn.CONCAT(AE418,"-",VLOOKUP(AE418,t_objeto!B:D,3,FALSE),"-",A418)</f>
        <v>RMAT-PERCCO-417</v>
      </c>
      <c r="C418" s="22" t="str">
        <f t="shared" si="69"/>
        <v>LAMINA_LISA__ACERO_ROLADA EN FRIO_4'X8'_11</v>
      </c>
      <c r="D418" s="14" t="s">
        <v>7412</v>
      </c>
      <c r="E418" s="14" t="s">
        <v>7385</v>
      </c>
      <c r="F418" s="21" t="s">
        <v>7405</v>
      </c>
      <c r="G418" s="22" t="s">
        <v>7387</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7356</v>
      </c>
      <c r="AF418" s="1" t="str">
        <f>VLOOKUP(AE418,t_objeto!B:C,2,FALSE)</f>
        <v>RAW_MATERIAL</v>
      </c>
      <c r="AG418" s="1">
        <v>8</v>
      </c>
      <c r="AH418" s="1" t="str">
        <f>VLOOKUP(AG418,t_entry_status!A:AE,2,FALSE)</f>
        <v>PENDING</v>
      </c>
      <c r="AI418" s="7">
        <v>45560</v>
      </c>
      <c r="AJ418" s="1" t="s">
        <v>7455</v>
      </c>
      <c r="AK418" s="7">
        <v>45560</v>
      </c>
      <c r="AL418" s="1" t="s">
        <v>7455</v>
      </c>
    </row>
    <row r="419" spans="1:38" s="20" customFormat="1" x14ac:dyDescent="0.3">
      <c r="A419" s="14">
        <v>418</v>
      </c>
      <c r="B419" s="14" t="str">
        <f>_xlfn.CONCAT(AE419,"-",VLOOKUP(AE419,t_objeto!B:D,3,FALSE),"-",A419)</f>
        <v>RMAT-PERCCO-418</v>
      </c>
      <c r="C419" s="22" t="str">
        <f t="shared" si="69"/>
        <v>LAMINA_LISA__ACERO_ROLADA EN FRIO_4'X8'_12</v>
      </c>
      <c r="D419" s="14" t="s">
        <v>7412</v>
      </c>
      <c r="E419" s="14" t="s">
        <v>7385</v>
      </c>
      <c r="F419" s="21" t="s">
        <v>7405</v>
      </c>
      <c r="G419" s="22" t="s">
        <v>7387</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7356</v>
      </c>
      <c r="AF419" s="1" t="str">
        <f>VLOOKUP(AE419,t_objeto!B:C,2,FALSE)</f>
        <v>RAW_MATERIAL</v>
      </c>
      <c r="AG419" s="1">
        <v>8</v>
      </c>
      <c r="AH419" s="1" t="str">
        <f>VLOOKUP(AG419,t_entry_status!A:AE,2,FALSE)</f>
        <v>PENDING</v>
      </c>
      <c r="AI419" s="7">
        <v>45560</v>
      </c>
      <c r="AJ419" s="1" t="s">
        <v>7455</v>
      </c>
      <c r="AK419" s="7">
        <v>45560</v>
      </c>
      <c r="AL419" s="1" t="s">
        <v>7455</v>
      </c>
    </row>
    <row r="420" spans="1:38" s="20" customFormat="1" x14ac:dyDescent="0.3">
      <c r="A420" s="14">
        <v>419</v>
      </c>
      <c r="B420" s="14" t="str">
        <f>_xlfn.CONCAT(AE420,"-",VLOOKUP(AE420,t_objeto!B:D,3,FALSE),"-",A420)</f>
        <v>RMAT-PERCCO-419</v>
      </c>
      <c r="C420" s="22" t="str">
        <f t="shared" si="69"/>
        <v>LAMINA_LISA__ACERO_ROLADA EN FRIO_4'X8'_13</v>
      </c>
      <c r="D420" s="14" t="s">
        <v>7412</v>
      </c>
      <c r="E420" s="14" t="s">
        <v>7385</v>
      </c>
      <c r="F420" s="21" t="s">
        <v>7405</v>
      </c>
      <c r="G420" s="22" t="s">
        <v>7387</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7356</v>
      </c>
      <c r="AF420" s="1" t="str">
        <f>VLOOKUP(AE420,t_objeto!B:C,2,FALSE)</f>
        <v>RAW_MATERIAL</v>
      </c>
      <c r="AG420" s="1">
        <v>8</v>
      </c>
      <c r="AH420" s="1" t="str">
        <f>VLOOKUP(AG420,t_entry_status!A:AE,2,FALSE)</f>
        <v>PENDING</v>
      </c>
      <c r="AI420" s="7">
        <v>45560</v>
      </c>
      <c r="AJ420" s="1" t="s">
        <v>7455</v>
      </c>
      <c r="AK420" s="7">
        <v>45560</v>
      </c>
      <c r="AL420" s="1" t="s">
        <v>7455</v>
      </c>
    </row>
    <row r="421" spans="1:38" s="20" customFormat="1" x14ac:dyDescent="0.3">
      <c r="A421" s="14">
        <v>420</v>
      </c>
      <c r="B421" s="14" t="str">
        <f>_xlfn.CONCAT(AE421,"-",VLOOKUP(AE421,t_objeto!B:D,3,FALSE),"-",A421)</f>
        <v>RMAT-PERCCO-420</v>
      </c>
      <c r="C421" s="22" t="str">
        <f t="shared" si="69"/>
        <v>LAMINA_LISA__ACERO_ROLADA EN FRIO_4'X8'_14</v>
      </c>
      <c r="D421" s="14" t="s">
        <v>7412</v>
      </c>
      <c r="E421" s="14" t="s">
        <v>7385</v>
      </c>
      <c r="F421" s="21" t="s">
        <v>7405</v>
      </c>
      <c r="G421" s="22" t="s">
        <v>7387</v>
      </c>
      <c r="H421" s="14">
        <v>14</v>
      </c>
      <c r="I421" s="16">
        <v>1.9</v>
      </c>
      <c r="J421" s="16">
        <f t="shared" si="70"/>
        <v>7.4803149606299218E-2</v>
      </c>
      <c r="K421" s="16">
        <v>14.914999999999999</v>
      </c>
      <c r="L421" s="23">
        <v>5</v>
      </c>
      <c r="M421" s="23">
        <v>1</v>
      </c>
      <c r="N421" s="23">
        <v>10</v>
      </c>
      <c r="O421" s="23"/>
      <c r="P421" s="23"/>
      <c r="Q421" s="19" t="s">
        <v>7407</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7356</v>
      </c>
      <c r="AF421" s="1" t="str">
        <f>VLOOKUP(AE421,t_objeto!B:C,2,FALSE)</f>
        <v>RAW_MATERIAL</v>
      </c>
      <c r="AG421" s="1">
        <v>8</v>
      </c>
      <c r="AH421" s="1" t="str">
        <f>VLOOKUP(AG421,t_entry_status!A:AE,2,FALSE)</f>
        <v>PENDING</v>
      </c>
      <c r="AI421" s="7">
        <v>45560</v>
      </c>
      <c r="AJ421" s="1" t="s">
        <v>7455</v>
      </c>
      <c r="AK421" s="7">
        <v>45560</v>
      </c>
      <c r="AL421" s="1" t="s">
        <v>7455</v>
      </c>
    </row>
    <row r="422" spans="1:38" s="20" customFormat="1" x14ac:dyDescent="0.3">
      <c r="A422" s="14">
        <v>421</v>
      </c>
      <c r="B422" s="14" t="str">
        <f>_xlfn.CONCAT(AE422,"-",VLOOKUP(AE422,t_objeto!B:D,3,FALSE),"-",A422)</f>
        <v>RMAT-PERCCO-421</v>
      </c>
      <c r="C422" s="22" t="str">
        <f t="shared" si="69"/>
        <v>LAMINA_LISA__ACERO_ROLADA EN FRIO_4'X8'_15</v>
      </c>
      <c r="D422" s="14" t="s">
        <v>7412</v>
      </c>
      <c r="E422" s="14" t="s">
        <v>7385</v>
      </c>
      <c r="F422" s="21" t="s">
        <v>7405</v>
      </c>
      <c r="G422" s="22" t="s">
        <v>7387</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7356</v>
      </c>
      <c r="AF422" s="1" t="str">
        <f>VLOOKUP(AE422,t_objeto!B:C,2,FALSE)</f>
        <v>RAW_MATERIAL</v>
      </c>
      <c r="AG422" s="1">
        <v>8</v>
      </c>
      <c r="AH422" s="1" t="str">
        <f>VLOOKUP(AG422,t_entry_status!A:AE,2,FALSE)</f>
        <v>PENDING</v>
      </c>
      <c r="AI422" s="7">
        <v>45560</v>
      </c>
      <c r="AJ422" s="1" t="s">
        <v>7455</v>
      </c>
      <c r="AK422" s="7">
        <v>45560</v>
      </c>
      <c r="AL422" s="1" t="s">
        <v>7455</v>
      </c>
    </row>
    <row r="423" spans="1:38" s="20" customFormat="1" x14ac:dyDescent="0.3">
      <c r="A423" s="14">
        <v>422</v>
      </c>
      <c r="B423" s="14" t="str">
        <f>_xlfn.CONCAT(AE423,"-",VLOOKUP(AE423,t_objeto!B:D,3,FALSE),"-",A423)</f>
        <v>RMAT-PERCCO-422</v>
      </c>
      <c r="C423" s="22" t="str">
        <f t="shared" si="69"/>
        <v>LAMINA_LISA__ACERO_ROLADA EN FRIO_4'X8'_16</v>
      </c>
      <c r="D423" s="14" t="s">
        <v>7412</v>
      </c>
      <c r="E423" s="14" t="s">
        <v>7385</v>
      </c>
      <c r="F423" s="21" t="s">
        <v>7405</v>
      </c>
      <c r="G423" s="22" t="s">
        <v>7387</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7356</v>
      </c>
      <c r="AF423" s="1" t="str">
        <f>VLOOKUP(AE423,t_objeto!B:C,2,FALSE)</f>
        <v>RAW_MATERIAL</v>
      </c>
      <c r="AG423" s="1">
        <v>8</v>
      </c>
      <c r="AH423" s="1" t="str">
        <f>VLOOKUP(AG423,t_entry_status!A:AE,2,FALSE)</f>
        <v>PENDING</v>
      </c>
      <c r="AI423" s="7">
        <v>45560</v>
      </c>
      <c r="AJ423" s="1" t="s">
        <v>7455</v>
      </c>
      <c r="AK423" s="7">
        <v>45560</v>
      </c>
      <c r="AL423" s="1" t="s">
        <v>7455</v>
      </c>
    </row>
    <row r="424" spans="1:38" s="20" customFormat="1" x14ac:dyDescent="0.3">
      <c r="A424" s="14">
        <v>423</v>
      </c>
      <c r="B424" s="14" t="str">
        <f>_xlfn.CONCAT(AE424,"-",VLOOKUP(AE424,t_objeto!B:D,3,FALSE),"-",A424)</f>
        <v>RMAT-PERCCO-423</v>
      </c>
      <c r="C424" s="22" t="str">
        <f t="shared" si="69"/>
        <v>LAMINA_LISA__ACERO_ROLADA EN FRIO_4'X8'_17</v>
      </c>
      <c r="D424" s="14" t="s">
        <v>7412</v>
      </c>
      <c r="E424" s="14" t="s">
        <v>7385</v>
      </c>
      <c r="F424" s="21" t="s">
        <v>7405</v>
      </c>
      <c r="G424" s="22" t="s">
        <v>7387</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7356</v>
      </c>
      <c r="AF424" s="1" t="str">
        <f>VLOOKUP(AE424,t_objeto!B:C,2,FALSE)</f>
        <v>RAW_MATERIAL</v>
      </c>
      <c r="AG424" s="1">
        <v>8</v>
      </c>
      <c r="AH424" s="1" t="str">
        <f>VLOOKUP(AG424,t_entry_status!A:AE,2,FALSE)</f>
        <v>PENDING</v>
      </c>
      <c r="AI424" s="7">
        <v>45560</v>
      </c>
      <c r="AJ424" s="1" t="s">
        <v>7455</v>
      </c>
      <c r="AK424" s="7">
        <v>45560</v>
      </c>
      <c r="AL424" s="1" t="s">
        <v>7455</v>
      </c>
    </row>
    <row r="425" spans="1:38" s="20" customFormat="1" x14ac:dyDescent="0.3">
      <c r="A425" s="14">
        <v>424</v>
      </c>
      <c r="B425" s="14" t="str">
        <f>_xlfn.CONCAT(AE425,"-",VLOOKUP(AE425,t_objeto!B:D,3,FALSE),"-",A425)</f>
        <v>RMAT-PERCCO-424</v>
      </c>
      <c r="C425" s="22" t="str">
        <f t="shared" si="69"/>
        <v>LAMINA_LISA__ACERO_ROLADA EN FRIO_4'X8'_18</v>
      </c>
      <c r="D425" s="14" t="s">
        <v>7412</v>
      </c>
      <c r="E425" s="14" t="s">
        <v>7385</v>
      </c>
      <c r="F425" s="21" t="s">
        <v>7405</v>
      </c>
      <c r="G425" s="22" t="s">
        <v>7387</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7356</v>
      </c>
      <c r="AF425" s="1" t="str">
        <f>VLOOKUP(AE425,t_objeto!B:C,2,FALSE)</f>
        <v>RAW_MATERIAL</v>
      </c>
      <c r="AG425" s="1">
        <v>8</v>
      </c>
      <c r="AH425" s="1" t="str">
        <f>VLOOKUP(AG425,t_entry_status!A:AE,2,FALSE)</f>
        <v>PENDING</v>
      </c>
      <c r="AI425" s="7">
        <v>45560</v>
      </c>
      <c r="AJ425" s="1" t="s">
        <v>7455</v>
      </c>
      <c r="AK425" s="7">
        <v>45560</v>
      </c>
      <c r="AL425" s="1" t="s">
        <v>7455</v>
      </c>
    </row>
    <row r="426" spans="1:38" s="20" customFormat="1" x14ac:dyDescent="0.3">
      <c r="A426" s="14">
        <v>425</v>
      </c>
      <c r="B426" s="14" t="str">
        <f>_xlfn.CONCAT(AE426,"-",VLOOKUP(AE426,t_objeto!B:D,3,FALSE),"-",A426)</f>
        <v>RMAT-PERCCO-425</v>
      </c>
      <c r="C426" s="22" t="str">
        <f t="shared" si="69"/>
        <v>LAMINA_LISA__ACERO_ROLADA EN FRIO_4'X8'_19</v>
      </c>
      <c r="D426" s="14" t="s">
        <v>7412</v>
      </c>
      <c r="E426" s="14" t="s">
        <v>7385</v>
      </c>
      <c r="F426" s="21" t="s">
        <v>7405</v>
      </c>
      <c r="G426" s="22" t="s">
        <v>7387</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7356</v>
      </c>
      <c r="AF426" s="1" t="str">
        <f>VLOOKUP(AE426,t_objeto!B:C,2,FALSE)</f>
        <v>RAW_MATERIAL</v>
      </c>
      <c r="AG426" s="1">
        <v>8</v>
      </c>
      <c r="AH426" s="1" t="str">
        <f>VLOOKUP(AG426,t_entry_status!A:AE,2,FALSE)</f>
        <v>PENDING</v>
      </c>
      <c r="AI426" s="7">
        <v>45560</v>
      </c>
      <c r="AJ426" s="1" t="s">
        <v>7455</v>
      </c>
      <c r="AK426" s="7">
        <v>45560</v>
      </c>
      <c r="AL426" s="1" t="s">
        <v>7455</v>
      </c>
    </row>
    <row r="427" spans="1:38" s="20" customFormat="1" x14ac:dyDescent="0.3">
      <c r="A427" s="14">
        <v>426</v>
      </c>
      <c r="B427" s="14" t="str">
        <f>_xlfn.CONCAT(AE427,"-",VLOOKUP(AE427,t_objeto!B:D,3,FALSE),"-",A427)</f>
        <v>RMAT-PERCCO-426</v>
      </c>
      <c r="C427" s="22" t="str">
        <f t="shared" si="69"/>
        <v>LAMINA_LISA__ACERO_ROLADA EN FRIO_4'X8'_20</v>
      </c>
      <c r="D427" s="14" t="s">
        <v>7412</v>
      </c>
      <c r="E427" s="14" t="s">
        <v>7385</v>
      </c>
      <c r="F427" s="21" t="s">
        <v>7405</v>
      </c>
      <c r="G427" s="22" t="s">
        <v>7387</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7356</v>
      </c>
      <c r="AF427" s="1" t="str">
        <f>VLOOKUP(AE427,t_objeto!B:C,2,FALSE)</f>
        <v>RAW_MATERIAL</v>
      </c>
      <c r="AG427" s="1">
        <v>8</v>
      </c>
      <c r="AH427" s="1" t="str">
        <f>VLOOKUP(AG427,t_entry_status!A:AE,2,FALSE)</f>
        <v>PENDING</v>
      </c>
      <c r="AI427" s="7">
        <v>45560</v>
      </c>
      <c r="AJ427" s="1" t="s">
        <v>7455</v>
      </c>
      <c r="AK427" s="7">
        <v>45560</v>
      </c>
      <c r="AL427" s="1" t="s">
        <v>7455</v>
      </c>
    </row>
    <row r="428" spans="1:38" s="20" customFormat="1" x14ac:dyDescent="0.3">
      <c r="A428" s="14">
        <v>427</v>
      </c>
      <c r="B428" s="14" t="str">
        <f>_xlfn.CONCAT(AE428,"-",VLOOKUP(AE428,t_objeto!B:D,3,FALSE),"-",A428)</f>
        <v>RMAT-PERCCO-427</v>
      </c>
      <c r="C428" s="22" t="str">
        <f t="shared" si="69"/>
        <v>LAMINA_LISA__ACERO_ROLADA EN FRIO_4'X8'_21</v>
      </c>
      <c r="D428" s="14" t="s">
        <v>7412</v>
      </c>
      <c r="E428" s="14" t="s">
        <v>7385</v>
      </c>
      <c r="F428" s="21" t="s">
        <v>7405</v>
      </c>
      <c r="G428" s="22" t="s">
        <v>7387</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7356</v>
      </c>
      <c r="AF428" s="1" t="str">
        <f>VLOOKUP(AE428,t_objeto!B:C,2,FALSE)</f>
        <v>RAW_MATERIAL</v>
      </c>
      <c r="AG428" s="1">
        <v>8</v>
      </c>
      <c r="AH428" s="1" t="str">
        <f>VLOOKUP(AG428,t_entry_status!A:AE,2,FALSE)</f>
        <v>PENDING</v>
      </c>
      <c r="AI428" s="7">
        <v>45560</v>
      </c>
      <c r="AJ428" s="1" t="s">
        <v>7455</v>
      </c>
      <c r="AK428" s="7">
        <v>45560</v>
      </c>
      <c r="AL428" s="1" t="s">
        <v>7455</v>
      </c>
    </row>
    <row r="429" spans="1:38" s="20" customFormat="1" x14ac:dyDescent="0.3">
      <c r="A429" s="14">
        <v>428</v>
      </c>
      <c r="B429" s="14" t="str">
        <f>_xlfn.CONCAT(AE429,"-",VLOOKUP(AE429,t_objeto!B:D,3,FALSE),"-",A429)</f>
        <v>RMAT-PERCCO-428</v>
      </c>
      <c r="C429" s="22" t="str">
        <f t="shared" si="69"/>
        <v>LAMINA_LISA__ACERO_ROLADA EN FRIO_4'X8'_22</v>
      </c>
      <c r="D429" s="14" t="s">
        <v>7412</v>
      </c>
      <c r="E429" s="14" t="s">
        <v>7385</v>
      </c>
      <c r="F429" s="21" t="s">
        <v>7405</v>
      </c>
      <c r="G429" s="22" t="s">
        <v>7387</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7356</v>
      </c>
      <c r="AF429" s="1" t="str">
        <f>VLOOKUP(AE429,t_objeto!B:C,2,FALSE)</f>
        <v>RAW_MATERIAL</v>
      </c>
      <c r="AG429" s="1">
        <v>8</v>
      </c>
      <c r="AH429" s="1" t="str">
        <f>VLOOKUP(AG429,t_entry_status!A:AE,2,FALSE)</f>
        <v>PENDING</v>
      </c>
      <c r="AI429" s="7">
        <v>45560</v>
      </c>
      <c r="AJ429" s="1" t="s">
        <v>7455</v>
      </c>
      <c r="AK429" s="7">
        <v>45560</v>
      </c>
      <c r="AL429" s="1" t="s">
        <v>7455</v>
      </c>
    </row>
    <row r="430" spans="1:38" s="20" customFormat="1" x14ac:dyDescent="0.3">
      <c r="A430" s="14">
        <v>429</v>
      </c>
      <c r="B430" s="14" t="str">
        <f>_xlfn.CONCAT(AE430,"-",VLOOKUP(AE430,t_objeto!B:D,3,FALSE),"-",A430)</f>
        <v>RMAT-PERCCO-429</v>
      </c>
      <c r="C430" s="22" t="str">
        <f t="shared" si="69"/>
        <v>LAMINA_LISA__ACERO_ROLADA EN FRIO_4'X8'_23</v>
      </c>
      <c r="D430" s="14" t="s">
        <v>7412</v>
      </c>
      <c r="E430" s="14" t="s">
        <v>7385</v>
      </c>
      <c r="F430" s="21" t="s">
        <v>7405</v>
      </c>
      <c r="G430" s="22" t="s">
        <v>7387</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7356</v>
      </c>
      <c r="AF430" s="1" t="str">
        <f>VLOOKUP(AE430,t_objeto!B:C,2,FALSE)</f>
        <v>RAW_MATERIAL</v>
      </c>
      <c r="AG430" s="1">
        <v>8</v>
      </c>
      <c r="AH430" s="1" t="str">
        <f>VLOOKUP(AG430,t_entry_status!A:AE,2,FALSE)</f>
        <v>PENDING</v>
      </c>
      <c r="AI430" s="7">
        <v>45560</v>
      </c>
      <c r="AJ430" s="1" t="s">
        <v>7455</v>
      </c>
      <c r="AK430" s="7">
        <v>45560</v>
      </c>
      <c r="AL430" s="1" t="s">
        <v>7455</v>
      </c>
    </row>
    <row r="431" spans="1:38" s="20" customFormat="1" x14ac:dyDescent="0.3">
      <c r="A431" s="14">
        <v>430</v>
      </c>
      <c r="B431" s="14" t="str">
        <f>_xlfn.CONCAT(AE431,"-",VLOOKUP(AE431,t_objeto!B:D,3,FALSE),"-",A431)</f>
        <v>RMAT-PERCCO-430</v>
      </c>
      <c r="C431" s="22" t="str">
        <f t="shared" si="69"/>
        <v>LAMINA_LISA__ACERO_ROLADA EN FRIO_4'X8'_24</v>
      </c>
      <c r="D431" s="14" t="s">
        <v>7412</v>
      </c>
      <c r="E431" s="14" t="s">
        <v>7385</v>
      </c>
      <c r="F431" s="21" t="s">
        <v>7405</v>
      </c>
      <c r="G431" s="22" t="s">
        <v>7387</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7356</v>
      </c>
      <c r="AF431" s="1" t="str">
        <f>VLOOKUP(AE431,t_objeto!B:C,2,FALSE)</f>
        <v>RAW_MATERIAL</v>
      </c>
      <c r="AG431" s="1">
        <v>8</v>
      </c>
      <c r="AH431" s="1" t="str">
        <f>VLOOKUP(AG431,t_entry_status!A:AE,2,FALSE)</f>
        <v>PENDING</v>
      </c>
      <c r="AI431" s="7">
        <v>45560</v>
      </c>
      <c r="AJ431" s="1" t="s">
        <v>7455</v>
      </c>
      <c r="AK431" s="7">
        <v>45560</v>
      </c>
      <c r="AL431" s="1" t="s">
        <v>7455</v>
      </c>
    </row>
    <row r="432" spans="1:38" s="20" customFormat="1" x14ac:dyDescent="0.3">
      <c r="A432" s="14">
        <v>431</v>
      </c>
      <c r="B432" s="14" t="str">
        <f>_xlfn.CONCAT(AE432,"-",VLOOKUP(AE432,t_objeto!B:D,3,FALSE),"-",A432)</f>
        <v>RMAT-PERCCO-431</v>
      </c>
      <c r="C432" s="22" t="str">
        <f t="shared" si="69"/>
        <v>LAMINA_LISA__ACERO_ROLADA EN FRIO_4'X8'_25</v>
      </c>
      <c r="D432" s="14" t="s">
        <v>7412</v>
      </c>
      <c r="E432" s="14" t="s">
        <v>7385</v>
      </c>
      <c r="F432" s="21" t="s">
        <v>7405</v>
      </c>
      <c r="G432" s="22" t="s">
        <v>7387</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7356</v>
      </c>
      <c r="AF432" s="1" t="str">
        <f>VLOOKUP(AE432,t_objeto!B:C,2,FALSE)</f>
        <v>RAW_MATERIAL</v>
      </c>
      <c r="AG432" s="1">
        <v>8</v>
      </c>
      <c r="AH432" s="1" t="str">
        <f>VLOOKUP(AG432,t_entry_status!A:AE,2,FALSE)</f>
        <v>PENDING</v>
      </c>
      <c r="AI432" s="7">
        <v>45560</v>
      </c>
      <c r="AJ432" s="1" t="s">
        <v>7455</v>
      </c>
      <c r="AK432" s="7">
        <v>45560</v>
      </c>
      <c r="AL432" s="1" t="s">
        <v>7455</v>
      </c>
    </row>
    <row r="433" spans="1:38" s="20" customFormat="1" x14ac:dyDescent="0.3">
      <c r="A433" s="14">
        <v>432</v>
      </c>
      <c r="B433" s="14" t="str">
        <f>_xlfn.CONCAT(AE433,"-",VLOOKUP(AE433,t_objeto!B:D,3,FALSE),"-",A433)</f>
        <v>RMAT-PERCCO-432</v>
      </c>
      <c r="C433" s="22" t="str">
        <f t="shared" si="69"/>
        <v>LAMINA_LISA__ACERO_ROLADA EN FRIO_4'X8'_26</v>
      </c>
      <c r="D433" s="14" t="s">
        <v>7412</v>
      </c>
      <c r="E433" s="14" t="s">
        <v>7385</v>
      </c>
      <c r="F433" s="21" t="s">
        <v>7405</v>
      </c>
      <c r="G433" s="22" t="s">
        <v>7387</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7356</v>
      </c>
      <c r="AF433" s="1" t="str">
        <f>VLOOKUP(AE433,t_objeto!B:C,2,FALSE)</f>
        <v>RAW_MATERIAL</v>
      </c>
      <c r="AG433" s="1">
        <v>8</v>
      </c>
      <c r="AH433" s="1" t="str">
        <f>VLOOKUP(AG433,t_entry_status!A:AE,2,FALSE)</f>
        <v>PENDING</v>
      </c>
      <c r="AI433" s="7">
        <v>45560</v>
      </c>
      <c r="AJ433" s="1" t="s">
        <v>7455</v>
      </c>
      <c r="AK433" s="7">
        <v>45560</v>
      </c>
      <c r="AL433" s="1" t="s">
        <v>7455</v>
      </c>
    </row>
    <row r="434" spans="1:38" s="20" customFormat="1" x14ac:dyDescent="0.3">
      <c r="A434" s="14">
        <v>433</v>
      </c>
      <c r="B434" s="14" t="str">
        <f>_xlfn.CONCAT(AE434,"-",VLOOKUP(AE434,t_objeto!B:D,3,FALSE),"-",A434)</f>
        <v>RMAT-PERCCO-433</v>
      </c>
      <c r="C434" s="22" t="str">
        <f t="shared" si="69"/>
        <v>LAMINA_LISA__ACERO_ROLADA EN FRIO_4'X8'_27</v>
      </c>
      <c r="D434" s="14" t="s">
        <v>7412</v>
      </c>
      <c r="E434" s="14" t="s">
        <v>7385</v>
      </c>
      <c r="F434" s="21" t="s">
        <v>7405</v>
      </c>
      <c r="G434" s="22" t="s">
        <v>7387</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7356</v>
      </c>
      <c r="AF434" s="1" t="str">
        <f>VLOOKUP(AE434,t_objeto!B:C,2,FALSE)</f>
        <v>RAW_MATERIAL</v>
      </c>
      <c r="AG434" s="1">
        <v>8</v>
      </c>
      <c r="AH434" s="1" t="str">
        <f>VLOOKUP(AG434,t_entry_status!A:AE,2,FALSE)</f>
        <v>PENDING</v>
      </c>
      <c r="AI434" s="7">
        <v>45560</v>
      </c>
      <c r="AJ434" s="1" t="s">
        <v>7455</v>
      </c>
      <c r="AK434" s="7">
        <v>45560</v>
      </c>
      <c r="AL434" s="1" t="s">
        <v>7455</v>
      </c>
    </row>
    <row r="435" spans="1:38" s="20" customFormat="1" x14ac:dyDescent="0.3">
      <c r="A435" s="14">
        <v>434</v>
      </c>
      <c r="B435" s="14" t="str">
        <f>_xlfn.CONCAT(AE435,"-",VLOOKUP(AE435,t_objeto!B:D,3,FALSE),"-",A435)</f>
        <v>RMAT-PERCCO-434</v>
      </c>
      <c r="C435" s="22" t="str">
        <f t="shared" si="69"/>
        <v>LAMINA_LISA__ACERO_ROLADA EN FRIO_4'X8'_28</v>
      </c>
      <c r="D435" s="14" t="s">
        <v>7412</v>
      </c>
      <c r="E435" s="14" t="s">
        <v>7385</v>
      </c>
      <c r="F435" s="21" t="s">
        <v>7405</v>
      </c>
      <c r="G435" s="22" t="s">
        <v>7387</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7356</v>
      </c>
      <c r="AF435" s="1" t="str">
        <f>VLOOKUP(AE435,t_objeto!B:C,2,FALSE)</f>
        <v>RAW_MATERIAL</v>
      </c>
      <c r="AG435" s="1">
        <v>8</v>
      </c>
      <c r="AH435" s="1" t="str">
        <f>VLOOKUP(AG435,t_entry_status!A:AE,2,FALSE)</f>
        <v>PENDING</v>
      </c>
      <c r="AI435" s="7">
        <v>45560</v>
      </c>
      <c r="AJ435" s="1" t="s">
        <v>7455</v>
      </c>
      <c r="AK435" s="7">
        <v>45560</v>
      </c>
      <c r="AL435" s="1" t="s">
        <v>7455</v>
      </c>
    </row>
    <row r="436" spans="1:38" s="20" customFormat="1" x14ac:dyDescent="0.3">
      <c r="A436" s="14">
        <v>435</v>
      </c>
      <c r="B436" s="14" t="str">
        <f>_xlfn.CONCAT(AE436,"-",VLOOKUP(AE436,t_objeto!B:D,3,FALSE),"-",A436)</f>
        <v>RMAT-PERCCO-435</v>
      </c>
      <c r="C436" s="22" t="str">
        <f t="shared" si="69"/>
        <v>LAMINA_LISA__ACERO_ROLADA EN FRIO_4'X8'_29</v>
      </c>
      <c r="D436" s="14" t="s">
        <v>7412</v>
      </c>
      <c r="E436" s="14" t="s">
        <v>7385</v>
      </c>
      <c r="F436" s="21" t="s">
        <v>7405</v>
      </c>
      <c r="G436" s="22" t="s">
        <v>7387</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7356</v>
      </c>
      <c r="AF436" s="1" t="str">
        <f>VLOOKUP(AE436,t_objeto!B:C,2,FALSE)</f>
        <v>RAW_MATERIAL</v>
      </c>
      <c r="AG436" s="1">
        <v>8</v>
      </c>
      <c r="AH436" s="1" t="str">
        <f>VLOOKUP(AG436,t_entry_status!A:AE,2,FALSE)</f>
        <v>PENDING</v>
      </c>
      <c r="AI436" s="7">
        <v>45560</v>
      </c>
      <c r="AJ436" s="1" t="s">
        <v>7455</v>
      </c>
      <c r="AK436" s="7">
        <v>45560</v>
      </c>
      <c r="AL436" s="1" t="s">
        <v>7455</v>
      </c>
    </row>
    <row r="437" spans="1:38" s="20" customFormat="1" x14ac:dyDescent="0.3">
      <c r="A437" s="14">
        <v>436</v>
      </c>
      <c r="B437" s="14" t="str">
        <f>_xlfn.CONCAT(AE437,"-",VLOOKUP(AE437,t_objeto!B:D,3,FALSE),"-",A437)</f>
        <v>RMAT-PERCCO-436</v>
      </c>
      <c r="C437" s="22" t="str">
        <f t="shared" si="69"/>
        <v>LAMINA_LISA__ACERO_ROLADA EN FRIO_4'X8'_30</v>
      </c>
      <c r="D437" s="14" t="s">
        <v>7412</v>
      </c>
      <c r="E437" s="14" t="s">
        <v>7385</v>
      </c>
      <c r="F437" s="21" t="s">
        <v>7405</v>
      </c>
      <c r="G437" s="22" t="s">
        <v>7387</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7356</v>
      </c>
      <c r="AF437" s="1" t="str">
        <f>VLOOKUP(AE437,t_objeto!B:C,2,FALSE)</f>
        <v>RAW_MATERIAL</v>
      </c>
      <c r="AG437" s="1">
        <v>8</v>
      </c>
      <c r="AH437" s="1" t="str">
        <f>VLOOKUP(AG437,t_entry_status!A:AE,2,FALSE)</f>
        <v>PENDING</v>
      </c>
      <c r="AI437" s="7">
        <v>45560</v>
      </c>
      <c r="AJ437" s="1" t="s">
        <v>7455</v>
      </c>
      <c r="AK437" s="7">
        <v>45560</v>
      </c>
      <c r="AL437" s="1" t="s">
        <v>7455</v>
      </c>
    </row>
    <row r="438" spans="1:38" s="20" customFormat="1" x14ac:dyDescent="0.3">
      <c r="A438" s="14">
        <v>437</v>
      </c>
      <c r="B438" s="14" t="str">
        <f>_xlfn.CONCAT(AE438,"-",VLOOKUP(AE438,t_objeto!B:D,3,FALSE),"-",A438)</f>
        <v>RMAT-PERCCO-437</v>
      </c>
      <c r="C438" s="22" t="str">
        <f t="shared" si="69"/>
        <v>LAMINA_LISA__INOX_304/316 L_4'X8'_10</v>
      </c>
      <c r="D438" s="14" t="s">
        <v>7412</v>
      </c>
      <c r="E438" s="14" t="s">
        <v>7408</v>
      </c>
      <c r="F438" s="21" t="s">
        <v>7409</v>
      </c>
      <c r="G438" s="22" t="s">
        <v>7387</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7356</v>
      </c>
      <c r="AF438" s="1" t="str">
        <f>VLOOKUP(AE438,t_objeto!B:C,2,FALSE)</f>
        <v>RAW_MATERIAL</v>
      </c>
      <c r="AG438" s="1">
        <v>8</v>
      </c>
      <c r="AH438" s="1" t="str">
        <f>VLOOKUP(AG438,t_entry_status!A:AE,2,FALSE)</f>
        <v>PENDING</v>
      </c>
      <c r="AI438" s="7">
        <v>45560</v>
      </c>
      <c r="AJ438" s="1" t="s">
        <v>7455</v>
      </c>
      <c r="AK438" s="7">
        <v>45560</v>
      </c>
      <c r="AL438" s="1" t="s">
        <v>7455</v>
      </c>
    </row>
    <row r="439" spans="1:38" s="20" customFormat="1" x14ac:dyDescent="0.3">
      <c r="A439" s="14">
        <v>438</v>
      </c>
      <c r="B439" s="14" t="str">
        <f>_xlfn.CONCAT(AE439,"-",VLOOKUP(AE439,t_objeto!B:D,3,FALSE),"-",A439)</f>
        <v>RMAT-PERCCO-438</v>
      </c>
      <c r="C439" s="22" t="str">
        <f t="shared" si="69"/>
        <v>LAMINA_LISA__INOX_304/316 L_4'X8'_11</v>
      </c>
      <c r="D439" s="14" t="s">
        <v>7412</v>
      </c>
      <c r="E439" s="14" t="s">
        <v>7408</v>
      </c>
      <c r="F439" s="21" t="s">
        <v>7409</v>
      </c>
      <c r="G439" s="22" t="s">
        <v>7387</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7356</v>
      </c>
      <c r="AF439" s="1" t="str">
        <f>VLOOKUP(AE439,t_objeto!B:C,2,FALSE)</f>
        <v>RAW_MATERIAL</v>
      </c>
      <c r="AG439" s="1">
        <v>8</v>
      </c>
      <c r="AH439" s="1" t="str">
        <f>VLOOKUP(AG439,t_entry_status!A:AE,2,FALSE)</f>
        <v>PENDING</v>
      </c>
      <c r="AI439" s="7">
        <v>45560</v>
      </c>
      <c r="AJ439" s="1" t="s">
        <v>7455</v>
      </c>
      <c r="AK439" s="7">
        <v>45560</v>
      </c>
      <c r="AL439" s="1" t="s">
        <v>7455</v>
      </c>
    </row>
    <row r="440" spans="1:38" s="20" customFormat="1" x14ac:dyDescent="0.3">
      <c r="A440" s="14">
        <v>439</v>
      </c>
      <c r="B440" s="14" t="str">
        <f>_xlfn.CONCAT(AE440,"-",VLOOKUP(AE440,t_objeto!B:D,3,FALSE),"-",A440)</f>
        <v>RMAT-PERCCO-439</v>
      </c>
      <c r="C440" s="22" t="str">
        <f t="shared" si="69"/>
        <v>LAMINA_LISA__INOX_304/316 L_4'X8'_12</v>
      </c>
      <c r="D440" s="14" t="s">
        <v>7412</v>
      </c>
      <c r="E440" s="14" t="s">
        <v>7408</v>
      </c>
      <c r="F440" s="21" t="s">
        <v>7409</v>
      </c>
      <c r="G440" s="22" t="s">
        <v>7387</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7356</v>
      </c>
      <c r="AF440" s="1" t="str">
        <f>VLOOKUP(AE440,t_objeto!B:C,2,FALSE)</f>
        <v>RAW_MATERIAL</v>
      </c>
      <c r="AG440" s="1">
        <v>8</v>
      </c>
      <c r="AH440" s="1" t="str">
        <f>VLOOKUP(AG440,t_entry_status!A:AE,2,FALSE)</f>
        <v>PENDING</v>
      </c>
      <c r="AI440" s="7">
        <v>45560</v>
      </c>
      <c r="AJ440" s="1" t="s">
        <v>7455</v>
      </c>
      <c r="AK440" s="7">
        <v>45560</v>
      </c>
      <c r="AL440" s="1" t="s">
        <v>7455</v>
      </c>
    </row>
    <row r="441" spans="1:38" s="20" customFormat="1" x14ac:dyDescent="0.3">
      <c r="A441" s="14">
        <v>440</v>
      </c>
      <c r="B441" s="14" t="str">
        <f>_xlfn.CONCAT(AE441,"-",VLOOKUP(AE441,t_objeto!B:D,3,FALSE),"-",A441)</f>
        <v>RMAT-PERCCO-440</v>
      </c>
      <c r="C441" s="22" t="str">
        <f t="shared" si="69"/>
        <v>LAMINA_LISA__INOX_304/316 L_4'X8'_13</v>
      </c>
      <c r="D441" s="14" t="s">
        <v>7412</v>
      </c>
      <c r="E441" s="14" t="s">
        <v>7408</v>
      </c>
      <c r="F441" s="21" t="s">
        <v>7409</v>
      </c>
      <c r="G441" s="22" t="s">
        <v>7387</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7356</v>
      </c>
      <c r="AF441" s="1" t="str">
        <f>VLOOKUP(AE441,t_objeto!B:C,2,FALSE)</f>
        <v>RAW_MATERIAL</v>
      </c>
      <c r="AG441" s="1">
        <v>8</v>
      </c>
      <c r="AH441" s="1" t="str">
        <f>VLOOKUP(AG441,t_entry_status!A:AE,2,FALSE)</f>
        <v>PENDING</v>
      </c>
      <c r="AI441" s="7">
        <v>45560</v>
      </c>
      <c r="AJ441" s="1" t="s">
        <v>7455</v>
      </c>
      <c r="AK441" s="7">
        <v>45560</v>
      </c>
      <c r="AL441" s="1" t="s">
        <v>7455</v>
      </c>
    </row>
    <row r="442" spans="1:38" s="20" customFormat="1" x14ac:dyDescent="0.3">
      <c r="A442" s="14">
        <v>441</v>
      </c>
      <c r="B442" s="14" t="str">
        <f>_xlfn.CONCAT(AE442,"-",VLOOKUP(AE442,t_objeto!B:D,3,FALSE),"-",A442)</f>
        <v>RMAT-PERCCO-441</v>
      </c>
      <c r="C442" s="22" t="str">
        <f t="shared" si="69"/>
        <v>LAMINA_LISA__INOX_304/316 L_4'X8'_14</v>
      </c>
      <c r="D442" s="14" t="s">
        <v>7412</v>
      </c>
      <c r="E442" s="14" t="s">
        <v>7408</v>
      </c>
      <c r="F442" s="21" t="s">
        <v>7409</v>
      </c>
      <c r="G442" s="22" t="s">
        <v>7387</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7356</v>
      </c>
      <c r="AF442" s="1" t="str">
        <f>VLOOKUP(AE442,t_objeto!B:C,2,FALSE)</f>
        <v>RAW_MATERIAL</v>
      </c>
      <c r="AG442" s="1">
        <v>8</v>
      </c>
      <c r="AH442" s="1" t="str">
        <f>VLOOKUP(AG442,t_entry_status!A:AE,2,FALSE)</f>
        <v>PENDING</v>
      </c>
      <c r="AI442" s="7">
        <v>45560</v>
      </c>
      <c r="AJ442" s="1" t="s">
        <v>7455</v>
      </c>
      <c r="AK442" s="7">
        <v>45560</v>
      </c>
      <c r="AL442" s="1" t="s">
        <v>7455</v>
      </c>
    </row>
    <row r="443" spans="1:38" s="20" customFormat="1" x14ac:dyDescent="0.3">
      <c r="A443" s="14">
        <v>442</v>
      </c>
      <c r="B443" s="14" t="str">
        <f>_xlfn.CONCAT(AE443,"-",VLOOKUP(AE443,t_objeto!B:D,3,FALSE),"-",A443)</f>
        <v>RMAT-PERCCO-442</v>
      </c>
      <c r="C443" s="22" t="str">
        <f t="shared" si="69"/>
        <v>LAMINA_LISA__INOX_304/316 L_4'X8'_15</v>
      </c>
      <c r="D443" s="14" t="s">
        <v>7412</v>
      </c>
      <c r="E443" s="14" t="s">
        <v>7408</v>
      </c>
      <c r="F443" s="21" t="s">
        <v>7409</v>
      </c>
      <c r="G443" s="22" t="s">
        <v>7387</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7356</v>
      </c>
      <c r="AF443" s="1" t="str">
        <f>VLOOKUP(AE443,t_objeto!B:C,2,FALSE)</f>
        <v>RAW_MATERIAL</v>
      </c>
      <c r="AG443" s="1">
        <v>8</v>
      </c>
      <c r="AH443" s="1" t="str">
        <f>VLOOKUP(AG443,t_entry_status!A:AE,2,FALSE)</f>
        <v>PENDING</v>
      </c>
      <c r="AI443" s="7">
        <v>45560</v>
      </c>
      <c r="AJ443" s="1" t="s">
        <v>7455</v>
      </c>
      <c r="AK443" s="7">
        <v>45560</v>
      </c>
      <c r="AL443" s="1" t="s">
        <v>7455</v>
      </c>
    </row>
    <row r="444" spans="1:38" s="20" customFormat="1" x14ac:dyDescent="0.3">
      <c r="A444" s="14">
        <v>443</v>
      </c>
      <c r="B444" s="14" t="str">
        <f>_xlfn.CONCAT(AE444,"-",VLOOKUP(AE444,t_objeto!B:D,3,FALSE),"-",A444)</f>
        <v>RMAT-PERCCO-443</v>
      </c>
      <c r="C444" s="22" t="str">
        <f t="shared" si="69"/>
        <v>LAMINA_LISA__INOX_304/316 L_4'X8'_16</v>
      </c>
      <c r="D444" s="14" t="s">
        <v>7412</v>
      </c>
      <c r="E444" s="14" t="s">
        <v>7408</v>
      </c>
      <c r="F444" s="21" t="s">
        <v>7409</v>
      </c>
      <c r="G444" s="22" t="s">
        <v>7387</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7356</v>
      </c>
      <c r="AF444" s="1" t="str">
        <f>VLOOKUP(AE444,t_objeto!B:C,2,FALSE)</f>
        <v>RAW_MATERIAL</v>
      </c>
      <c r="AG444" s="1">
        <v>8</v>
      </c>
      <c r="AH444" s="1" t="str">
        <f>VLOOKUP(AG444,t_entry_status!A:AE,2,FALSE)</f>
        <v>PENDING</v>
      </c>
      <c r="AI444" s="7">
        <v>45560</v>
      </c>
      <c r="AJ444" s="1" t="s">
        <v>7455</v>
      </c>
      <c r="AK444" s="7">
        <v>45560</v>
      </c>
      <c r="AL444" s="1" t="s">
        <v>7455</v>
      </c>
    </row>
    <row r="445" spans="1:38" s="20" customFormat="1" x14ac:dyDescent="0.3">
      <c r="A445" s="14">
        <v>444</v>
      </c>
      <c r="B445" s="14" t="str">
        <f>_xlfn.CONCAT(AE445,"-",VLOOKUP(AE445,t_objeto!B:D,3,FALSE),"-",A445)</f>
        <v>RMAT-PERCCO-444</v>
      </c>
      <c r="C445" s="22" t="str">
        <f t="shared" si="69"/>
        <v>LAMINA_LISA__INOX_304/316 L_4'X8'_17</v>
      </c>
      <c r="D445" s="14" t="s">
        <v>7412</v>
      </c>
      <c r="E445" s="14" t="s">
        <v>7408</v>
      </c>
      <c r="F445" s="21" t="s">
        <v>7409</v>
      </c>
      <c r="G445" s="22" t="s">
        <v>7387</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7356</v>
      </c>
      <c r="AF445" s="1" t="str">
        <f>VLOOKUP(AE445,t_objeto!B:C,2,FALSE)</f>
        <v>RAW_MATERIAL</v>
      </c>
      <c r="AG445" s="1">
        <v>8</v>
      </c>
      <c r="AH445" s="1" t="str">
        <f>VLOOKUP(AG445,t_entry_status!A:AE,2,FALSE)</f>
        <v>PENDING</v>
      </c>
      <c r="AI445" s="7">
        <v>45560</v>
      </c>
      <c r="AJ445" s="1" t="s">
        <v>7455</v>
      </c>
      <c r="AK445" s="7">
        <v>45560</v>
      </c>
      <c r="AL445" s="1" t="s">
        <v>7455</v>
      </c>
    </row>
    <row r="446" spans="1:38" s="20" customFormat="1" x14ac:dyDescent="0.3">
      <c r="A446" s="14">
        <v>445</v>
      </c>
      <c r="B446" s="14" t="str">
        <f>_xlfn.CONCAT(AE446,"-",VLOOKUP(AE446,t_objeto!B:D,3,FALSE),"-",A446)</f>
        <v>RMAT-PERCCO-445</v>
      </c>
      <c r="C446" s="22" t="str">
        <f t="shared" si="69"/>
        <v>LAMINA_LISA__INOX_304/316 L_4'X8'_18</v>
      </c>
      <c r="D446" s="14" t="s">
        <v>7412</v>
      </c>
      <c r="E446" s="14" t="s">
        <v>7408</v>
      </c>
      <c r="F446" s="21" t="s">
        <v>7409</v>
      </c>
      <c r="G446" s="22" t="s">
        <v>7387</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7356</v>
      </c>
      <c r="AF446" s="1" t="str">
        <f>VLOOKUP(AE446,t_objeto!B:C,2,FALSE)</f>
        <v>RAW_MATERIAL</v>
      </c>
      <c r="AG446" s="1">
        <v>8</v>
      </c>
      <c r="AH446" s="1" t="str">
        <f>VLOOKUP(AG446,t_entry_status!A:AE,2,FALSE)</f>
        <v>PENDING</v>
      </c>
      <c r="AI446" s="7">
        <v>45560</v>
      </c>
      <c r="AJ446" s="1" t="s">
        <v>7455</v>
      </c>
      <c r="AK446" s="7">
        <v>45560</v>
      </c>
      <c r="AL446" s="1" t="s">
        <v>7455</v>
      </c>
    </row>
    <row r="447" spans="1:38" s="20" customFormat="1" x14ac:dyDescent="0.3">
      <c r="A447" s="14">
        <v>446</v>
      </c>
      <c r="B447" s="14" t="str">
        <f>_xlfn.CONCAT(AE447,"-",VLOOKUP(AE447,t_objeto!B:D,3,FALSE),"-",A447)</f>
        <v>RMAT-PERCCO-446</v>
      </c>
      <c r="C447" s="22" t="str">
        <f t="shared" si="69"/>
        <v>LAMINA_LISA__INOX_304/316 L_4'X8'_19</v>
      </c>
      <c r="D447" s="14" t="s">
        <v>7412</v>
      </c>
      <c r="E447" s="14" t="s">
        <v>7408</v>
      </c>
      <c r="F447" s="21" t="s">
        <v>7409</v>
      </c>
      <c r="G447" s="22" t="s">
        <v>7387</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7356</v>
      </c>
      <c r="AF447" s="1" t="str">
        <f>VLOOKUP(AE447,t_objeto!B:C,2,FALSE)</f>
        <v>RAW_MATERIAL</v>
      </c>
      <c r="AG447" s="1">
        <v>8</v>
      </c>
      <c r="AH447" s="1" t="str">
        <f>VLOOKUP(AG447,t_entry_status!A:AE,2,FALSE)</f>
        <v>PENDING</v>
      </c>
      <c r="AI447" s="7">
        <v>45560</v>
      </c>
      <c r="AJ447" s="1" t="s">
        <v>7455</v>
      </c>
      <c r="AK447" s="7">
        <v>45560</v>
      </c>
      <c r="AL447" s="1" t="s">
        <v>7455</v>
      </c>
    </row>
    <row r="448" spans="1:38" s="20" customFormat="1" x14ac:dyDescent="0.3">
      <c r="A448" s="14">
        <v>447</v>
      </c>
      <c r="B448" s="14" t="str">
        <f>_xlfn.CONCAT(AE448,"-",VLOOKUP(AE448,t_objeto!B:D,3,FALSE),"-",A448)</f>
        <v>RMAT-PERCCO-447</v>
      </c>
      <c r="C448" s="22" t="str">
        <f t="shared" si="69"/>
        <v>LAMINA_LISA__INOX_304/316 L_4'X8'_20</v>
      </c>
      <c r="D448" s="14" t="s">
        <v>7412</v>
      </c>
      <c r="E448" s="14" t="s">
        <v>7408</v>
      </c>
      <c r="F448" s="21" t="s">
        <v>7409</v>
      </c>
      <c r="G448" s="22" t="s">
        <v>7387</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7356</v>
      </c>
      <c r="AF448" s="1" t="str">
        <f>VLOOKUP(AE448,t_objeto!B:C,2,FALSE)</f>
        <v>RAW_MATERIAL</v>
      </c>
      <c r="AG448" s="1">
        <v>8</v>
      </c>
      <c r="AH448" s="1" t="str">
        <f>VLOOKUP(AG448,t_entry_status!A:AE,2,FALSE)</f>
        <v>PENDING</v>
      </c>
      <c r="AI448" s="7">
        <v>45560</v>
      </c>
      <c r="AJ448" s="1" t="s">
        <v>7455</v>
      </c>
      <c r="AK448" s="7">
        <v>45560</v>
      </c>
      <c r="AL448" s="1" t="s">
        <v>7455</v>
      </c>
    </row>
    <row r="449" spans="1:38" s="20" customFormat="1" x14ac:dyDescent="0.3">
      <c r="A449" s="14">
        <v>448</v>
      </c>
      <c r="B449" s="14" t="str">
        <f>_xlfn.CONCAT(AE449,"-",VLOOKUP(AE449,t_objeto!B:D,3,FALSE),"-",A449)</f>
        <v>RMAT-PERCCO-448</v>
      </c>
      <c r="C449" s="22" t="str">
        <f t="shared" si="69"/>
        <v>LAMINA_LISA__INOX_304/316 L_4'X8'_21</v>
      </c>
      <c r="D449" s="14" t="s">
        <v>7412</v>
      </c>
      <c r="E449" s="14" t="s">
        <v>7408</v>
      </c>
      <c r="F449" s="21" t="s">
        <v>7409</v>
      </c>
      <c r="G449" s="22" t="s">
        <v>7387</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7356</v>
      </c>
      <c r="AF449" s="1" t="str">
        <f>VLOOKUP(AE449,t_objeto!B:C,2,FALSE)</f>
        <v>RAW_MATERIAL</v>
      </c>
      <c r="AG449" s="1">
        <v>8</v>
      </c>
      <c r="AH449" s="1" t="str">
        <f>VLOOKUP(AG449,t_entry_status!A:AE,2,FALSE)</f>
        <v>PENDING</v>
      </c>
      <c r="AI449" s="7">
        <v>45560</v>
      </c>
      <c r="AJ449" s="1" t="s">
        <v>7455</v>
      </c>
      <c r="AK449" s="7">
        <v>45560</v>
      </c>
      <c r="AL449" s="1" t="s">
        <v>7455</v>
      </c>
    </row>
    <row r="450" spans="1:38" s="20" customFormat="1" x14ac:dyDescent="0.3">
      <c r="A450" s="14">
        <v>449</v>
      </c>
      <c r="B450" s="14" t="str">
        <f>_xlfn.CONCAT(AE450,"-",VLOOKUP(AE450,t_objeto!B:D,3,FALSE),"-",A450)</f>
        <v>RMAT-PERCCO-449</v>
      </c>
      <c r="C450" s="22" t="str">
        <f t="shared" si="69"/>
        <v>LAMINA_LISA__INOX_304/316 L_4'X8'_22</v>
      </c>
      <c r="D450" s="14" t="s">
        <v>7412</v>
      </c>
      <c r="E450" s="14" t="s">
        <v>7408</v>
      </c>
      <c r="F450" s="21" t="s">
        <v>7409</v>
      </c>
      <c r="G450" s="22" t="s">
        <v>7387</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7356</v>
      </c>
      <c r="AF450" s="1" t="str">
        <f>VLOOKUP(AE450,t_objeto!B:C,2,FALSE)</f>
        <v>RAW_MATERIAL</v>
      </c>
      <c r="AG450" s="1">
        <v>8</v>
      </c>
      <c r="AH450" s="1" t="str">
        <f>VLOOKUP(AG450,t_entry_status!A:AE,2,FALSE)</f>
        <v>PENDING</v>
      </c>
      <c r="AI450" s="7">
        <v>45560</v>
      </c>
      <c r="AJ450" s="1" t="s">
        <v>7455</v>
      </c>
      <c r="AK450" s="7">
        <v>45560</v>
      </c>
      <c r="AL450" s="1" t="s">
        <v>7455</v>
      </c>
    </row>
    <row r="451" spans="1:38" s="20" customFormat="1" x14ac:dyDescent="0.3">
      <c r="A451" s="14">
        <v>450</v>
      </c>
      <c r="B451" s="14" t="str">
        <f>_xlfn.CONCAT(AE451,"-",VLOOKUP(AE451,t_objeto!B:D,3,FALSE),"-",A451)</f>
        <v>RMAT-PERCCO-450</v>
      </c>
      <c r="C451" s="22" t="str">
        <f t="shared" ref="C451:C514" si="78">_xlfn.CONCAT(D451,"_","_",E451,"_",F451,"_",R451,"'","X",S451,"'","_",H451)</f>
        <v>LAMINA_LISA__INOX_304/316 L_4'X8'_23</v>
      </c>
      <c r="D451" s="14" t="s">
        <v>7412</v>
      </c>
      <c r="E451" s="14" t="s">
        <v>7408</v>
      </c>
      <c r="F451" s="21" t="s">
        <v>7409</v>
      </c>
      <c r="G451" s="22" t="s">
        <v>7387</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7356</v>
      </c>
      <c r="AF451" s="1" t="str">
        <f>VLOOKUP(AE451,t_objeto!B:C,2,FALSE)</f>
        <v>RAW_MATERIAL</v>
      </c>
      <c r="AG451" s="1">
        <v>8</v>
      </c>
      <c r="AH451" s="1" t="str">
        <f>VLOOKUP(AG451,t_entry_status!A:AE,2,FALSE)</f>
        <v>PENDING</v>
      </c>
      <c r="AI451" s="7">
        <v>45560</v>
      </c>
      <c r="AJ451" s="1" t="s">
        <v>7455</v>
      </c>
      <c r="AK451" s="7">
        <v>45560</v>
      </c>
      <c r="AL451" s="1" t="s">
        <v>7455</v>
      </c>
    </row>
    <row r="452" spans="1:38" s="20" customFormat="1" x14ac:dyDescent="0.3">
      <c r="A452" s="14">
        <v>451</v>
      </c>
      <c r="B452" s="14" t="str">
        <f>_xlfn.CONCAT(AE452,"-",VLOOKUP(AE452,t_objeto!B:D,3,FALSE),"-",A452)</f>
        <v>RMAT-PERCCO-451</v>
      </c>
      <c r="C452" s="22" t="str">
        <f t="shared" si="78"/>
        <v>LAMINA_LISA__INOX_304/316 L_4'X8'_24</v>
      </c>
      <c r="D452" s="14" t="s">
        <v>7412</v>
      </c>
      <c r="E452" s="14" t="s">
        <v>7408</v>
      </c>
      <c r="F452" s="21" t="s">
        <v>7409</v>
      </c>
      <c r="G452" s="22" t="s">
        <v>7387</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7356</v>
      </c>
      <c r="AF452" s="1" t="str">
        <f>VLOOKUP(AE452,t_objeto!B:C,2,FALSE)</f>
        <v>RAW_MATERIAL</v>
      </c>
      <c r="AG452" s="1">
        <v>8</v>
      </c>
      <c r="AH452" s="1" t="str">
        <f>VLOOKUP(AG452,t_entry_status!A:AE,2,FALSE)</f>
        <v>PENDING</v>
      </c>
      <c r="AI452" s="7">
        <v>45560</v>
      </c>
      <c r="AJ452" s="1" t="s">
        <v>7455</v>
      </c>
      <c r="AK452" s="7">
        <v>45560</v>
      </c>
      <c r="AL452" s="1" t="s">
        <v>7455</v>
      </c>
    </row>
    <row r="453" spans="1:38" s="20" customFormat="1" x14ac:dyDescent="0.3">
      <c r="A453" s="14">
        <v>452</v>
      </c>
      <c r="B453" s="14" t="str">
        <f>_xlfn.CONCAT(AE453,"-",VLOOKUP(AE453,t_objeto!B:D,3,FALSE),"-",A453)</f>
        <v>RMAT-PERCCO-452</v>
      </c>
      <c r="C453" s="22" t="str">
        <f t="shared" si="78"/>
        <v>LAMINA_LISA__INOX_304/316 L_4'X8'_25</v>
      </c>
      <c r="D453" s="14" t="s">
        <v>7412</v>
      </c>
      <c r="E453" s="14" t="s">
        <v>7408</v>
      </c>
      <c r="F453" s="21" t="s">
        <v>7409</v>
      </c>
      <c r="G453" s="22" t="s">
        <v>7387</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7356</v>
      </c>
      <c r="AF453" s="1" t="str">
        <f>VLOOKUP(AE453,t_objeto!B:C,2,FALSE)</f>
        <v>RAW_MATERIAL</v>
      </c>
      <c r="AG453" s="1">
        <v>8</v>
      </c>
      <c r="AH453" s="1" t="str">
        <f>VLOOKUP(AG453,t_entry_status!A:AE,2,FALSE)</f>
        <v>PENDING</v>
      </c>
      <c r="AI453" s="7">
        <v>45560</v>
      </c>
      <c r="AJ453" s="1" t="s">
        <v>7455</v>
      </c>
      <c r="AK453" s="7">
        <v>45560</v>
      </c>
      <c r="AL453" s="1" t="s">
        <v>7455</v>
      </c>
    </row>
    <row r="454" spans="1:38" s="20" customFormat="1" x14ac:dyDescent="0.3">
      <c r="A454" s="14">
        <v>453</v>
      </c>
      <c r="B454" s="14" t="str">
        <f>_xlfn.CONCAT(AE454,"-",VLOOKUP(AE454,t_objeto!B:D,3,FALSE),"-",A454)</f>
        <v>RMAT-PERCCO-453</v>
      </c>
      <c r="C454" s="22" t="str">
        <f t="shared" si="78"/>
        <v>LAMINA_LISA__INOX_304/316 L_4'X8'_26</v>
      </c>
      <c r="D454" s="14" t="s">
        <v>7412</v>
      </c>
      <c r="E454" s="14" t="s">
        <v>7408</v>
      </c>
      <c r="F454" s="21" t="s">
        <v>7409</v>
      </c>
      <c r="G454" s="22" t="s">
        <v>7387</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7356</v>
      </c>
      <c r="AF454" s="1" t="str">
        <f>VLOOKUP(AE454,t_objeto!B:C,2,FALSE)</f>
        <v>RAW_MATERIAL</v>
      </c>
      <c r="AG454" s="1">
        <v>8</v>
      </c>
      <c r="AH454" s="1" t="str">
        <f>VLOOKUP(AG454,t_entry_status!A:AE,2,FALSE)</f>
        <v>PENDING</v>
      </c>
      <c r="AI454" s="7">
        <v>45560</v>
      </c>
      <c r="AJ454" s="1" t="s">
        <v>7455</v>
      </c>
      <c r="AK454" s="7">
        <v>45560</v>
      </c>
      <c r="AL454" s="1" t="s">
        <v>7455</v>
      </c>
    </row>
    <row r="455" spans="1:38" s="20" customFormat="1" x14ac:dyDescent="0.3">
      <c r="A455" s="14">
        <v>454</v>
      </c>
      <c r="B455" s="14" t="str">
        <f>_xlfn.CONCAT(AE455,"-",VLOOKUP(AE455,t_objeto!B:D,3,FALSE),"-",A455)</f>
        <v>RMAT-PERCCO-454</v>
      </c>
      <c r="C455" s="22" t="str">
        <f t="shared" si="78"/>
        <v>LAMINA_LISA__ACERO_GALVANIZADA_4'X10'_10</v>
      </c>
      <c r="D455" s="14" t="s">
        <v>7412</v>
      </c>
      <c r="E455" s="14" t="s">
        <v>7385</v>
      </c>
      <c r="F455" s="21" t="s">
        <v>7386</v>
      </c>
      <c r="G455" s="22" t="s">
        <v>7387</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7356</v>
      </c>
      <c r="AF455" s="1" t="str">
        <f>VLOOKUP(AE455,t_objeto!B:C,2,FALSE)</f>
        <v>RAW_MATERIAL</v>
      </c>
      <c r="AG455" s="1">
        <v>8</v>
      </c>
      <c r="AH455" s="1" t="str">
        <f>VLOOKUP(AG455,t_entry_status!A:AE,2,FALSE)</f>
        <v>PENDING</v>
      </c>
      <c r="AI455" s="7">
        <v>45560</v>
      </c>
      <c r="AJ455" s="1" t="s">
        <v>7455</v>
      </c>
      <c r="AK455" s="7">
        <v>45560</v>
      </c>
      <c r="AL455" s="1" t="s">
        <v>7455</v>
      </c>
    </row>
    <row r="456" spans="1:38" s="20" customFormat="1" x14ac:dyDescent="0.3">
      <c r="A456" s="14">
        <v>455</v>
      </c>
      <c r="B456" s="14" t="str">
        <f>_xlfn.CONCAT(AE456,"-",VLOOKUP(AE456,t_objeto!B:D,3,FALSE),"-",A456)</f>
        <v>RMAT-PERCCO-455</v>
      </c>
      <c r="C456" s="22" t="str">
        <f t="shared" si="78"/>
        <v>LAMINA_LISA__ACERO_GALVANIZADA_4'X10'_12</v>
      </c>
      <c r="D456" s="14" t="s">
        <v>7412</v>
      </c>
      <c r="E456" s="14" t="s">
        <v>7385</v>
      </c>
      <c r="F456" s="21" t="s">
        <v>7386</v>
      </c>
      <c r="G456" s="22" t="s">
        <v>7387</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7356</v>
      </c>
      <c r="AF456" s="1" t="str">
        <f>VLOOKUP(AE456,t_objeto!B:C,2,FALSE)</f>
        <v>RAW_MATERIAL</v>
      </c>
      <c r="AG456" s="1">
        <v>8</v>
      </c>
      <c r="AH456" s="1" t="str">
        <f>VLOOKUP(AG456,t_entry_status!A:AE,2,FALSE)</f>
        <v>PENDING</v>
      </c>
      <c r="AI456" s="7">
        <v>45560</v>
      </c>
      <c r="AJ456" s="1" t="s">
        <v>7455</v>
      </c>
      <c r="AK456" s="7">
        <v>45560</v>
      </c>
      <c r="AL456" s="1" t="s">
        <v>7455</v>
      </c>
    </row>
    <row r="457" spans="1:38" s="20" customFormat="1" x14ac:dyDescent="0.3">
      <c r="A457" s="14">
        <v>456</v>
      </c>
      <c r="B457" s="14" t="str">
        <f>_xlfn.CONCAT(AE457,"-",VLOOKUP(AE457,t_objeto!B:D,3,FALSE),"-",A457)</f>
        <v>RMAT-PERCCO-456</v>
      </c>
      <c r="C457" s="22" t="str">
        <f t="shared" si="78"/>
        <v>LAMINA_LISA__ACERO_GALVANIZADA_4'X10'_13</v>
      </c>
      <c r="D457" s="14" t="s">
        <v>7412</v>
      </c>
      <c r="E457" s="14" t="s">
        <v>7385</v>
      </c>
      <c r="F457" s="21" t="s">
        <v>7386</v>
      </c>
      <c r="G457" s="22" t="s">
        <v>7387</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7356</v>
      </c>
      <c r="AF457" s="1" t="str">
        <f>VLOOKUP(AE457,t_objeto!B:C,2,FALSE)</f>
        <v>RAW_MATERIAL</v>
      </c>
      <c r="AG457" s="1">
        <v>8</v>
      </c>
      <c r="AH457" s="1" t="str">
        <f>VLOOKUP(AG457,t_entry_status!A:AE,2,FALSE)</f>
        <v>PENDING</v>
      </c>
      <c r="AI457" s="7">
        <v>45560</v>
      </c>
      <c r="AJ457" s="1" t="s">
        <v>7455</v>
      </c>
      <c r="AK457" s="7">
        <v>45560</v>
      </c>
      <c r="AL457" s="1" t="s">
        <v>7455</v>
      </c>
    </row>
    <row r="458" spans="1:38" s="20" customFormat="1" ht="18" x14ac:dyDescent="0.35">
      <c r="A458" s="14">
        <v>457</v>
      </c>
      <c r="B458" s="14" t="str">
        <f>_xlfn.CONCAT(AE458,"-",VLOOKUP(AE458,t_objeto!B:D,3,FALSE),"-",A458)</f>
        <v>RMAT-PERCCO-457</v>
      </c>
      <c r="C458" s="22" t="str">
        <f t="shared" si="78"/>
        <v>LAMINA_LISA__ACERO_GALVANIZADA_4'X10'_14</v>
      </c>
      <c r="D458" s="14" t="s">
        <v>7412</v>
      </c>
      <c r="E458" s="14" t="s">
        <v>7385</v>
      </c>
      <c r="F458" s="21" t="s">
        <v>7386</v>
      </c>
      <c r="G458" s="22" t="s">
        <v>7387</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7356</v>
      </c>
      <c r="AF458" s="1" t="str">
        <f>VLOOKUP(AE458,t_objeto!B:C,2,FALSE)</f>
        <v>RAW_MATERIAL</v>
      </c>
      <c r="AG458" s="1">
        <v>8</v>
      </c>
      <c r="AH458" s="1" t="str">
        <f>VLOOKUP(AG458,t_entry_status!A:AE,2,FALSE)</f>
        <v>PENDING</v>
      </c>
      <c r="AI458" s="7">
        <v>45560</v>
      </c>
      <c r="AJ458" s="1" t="s">
        <v>7455</v>
      </c>
      <c r="AK458" s="7">
        <v>45560</v>
      </c>
      <c r="AL458" s="1" t="s">
        <v>7455</v>
      </c>
    </row>
    <row r="459" spans="1:38" s="20" customFormat="1" x14ac:dyDescent="0.3">
      <c r="A459" s="14">
        <v>458</v>
      </c>
      <c r="B459" s="14" t="str">
        <f>_xlfn.CONCAT(AE459,"-",VLOOKUP(AE459,t_objeto!B:D,3,FALSE),"-",A459)</f>
        <v>RMAT-PERCCO-458</v>
      </c>
      <c r="C459" s="22" t="str">
        <f t="shared" si="78"/>
        <v>LAMINA_LISA__ACERO_GALVANIZADA_4'X10'_15</v>
      </c>
      <c r="D459" s="14" t="s">
        <v>7412</v>
      </c>
      <c r="E459" s="14" t="s">
        <v>7385</v>
      </c>
      <c r="F459" s="21" t="s">
        <v>7386</v>
      </c>
      <c r="G459" s="22" t="s">
        <v>7387</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7356</v>
      </c>
      <c r="AF459" s="1" t="str">
        <f>VLOOKUP(AE459,t_objeto!B:C,2,FALSE)</f>
        <v>RAW_MATERIAL</v>
      </c>
      <c r="AG459" s="1">
        <v>8</v>
      </c>
      <c r="AH459" s="1" t="str">
        <f>VLOOKUP(AG459,t_entry_status!A:AE,2,FALSE)</f>
        <v>PENDING</v>
      </c>
      <c r="AI459" s="7">
        <v>45560</v>
      </c>
      <c r="AJ459" s="1" t="s">
        <v>7455</v>
      </c>
      <c r="AK459" s="7">
        <v>45560</v>
      </c>
      <c r="AL459" s="1" t="s">
        <v>7455</v>
      </c>
    </row>
    <row r="460" spans="1:38" s="20" customFormat="1" x14ac:dyDescent="0.3">
      <c r="A460" s="14">
        <v>459</v>
      </c>
      <c r="B460" s="14" t="str">
        <f>_xlfn.CONCAT(AE460,"-",VLOOKUP(AE460,t_objeto!B:D,3,FALSE),"-",A460)</f>
        <v>RMAT-PERCCO-459</v>
      </c>
      <c r="C460" s="22" t="str">
        <f t="shared" si="78"/>
        <v>LAMINA_LISA__ACERO_GALVANIZADA_4'X10'_16</v>
      </c>
      <c r="D460" s="14" t="s">
        <v>7412</v>
      </c>
      <c r="E460" s="14" t="s">
        <v>7385</v>
      </c>
      <c r="F460" s="21" t="s">
        <v>7386</v>
      </c>
      <c r="G460" s="22" t="s">
        <v>7387</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7356</v>
      </c>
      <c r="AF460" s="1" t="str">
        <f>VLOOKUP(AE460,t_objeto!B:C,2,FALSE)</f>
        <v>RAW_MATERIAL</v>
      </c>
      <c r="AG460" s="1">
        <v>8</v>
      </c>
      <c r="AH460" s="1" t="str">
        <f>VLOOKUP(AG460,t_entry_status!A:AE,2,FALSE)</f>
        <v>PENDING</v>
      </c>
      <c r="AI460" s="7">
        <v>45560</v>
      </c>
      <c r="AJ460" s="1" t="s">
        <v>7455</v>
      </c>
      <c r="AK460" s="7">
        <v>45560</v>
      </c>
      <c r="AL460" s="1" t="s">
        <v>7455</v>
      </c>
    </row>
    <row r="461" spans="1:38" s="20" customFormat="1" x14ac:dyDescent="0.3">
      <c r="A461" s="14">
        <v>460</v>
      </c>
      <c r="B461" s="14" t="str">
        <f>_xlfn.CONCAT(AE461,"-",VLOOKUP(AE461,t_objeto!B:D,3,FALSE),"-",A461)</f>
        <v>RMAT-PERCCO-460</v>
      </c>
      <c r="C461" s="22" t="str">
        <f t="shared" si="78"/>
        <v>LAMINA_LISA__ACERO_GALVANIZADA_4'X10'_17</v>
      </c>
      <c r="D461" s="14" t="s">
        <v>7412</v>
      </c>
      <c r="E461" s="14" t="s">
        <v>7385</v>
      </c>
      <c r="F461" s="21" t="s">
        <v>7386</v>
      </c>
      <c r="G461" s="22" t="s">
        <v>7387</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7356</v>
      </c>
      <c r="AF461" s="1" t="str">
        <f>VLOOKUP(AE461,t_objeto!B:C,2,FALSE)</f>
        <v>RAW_MATERIAL</v>
      </c>
      <c r="AG461" s="1">
        <v>8</v>
      </c>
      <c r="AH461" s="1" t="str">
        <f>VLOOKUP(AG461,t_entry_status!A:AE,2,FALSE)</f>
        <v>PENDING</v>
      </c>
      <c r="AI461" s="7">
        <v>45560</v>
      </c>
      <c r="AJ461" s="1" t="s">
        <v>7455</v>
      </c>
      <c r="AK461" s="7">
        <v>45560</v>
      </c>
      <c r="AL461" s="1" t="s">
        <v>7455</v>
      </c>
    </row>
    <row r="462" spans="1:38" s="20" customFormat="1" x14ac:dyDescent="0.3">
      <c r="A462" s="14">
        <v>461</v>
      </c>
      <c r="B462" s="14" t="str">
        <f>_xlfn.CONCAT(AE462,"-",VLOOKUP(AE462,t_objeto!B:D,3,FALSE),"-",A462)</f>
        <v>RMAT-PERCCO-461</v>
      </c>
      <c r="C462" s="22" t="str">
        <f t="shared" si="78"/>
        <v>LAMINA_LISA__ACERO_GALVANIZADA_4'X10'_18</v>
      </c>
      <c r="D462" s="14" t="s">
        <v>7412</v>
      </c>
      <c r="E462" s="14" t="s">
        <v>7385</v>
      </c>
      <c r="F462" s="21" t="s">
        <v>7386</v>
      </c>
      <c r="G462" s="22" t="s">
        <v>7387</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7356</v>
      </c>
      <c r="AF462" s="1" t="str">
        <f>VLOOKUP(AE462,t_objeto!B:C,2,FALSE)</f>
        <v>RAW_MATERIAL</v>
      </c>
      <c r="AG462" s="1">
        <v>8</v>
      </c>
      <c r="AH462" s="1" t="str">
        <f>VLOOKUP(AG462,t_entry_status!A:AE,2,FALSE)</f>
        <v>PENDING</v>
      </c>
      <c r="AI462" s="7">
        <v>45560</v>
      </c>
      <c r="AJ462" s="1" t="s">
        <v>7455</v>
      </c>
      <c r="AK462" s="7">
        <v>45560</v>
      </c>
      <c r="AL462" s="1" t="s">
        <v>7455</v>
      </c>
    </row>
    <row r="463" spans="1:38" s="20" customFormat="1" x14ac:dyDescent="0.3">
      <c r="A463" s="14">
        <v>462</v>
      </c>
      <c r="B463" s="14" t="str">
        <f>_xlfn.CONCAT(AE463,"-",VLOOKUP(AE463,t_objeto!B:D,3,FALSE),"-",A463)</f>
        <v>RMAT-PERCCO-462</v>
      </c>
      <c r="C463" s="22" t="str">
        <f t="shared" si="78"/>
        <v>LAMINA_LISA__ACERO_GALVANIZADA_4'X10'_19</v>
      </c>
      <c r="D463" s="14" t="s">
        <v>7412</v>
      </c>
      <c r="E463" s="14" t="s">
        <v>7385</v>
      </c>
      <c r="F463" s="21" t="s">
        <v>7386</v>
      </c>
      <c r="G463" s="22" t="s">
        <v>7387</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7356</v>
      </c>
      <c r="AF463" s="1" t="str">
        <f>VLOOKUP(AE463,t_objeto!B:C,2,FALSE)</f>
        <v>RAW_MATERIAL</v>
      </c>
      <c r="AG463" s="1">
        <v>8</v>
      </c>
      <c r="AH463" s="1" t="str">
        <f>VLOOKUP(AG463,t_entry_status!A:AE,2,FALSE)</f>
        <v>PENDING</v>
      </c>
      <c r="AI463" s="7">
        <v>45560</v>
      </c>
      <c r="AJ463" s="1" t="s">
        <v>7455</v>
      </c>
      <c r="AK463" s="7">
        <v>45560</v>
      </c>
      <c r="AL463" s="1" t="s">
        <v>7455</v>
      </c>
    </row>
    <row r="464" spans="1:38" s="20" customFormat="1" x14ac:dyDescent="0.3">
      <c r="A464" s="14">
        <v>463</v>
      </c>
      <c r="B464" s="14" t="str">
        <f>_xlfn.CONCAT(AE464,"-",VLOOKUP(AE464,t_objeto!B:D,3,FALSE),"-",A464)</f>
        <v>RMAT-PERCCO-463</v>
      </c>
      <c r="C464" s="22" t="str">
        <f t="shared" si="78"/>
        <v>LAMINA_LISA__ACERO_GALVANIZADA_4'X10'_20</v>
      </c>
      <c r="D464" s="14" t="s">
        <v>7412</v>
      </c>
      <c r="E464" s="14" t="s">
        <v>7385</v>
      </c>
      <c r="F464" s="21" t="s">
        <v>7386</v>
      </c>
      <c r="G464" s="22" t="s">
        <v>7387</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7356</v>
      </c>
      <c r="AF464" s="1" t="str">
        <f>VLOOKUP(AE464,t_objeto!B:C,2,FALSE)</f>
        <v>RAW_MATERIAL</v>
      </c>
      <c r="AG464" s="1">
        <v>8</v>
      </c>
      <c r="AH464" s="1" t="str">
        <f>VLOOKUP(AG464,t_entry_status!A:AE,2,FALSE)</f>
        <v>PENDING</v>
      </c>
      <c r="AI464" s="7">
        <v>45560</v>
      </c>
      <c r="AJ464" s="1" t="s">
        <v>7455</v>
      </c>
      <c r="AK464" s="7">
        <v>45560</v>
      </c>
      <c r="AL464" s="1" t="s">
        <v>7455</v>
      </c>
    </row>
    <row r="465" spans="1:38" s="20" customFormat="1" x14ac:dyDescent="0.3">
      <c r="A465" s="14">
        <v>464</v>
      </c>
      <c r="B465" s="14" t="str">
        <f>_xlfn.CONCAT(AE465,"-",VLOOKUP(AE465,t_objeto!B:D,3,FALSE),"-",A465)</f>
        <v>RMAT-PERCCO-464</v>
      </c>
      <c r="C465" s="22" t="str">
        <f t="shared" si="78"/>
        <v>LAMINA_LISA__ACERO_GALVANIZADA_4'X10'_21</v>
      </c>
      <c r="D465" s="14" t="s">
        <v>7412</v>
      </c>
      <c r="E465" s="14" t="s">
        <v>7385</v>
      </c>
      <c r="F465" s="21" t="s">
        <v>7386</v>
      </c>
      <c r="G465" s="22" t="s">
        <v>7387</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7356</v>
      </c>
      <c r="AF465" s="1" t="str">
        <f>VLOOKUP(AE465,t_objeto!B:C,2,FALSE)</f>
        <v>RAW_MATERIAL</v>
      </c>
      <c r="AG465" s="1">
        <v>8</v>
      </c>
      <c r="AH465" s="1" t="str">
        <f>VLOOKUP(AG465,t_entry_status!A:AE,2,FALSE)</f>
        <v>PENDING</v>
      </c>
      <c r="AI465" s="7">
        <v>45560</v>
      </c>
      <c r="AJ465" s="1" t="s">
        <v>7455</v>
      </c>
      <c r="AK465" s="7">
        <v>45560</v>
      </c>
      <c r="AL465" s="1" t="s">
        <v>7455</v>
      </c>
    </row>
    <row r="466" spans="1:38" s="20" customFormat="1" x14ac:dyDescent="0.3">
      <c r="A466" s="14">
        <v>465</v>
      </c>
      <c r="B466" s="14" t="str">
        <f>_xlfn.CONCAT(AE466,"-",VLOOKUP(AE466,t_objeto!B:D,3,FALSE),"-",A466)</f>
        <v>RMAT-PERCCO-465</v>
      </c>
      <c r="C466" s="22" t="str">
        <f t="shared" si="78"/>
        <v>LAMINA_LISA__ACERO_GALVANIZADA_4'X10'_22</v>
      </c>
      <c r="D466" s="14" t="s">
        <v>7412</v>
      </c>
      <c r="E466" s="14" t="s">
        <v>7385</v>
      </c>
      <c r="F466" s="21" t="s">
        <v>7386</v>
      </c>
      <c r="G466" s="22" t="s">
        <v>7387</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7356</v>
      </c>
      <c r="AF466" s="1" t="str">
        <f>VLOOKUP(AE466,t_objeto!B:C,2,FALSE)</f>
        <v>RAW_MATERIAL</v>
      </c>
      <c r="AG466" s="1">
        <v>8</v>
      </c>
      <c r="AH466" s="1" t="str">
        <f>VLOOKUP(AG466,t_entry_status!A:AE,2,FALSE)</f>
        <v>PENDING</v>
      </c>
      <c r="AI466" s="7">
        <v>45560</v>
      </c>
      <c r="AJ466" s="1" t="s">
        <v>7455</v>
      </c>
      <c r="AK466" s="7">
        <v>45560</v>
      </c>
      <c r="AL466" s="1" t="s">
        <v>7455</v>
      </c>
    </row>
    <row r="467" spans="1:38" s="20" customFormat="1" x14ac:dyDescent="0.3">
      <c r="A467" s="14">
        <v>466</v>
      </c>
      <c r="B467" s="14" t="str">
        <f>_xlfn.CONCAT(AE467,"-",VLOOKUP(AE467,t_objeto!B:D,3,FALSE),"-",A467)</f>
        <v>RMAT-PERCCO-466</v>
      </c>
      <c r="C467" s="22" t="str">
        <f t="shared" si="78"/>
        <v>LAMINA_LISA__ACERO_GALVANIZADA_4'X10'_23</v>
      </c>
      <c r="D467" s="14" t="s">
        <v>7412</v>
      </c>
      <c r="E467" s="14" t="s">
        <v>7385</v>
      </c>
      <c r="F467" s="21" t="s">
        <v>7386</v>
      </c>
      <c r="G467" s="22" t="s">
        <v>7387</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7356</v>
      </c>
      <c r="AF467" s="1" t="str">
        <f>VLOOKUP(AE467,t_objeto!B:C,2,FALSE)</f>
        <v>RAW_MATERIAL</v>
      </c>
      <c r="AG467" s="1">
        <v>8</v>
      </c>
      <c r="AH467" s="1" t="str">
        <f>VLOOKUP(AG467,t_entry_status!A:AE,2,FALSE)</f>
        <v>PENDING</v>
      </c>
      <c r="AI467" s="7">
        <v>45560</v>
      </c>
      <c r="AJ467" s="1" t="s">
        <v>7455</v>
      </c>
      <c r="AK467" s="7">
        <v>45560</v>
      </c>
      <c r="AL467" s="1" t="s">
        <v>7455</v>
      </c>
    </row>
    <row r="468" spans="1:38" s="20" customFormat="1" x14ac:dyDescent="0.3">
      <c r="A468" s="14">
        <v>467</v>
      </c>
      <c r="B468" s="14" t="str">
        <f>_xlfn.CONCAT(AE468,"-",VLOOKUP(AE468,t_objeto!B:D,3,FALSE),"-",A468)</f>
        <v>RMAT-PERCCO-467</v>
      </c>
      <c r="C468" s="22" t="str">
        <f t="shared" si="78"/>
        <v>LAMINA_LISA__ACERO_GALVANIZADA_4'X10'_24</v>
      </c>
      <c r="D468" s="14" t="s">
        <v>7412</v>
      </c>
      <c r="E468" s="14" t="s">
        <v>7385</v>
      </c>
      <c r="F468" s="21" t="s">
        <v>7386</v>
      </c>
      <c r="G468" s="22" t="s">
        <v>7387</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7356</v>
      </c>
      <c r="AF468" s="1" t="str">
        <f>VLOOKUP(AE468,t_objeto!B:C,2,FALSE)</f>
        <v>RAW_MATERIAL</v>
      </c>
      <c r="AG468" s="1">
        <v>8</v>
      </c>
      <c r="AH468" s="1" t="str">
        <f>VLOOKUP(AG468,t_entry_status!A:AE,2,FALSE)</f>
        <v>PENDING</v>
      </c>
      <c r="AI468" s="7">
        <v>45560</v>
      </c>
      <c r="AJ468" s="1" t="s">
        <v>7455</v>
      </c>
      <c r="AK468" s="7">
        <v>45560</v>
      </c>
      <c r="AL468" s="1" t="s">
        <v>7455</v>
      </c>
    </row>
    <row r="469" spans="1:38" s="20" customFormat="1" x14ac:dyDescent="0.3">
      <c r="A469" s="14">
        <v>468</v>
      </c>
      <c r="B469" s="14" t="str">
        <f>_xlfn.CONCAT(AE469,"-",VLOOKUP(AE469,t_objeto!B:D,3,FALSE),"-",A469)</f>
        <v>RMAT-PERCCO-468</v>
      </c>
      <c r="C469" s="22" t="str">
        <f t="shared" si="78"/>
        <v>LAMINA_LISA__ACERO_GALVANIZADA_4'X10'_25</v>
      </c>
      <c r="D469" s="14" t="s">
        <v>7412</v>
      </c>
      <c r="E469" s="14" t="s">
        <v>7385</v>
      </c>
      <c r="F469" s="21" t="s">
        <v>7386</v>
      </c>
      <c r="G469" s="22" t="s">
        <v>7387</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7356</v>
      </c>
      <c r="AF469" s="1" t="str">
        <f>VLOOKUP(AE469,t_objeto!B:C,2,FALSE)</f>
        <v>RAW_MATERIAL</v>
      </c>
      <c r="AG469" s="1">
        <v>8</v>
      </c>
      <c r="AH469" s="1" t="str">
        <f>VLOOKUP(AG469,t_entry_status!A:AE,2,FALSE)</f>
        <v>PENDING</v>
      </c>
      <c r="AI469" s="7">
        <v>45560</v>
      </c>
      <c r="AJ469" s="1" t="s">
        <v>7455</v>
      </c>
      <c r="AK469" s="7">
        <v>45560</v>
      </c>
      <c r="AL469" s="1" t="s">
        <v>7455</v>
      </c>
    </row>
    <row r="470" spans="1:38" s="20" customFormat="1" x14ac:dyDescent="0.3">
      <c r="A470" s="14">
        <v>469</v>
      </c>
      <c r="B470" s="14" t="str">
        <f>_xlfn.CONCAT(AE470,"-",VLOOKUP(AE470,t_objeto!B:D,3,FALSE),"-",A470)</f>
        <v>RMAT-PERCCO-469</v>
      </c>
      <c r="C470" s="22" t="str">
        <f t="shared" si="78"/>
        <v>LAMINA_LISA__ACERO_GALVANIZADA_4'X10'_26</v>
      </c>
      <c r="D470" s="14" t="s">
        <v>7412</v>
      </c>
      <c r="E470" s="14" t="s">
        <v>7385</v>
      </c>
      <c r="F470" s="21" t="s">
        <v>7386</v>
      </c>
      <c r="G470" s="22" t="s">
        <v>7387</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7356</v>
      </c>
      <c r="AF470" s="1" t="str">
        <f>VLOOKUP(AE470,t_objeto!B:C,2,FALSE)</f>
        <v>RAW_MATERIAL</v>
      </c>
      <c r="AG470" s="1">
        <v>8</v>
      </c>
      <c r="AH470" s="1" t="str">
        <f>VLOOKUP(AG470,t_entry_status!A:AE,2,FALSE)</f>
        <v>PENDING</v>
      </c>
      <c r="AI470" s="7">
        <v>45560</v>
      </c>
      <c r="AJ470" s="1" t="s">
        <v>7455</v>
      </c>
      <c r="AK470" s="7">
        <v>45560</v>
      </c>
      <c r="AL470" s="1" t="s">
        <v>7455</v>
      </c>
    </row>
    <row r="471" spans="1:38" s="20" customFormat="1" x14ac:dyDescent="0.3">
      <c r="A471" s="14">
        <v>470</v>
      </c>
      <c r="B471" s="14" t="str">
        <f>_xlfn.CONCAT(AE471,"-",VLOOKUP(AE471,t_objeto!B:D,3,FALSE),"-",A471)</f>
        <v>RMAT-PERCCO-470</v>
      </c>
      <c r="C471" s="22" t="str">
        <f t="shared" si="78"/>
        <v>LAMINA_LISA__ACERO_GALVANIZADA_4'X10'_27</v>
      </c>
      <c r="D471" s="14" t="s">
        <v>7412</v>
      </c>
      <c r="E471" s="14" t="s">
        <v>7385</v>
      </c>
      <c r="F471" s="21" t="s">
        <v>7386</v>
      </c>
      <c r="G471" s="22" t="s">
        <v>7387</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7356</v>
      </c>
      <c r="AF471" s="1" t="str">
        <f>VLOOKUP(AE471,t_objeto!B:C,2,FALSE)</f>
        <v>RAW_MATERIAL</v>
      </c>
      <c r="AG471" s="1">
        <v>8</v>
      </c>
      <c r="AH471" s="1" t="str">
        <f>VLOOKUP(AG471,t_entry_status!A:AE,2,FALSE)</f>
        <v>PENDING</v>
      </c>
      <c r="AI471" s="7">
        <v>45560</v>
      </c>
      <c r="AJ471" s="1" t="s">
        <v>7455</v>
      </c>
      <c r="AK471" s="7">
        <v>45560</v>
      </c>
      <c r="AL471" s="1" t="s">
        <v>7455</v>
      </c>
    </row>
    <row r="472" spans="1:38" s="20" customFormat="1" x14ac:dyDescent="0.3">
      <c r="A472" s="14">
        <v>471</v>
      </c>
      <c r="B472" s="14" t="str">
        <f>_xlfn.CONCAT(AE472,"-",VLOOKUP(AE472,t_objeto!B:D,3,FALSE),"-",A472)</f>
        <v>RMAT-PERCCO-471</v>
      </c>
      <c r="C472" s="22" t="str">
        <f t="shared" si="78"/>
        <v>LAMINA_LISA__ACERO_GALVANIZADA_4'X10'_28</v>
      </c>
      <c r="D472" s="14" t="s">
        <v>7412</v>
      </c>
      <c r="E472" s="14" t="s">
        <v>7385</v>
      </c>
      <c r="F472" s="21" t="s">
        <v>7386</v>
      </c>
      <c r="G472" s="22" t="s">
        <v>7387</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7356</v>
      </c>
      <c r="AF472" s="1" t="str">
        <f>VLOOKUP(AE472,t_objeto!B:C,2,FALSE)</f>
        <v>RAW_MATERIAL</v>
      </c>
      <c r="AG472" s="1">
        <v>8</v>
      </c>
      <c r="AH472" s="1" t="str">
        <f>VLOOKUP(AG472,t_entry_status!A:AE,2,FALSE)</f>
        <v>PENDING</v>
      </c>
      <c r="AI472" s="7">
        <v>45560</v>
      </c>
      <c r="AJ472" s="1" t="s">
        <v>7455</v>
      </c>
      <c r="AK472" s="7">
        <v>45560</v>
      </c>
      <c r="AL472" s="1" t="s">
        <v>7455</v>
      </c>
    </row>
    <row r="473" spans="1:38" s="20" customFormat="1" x14ac:dyDescent="0.3">
      <c r="A473" s="14">
        <v>472</v>
      </c>
      <c r="B473" s="14" t="str">
        <f>_xlfn.CONCAT(AE473,"-",VLOOKUP(AE473,t_objeto!B:D,3,FALSE),"-",A473)</f>
        <v>RMAT-PERCCO-472</v>
      </c>
      <c r="C473" s="22" t="str">
        <f t="shared" si="78"/>
        <v>LAMINA_LISA__ACERO_PINTRO_4'X10'_12</v>
      </c>
      <c r="D473" s="14" t="s">
        <v>7412</v>
      </c>
      <c r="E473" s="14" t="s">
        <v>7385</v>
      </c>
      <c r="F473" s="21" t="s">
        <v>7388</v>
      </c>
      <c r="G473" s="22" t="s">
        <v>7387</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7356</v>
      </c>
      <c r="AF473" s="1" t="str">
        <f>VLOOKUP(AE473,t_objeto!B:C,2,FALSE)</f>
        <v>RAW_MATERIAL</v>
      </c>
      <c r="AG473" s="1">
        <v>8</v>
      </c>
      <c r="AH473" s="1" t="str">
        <f>VLOOKUP(AG473,t_entry_status!A:AE,2,FALSE)</f>
        <v>PENDING</v>
      </c>
      <c r="AI473" s="7">
        <v>45560</v>
      </c>
      <c r="AJ473" s="1" t="s">
        <v>7455</v>
      </c>
      <c r="AK473" s="7">
        <v>45560</v>
      </c>
      <c r="AL473" s="1" t="s">
        <v>7455</v>
      </c>
    </row>
    <row r="474" spans="1:38" s="20" customFormat="1" x14ac:dyDescent="0.3">
      <c r="A474" s="14">
        <v>473</v>
      </c>
      <c r="B474" s="14" t="str">
        <f>_xlfn.CONCAT(AE474,"-",VLOOKUP(AE474,t_objeto!B:D,3,FALSE),"-",A474)</f>
        <v>RMAT-PERCCO-473</v>
      </c>
      <c r="C474" s="22" t="str">
        <f t="shared" si="78"/>
        <v>LAMINA_LISA__ACERO_PINTRO_4'X10'_13</v>
      </c>
      <c r="D474" s="14" t="s">
        <v>7412</v>
      </c>
      <c r="E474" s="14" t="s">
        <v>7385</v>
      </c>
      <c r="F474" s="21" t="s">
        <v>7388</v>
      </c>
      <c r="G474" s="22" t="s">
        <v>7387</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7356</v>
      </c>
      <c r="AF474" s="1" t="str">
        <f>VLOOKUP(AE474,t_objeto!B:C,2,FALSE)</f>
        <v>RAW_MATERIAL</v>
      </c>
      <c r="AG474" s="1">
        <v>8</v>
      </c>
      <c r="AH474" s="1" t="str">
        <f>VLOOKUP(AG474,t_entry_status!A:AE,2,FALSE)</f>
        <v>PENDING</v>
      </c>
      <c r="AI474" s="7">
        <v>45560</v>
      </c>
      <c r="AJ474" s="1" t="s">
        <v>7455</v>
      </c>
      <c r="AK474" s="7">
        <v>45560</v>
      </c>
      <c r="AL474" s="1" t="s">
        <v>7455</v>
      </c>
    </row>
    <row r="475" spans="1:38" s="20" customFormat="1" ht="18" x14ac:dyDescent="0.35">
      <c r="A475" s="14">
        <v>474</v>
      </c>
      <c r="B475" s="14" t="str">
        <f>_xlfn.CONCAT(AE475,"-",VLOOKUP(AE475,t_objeto!B:D,3,FALSE),"-",A475)</f>
        <v>RMAT-PERCCO-474</v>
      </c>
      <c r="C475" s="22" t="str">
        <f t="shared" si="78"/>
        <v>LAMINA_LISA__ACERO_PINTRO_4'X10'_14</v>
      </c>
      <c r="D475" s="14" t="s">
        <v>7412</v>
      </c>
      <c r="E475" s="14" t="s">
        <v>7385</v>
      </c>
      <c r="F475" s="21" t="s">
        <v>7388</v>
      </c>
      <c r="G475" s="22" t="s">
        <v>7387</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7356</v>
      </c>
      <c r="AF475" s="1" t="str">
        <f>VLOOKUP(AE475,t_objeto!B:C,2,FALSE)</f>
        <v>RAW_MATERIAL</v>
      </c>
      <c r="AG475" s="1">
        <v>8</v>
      </c>
      <c r="AH475" s="1" t="str">
        <f>VLOOKUP(AG475,t_entry_status!A:AE,2,FALSE)</f>
        <v>PENDING</v>
      </c>
      <c r="AI475" s="7">
        <v>45560</v>
      </c>
      <c r="AJ475" s="1" t="s">
        <v>7455</v>
      </c>
      <c r="AK475" s="7">
        <v>45560</v>
      </c>
      <c r="AL475" s="1" t="s">
        <v>7455</v>
      </c>
    </row>
    <row r="476" spans="1:38" s="20" customFormat="1" x14ac:dyDescent="0.3">
      <c r="A476" s="14">
        <v>475</v>
      </c>
      <c r="B476" s="14" t="str">
        <f>_xlfn.CONCAT(AE476,"-",VLOOKUP(AE476,t_objeto!B:D,3,FALSE),"-",A476)</f>
        <v>RMAT-PERCCO-475</v>
      </c>
      <c r="C476" s="22" t="str">
        <f t="shared" si="78"/>
        <v>LAMINA_LISA__ACERO_PINTRO_4'X10'_15</v>
      </c>
      <c r="D476" s="14" t="s">
        <v>7412</v>
      </c>
      <c r="E476" s="14" t="s">
        <v>7385</v>
      </c>
      <c r="F476" s="21" t="s">
        <v>7388</v>
      </c>
      <c r="G476" s="22" t="s">
        <v>7387</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7356</v>
      </c>
      <c r="AF476" s="1" t="str">
        <f>VLOOKUP(AE476,t_objeto!B:C,2,FALSE)</f>
        <v>RAW_MATERIAL</v>
      </c>
      <c r="AG476" s="1">
        <v>8</v>
      </c>
      <c r="AH476" s="1" t="str">
        <f>VLOOKUP(AG476,t_entry_status!A:AE,2,FALSE)</f>
        <v>PENDING</v>
      </c>
      <c r="AI476" s="7">
        <v>45560</v>
      </c>
      <c r="AJ476" s="1" t="s">
        <v>7455</v>
      </c>
      <c r="AK476" s="7">
        <v>45560</v>
      </c>
      <c r="AL476" s="1" t="s">
        <v>7455</v>
      </c>
    </row>
    <row r="477" spans="1:38" s="20" customFormat="1" x14ac:dyDescent="0.3">
      <c r="A477" s="14">
        <v>476</v>
      </c>
      <c r="B477" s="14" t="str">
        <f>_xlfn.CONCAT(AE477,"-",VLOOKUP(AE477,t_objeto!B:D,3,FALSE),"-",A477)</f>
        <v>RMAT-PERCCO-476</v>
      </c>
      <c r="C477" s="22" t="str">
        <f t="shared" si="78"/>
        <v>LAMINA_LISA__ACERO_PINTRO_4'X10'_16</v>
      </c>
      <c r="D477" s="14" t="s">
        <v>7412</v>
      </c>
      <c r="E477" s="14" t="s">
        <v>7385</v>
      </c>
      <c r="F477" s="21" t="s">
        <v>7388</v>
      </c>
      <c r="G477" s="22" t="s">
        <v>7387</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7356</v>
      </c>
      <c r="AF477" s="1" t="str">
        <f>VLOOKUP(AE477,t_objeto!B:C,2,FALSE)</f>
        <v>RAW_MATERIAL</v>
      </c>
      <c r="AG477" s="1">
        <v>8</v>
      </c>
      <c r="AH477" s="1" t="str">
        <f>VLOOKUP(AG477,t_entry_status!A:AE,2,FALSE)</f>
        <v>PENDING</v>
      </c>
      <c r="AI477" s="7">
        <v>45560</v>
      </c>
      <c r="AJ477" s="1" t="s">
        <v>7455</v>
      </c>
      <c r="AK477" s="7">
        <v>45560</v>
      </c>
      <c r="AL477" s="1" t="s">
        <v>7455</v>
      </c>
    </row>
    <row r="478" spans="1:38" s="20" customFormat="1" x14ac:dyDescent="0.3">
      <c r="A478" s="14">
        <v>477</v>
      </c>
      <c r="B478" s="14" t="str">
        <f>_xlfn.CONCAT(AE478,"-",VLOOKUP(AE478,t_objeto!B:D,3,FALSE),"-",A478)</f>
        <v>RMAT-PERCCO-477</v>
      </c>
      <c r="C478" s="22" t="str">
        <f t="shared" si="78"/>
        <v>LAMINA_LISA__ACERO_PINTRO_4'X10'_17</v>
      </c>
      <c r="D478" s="14" t="s">
        <v>7412</v>
      </c>
      <c r="E478" s="14" t="s">
        <v>7385</v>
      </c>
      <c r="F478" s="21" t="s">
        <v>7388</v>
      </c>
      <c r="G478" s="22" t="s">
        <v>7387</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7356</v>
      </c>
      <c r="AF478" s="1" t="str">
        <f>VLOOKUP(AE478,t_objeto!B:C,2,FALSE)</f>
        <v>RAW_MATERIAL</v>
      </c>
      <c r="AG478" s="1">
        <v>8</v>
      </c>
      <c r="AH478" s="1" t="str">
        <f>VLOOKUP(AG478,t_entry_status!A:AE,2,FALSE)</f>
        <v>PENDING</v>
      </c>
      <c r="AI478" s="7">
        <v>45560</v>
      </c>
      <c r="AJ478" s="1" t="s">
        <v>7455</v>
      </c>
      <c r="AK478" s="7">
        <v>45560</v>
      </c>
      <c r="AL478" s="1" t="s">
        <v>7455</v>
      </c>
    </row>
    <row r="479" spans="1:38" s="20" customFormat="1" x14ac:dyDescent="0.3">
      <c r="A479" s="14">
        <v>478</v>
      </c>
      <c r="B479" s="14" t="str">
        <f>_xlfn.CONCAT(AE479,"-",VLOOKUP(AE479,t_objeto!B:D,3,FALSE),"-",A479)</f>
        <v>RMAT-PERCCO-478</v>
      </c>
      <c r="C479" s="22" t="str">
        <f t="shared" si="78"/>
        <v>LAMINA_LISA__ACERO_PINTRO_4'X10'_18</v>
      </c>
      <c r="D479" s="14" t="s">
        <v>7412</v>
      </c>
      <c r="E479" s="14" t="s">
        <v>7385</v>
      </c>
      <c r="F479" s="21" t="s">
        <v>7388</v>
      </c>
      <c r="G479" s="22" t="s">
        <v>7387</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7356</v>
      </c>
      <c r="AF479" s="1" t="str">
        <f>VLOOKUP(AE479,t_objeto!B:C,2,FALSE)</f>
        <v>RAW_MATERIAL</v>
      </c>
      <c r="AG479" s="1">
        <v>8</v>
      </c>
      <c r="AH479" s="1" t="str">
        <f>VLOOKUP(AG479,t_entry_status!A:AE,2,FALSE)</f>
        <v>PENDING</v>
      </c>
      <c r="AI479" s="7">
        <v>45560</v>
      </c>
      <c r="AJ479" s="1" t="s">
        <v>7455</v>
      </c>
      <c r="AK479" s="7">
        <v>45560</v>
      </c>
      <c r="AL479" s="1" t="s">
        <v>7455</v>
      </c>
    </row>
    <row r="480" spans="1:38" s="20" customFormat="1" x14ac:dyDescent="0.3">
      <c r="A480" s="14">
        <v>479</v>
      </c>
      <c r="B480" s="14" t="str">
        <f>_xlfn.CONCAT(AE480,"-",VLOOKUP(AE480,t_objeto!B:D,3,FALSE),"-",A480)</f>
        <v>RMAT-PERCCO-479</v>
      </c>
      <c r="C480" s="22" t="str">
        <f t="shared" si="78"/>
        <v>LAMINA_LISA__ACERO_PINTRO_4'X10'_19</v>
      </c>
      <c r="D480" s="14" t="s">
        <v>7412</v>
      </c>
      <c r="E480" s="14" t="s">
        <v>7385</v>
      </c>
      <c r="F480" s="21" t="s">
        <v>7388</v>
      </c>
      <c r="G480" s="22" t="s">
        <v>7387</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7356</v>
      </c>
      <c r="AF480" s="1" t="str">
        <f>VLOOKUP(AE480,t_objeto!B:C,2,FALSE)</f>
        <v>RAW_MATERIAL</v>
      </c>
      <c r="AG480" s="1">
        <v>8</v>
      </c>
      <c r="AH480" s="1" t="str">
        <f>VLOOKUP(AG480,t_entry_status!A:AE,2,FALSE)</f>
        <v>PENDING</v>
      </c>
      <c r="AI480" s="7">
        <v>45560</v>
      </c>
      <c r="AJ480" s="1" t="s">
        <v>7455</v>
      </c>
      <c r="AK480" s="7">
        <v>45560</v>
      </c>
      <c r="AL480" s="1" t="s">
        <v>7455</v>
      </c>
    </row>
    <row r="481" spans="1:38" s="20" customFormat="1" x14ac:dyDescent="0.3">
      <c r="A481" s="14">
        <v>480</v>
      </c>
      <c r="B481" s="14" t="str">
        <f>_xlfn.CONCAT(AE481,"-",VLOOKUP(AE481,t_objeto!B:D,3,FALSE),"-",A481)</f>
        <v>RMAT-PERCCO-480</v>
      </c>
      <c r="C481" s="22" t="str">
        <f t="shared" si="78"/>
        <v>LAMINA_LISA__ACERO_PINTRO_4'X10'_20</v>
      </c>
      <c r="D481" s="14" t="s">
        <v>7412</v>
      </c>
      <c r="E481" s="14" t="s">
        <v>7385</v>
      </c>
      <c r="F481" s="21" t="s">
        <v>7388</v>
      </c>
      <c r="G481" s="22" t="s">
        <v>7387</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7356</v>
      </c>
      <c r="AF481" s="1" t="str">
        <f>VLOOKUP(AE481,t_objeto!B:C,2,FALSE)</f>
        <v>RAW_MATERIAL</v>
      </c>
      <c r="AG481" s="1">
        <v>8</v>
      </c>
      <c r="AH481" s="1" t="str">
        <f>VLOOKUP(AG481,t_entry_status!A:AE,2,FALSE)</f>
        <v>PENDING</v>
      </c>
      <c r="AI481" s="7">
        <v>45560</v>
      </c>
      <c r="AJ481" s="1" t="s">
        <v>7455</v>
      </c>
      <c r="AK481" s="7">
        <v>45560</v>
      </c>
      <c r="AL481" s="1" t="s">
        <v>7455</v>
      </c>
    </row>
    <row r="482" spans="1:38" s="20" customFormat="1" x14ac:dyDescent="0.3">
      <c r="A482" s="14">
        <v>481</v>
      </c>
      <c r="B482" s="14" t="str">
        <f>_xlfn.CONCAT(AE482,"-",VLOOKUP(AE482,t_objeto!B:D,3,FALSE),"-",A482)</f>
        <v>RMAT-PERCCO-481</v>
      </c>
      <c r="C482" s="22" t="str">
        <f t="shared" si="78"/>
        <v>LAMINA_LISA__ACERO_PINTRO_4'X10'_21</v>
      </c>
      <c r="D482" s="14" t="s">
        <v>7412</v>
      </c>
      <c r="E482" s="14" t="s">
        <v>7385</v>
      </c>
      <c r="F482" s="21" t="s">
        <v>7388</v>
      </c>
      <c r="G482" s="22" t="s">
        <v>7387</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7356</v>
      </c>
      <c r="AF482" s="1" t="str">
        <f>VLOOKUP(AE482,t_objeto!B:C,2,FALSE)</f>
        <v>RAW_MATERIAL</v>
      </c>
      <c r="AG482" s="1">
        <v>8</v>
      </c>
      <c r="AH482" s="1" t="str">
        <f>VLOOKUP(AG482,t_entry_status!A:AE,2,FALSE)</f>
        <v>PENDING</v>
      </c>
      <c r="AI482" s="7">
        <v>45560</v>
      </c>
      <c r="AJ482" s="1" t="s">
        <v>7455</v>
      </c>
      <c r="AK482" s="7">
        <v>45560</v>
      </c>
      <c r="AL482" s="1" t="s">
        <v>7455</v>
      </c>
    </row>
    <row r="483" spans="1:38" s="20" customFormat="1" x14ac:dyDescent="0.3">
      <c r="A483" s="14">
        <v>482</v>
      </c>
      <c r="B483" s="14" t="str">
        <f>_xlfn.CONCAT(AE483,"-",VLOOKUP(AE483,t_objeto!B:D,3,FALSE),"-",A483)</f>
        <v>RMAT-PERCCO-482</v>
      </c>
      <c r="C483" s="22" t="str">
        <f t="shared" si="78"/>
        <v>LAMINA_LISA__ACERO_PINTRO_4'X10'_22</v>
      </c>
      <c r="D483" s="14" t="s">
        <v>7412</v>
      </c>
      <c r="E483" s="14" t="s">
        <v>7385</v>
      </c>
      <c r="F483" s="21" t="s">
        <v>7388</v>
      </c>
      <c r="G483" s="22" t="s">
        <v>7387</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7356</v>
      </c>
      <c r="AF483" s="1" t="str">
        <f>VLOOKUP(AE483,t_objeto!B:C,2,FALSE)</f>
        <v>RAW_MATERIAL</v>
      </c>
      <c r="AG483" s="1">
        <v>8</v>
      </c>
      <c r="AH483" s="1" t="str">
        <f>VLOOKUP(AG483,t_entry_status!A:AE,2,FALSE)</f>
        <v>PENDING</v>
      </c>
      <c r="AI483" s="7">
        <v>45560</v>
      </c>
      <c r="AJ483" s="1" t="s">
        <v>7455</v>
      </c>
      <c r="AK483" s="7">
        <v>45560</v>
      </c>
      <c r="AL483" s="1" t="s">
        <v>7455</v>
      </c>
    </row>
    <row r="484" spans="1:38" s="20" customFormat="1" x14ac:dyDescent="0.3">
      <c r="A484" s="14">
        <v>483</v>
      </c>
      <c r="B484" s="14" t="str">
        <f>_xlfn.CONCAT(AE484,"-",VLOOKUP(AE484,t_objeto!B:D,3,FALSE),"-",A484)</f>
        <v>RMAT-PERCCO-483</v>
      </c>
      <c r="C484" s="22" t="str">
        <f t="shared" si="78"/>
        <v>LAMINA_LISA__ACERO_PINTRO_4'X10'_23</v>
      </c>
      <c r="D484" s="14" t="s">
        <v>7412</v>
      </c>
      <c r="E484" s="14" t="s">
        <v>7385</v>
      </c>
      <c r="F484" s="21" t="s">
        <v>7388</v>
      </c>
      <c r="G484" s="22" t="s">
        <v>7387</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7356</v>
      </c>
      <c r="AF484" s="1" t="str">
        <f>VLOOKUP(AE484,t_objeto!B:C,2,FALSE)</f>
        <v>RAW_MATERIAL</v>
      </c>
      <c r="AG484" s="1">
        <v>8</v>
      </c>
      <c r="AH484" s="1" t="str">
        <f>VLOOKUP(AG484,t_entry_status!A:AE,2,FALSE)</f>
        <v>PENDING</v>
      </c>
      <c r="AI484" s="7">
        <v>45560</v>
      </c>
      <c r="AJ484" s="1" t="s">
        <v>7455</v>
      </c>
      <c r="AK484" s="7">
        <v>45560</v>
      </c>
      <c r="AL484" s="1" t="s">
        <v>7455</v>
      </c>
    </row>
    <row r="485" spans="1:38" s="20" customFormat="1" x14ac:dyDescent="0.3">
      <c r="A485" s="14">
        <v>484</v>
      </c>
      <c r="B485" s="14" t="str">
        <f>_xlfn.CONCAT(AE485,"-",VLOOKUP(AE485,t_objeto!B:D,3,FALSE),"-",A485)</f>
        <v>RMAT-PERCCO-484</v>
      </c>
      <c r="C485" s="22" t="str">
        <f t="shared" si="78"/>
        <v>LAMINA_LISA__ACERO_PINTRO_4'X10'_24</v>
      </c>
      <c r="D485" s="14" t="s">
        <v>7412</v>
      </c>
      <c r="E485" s="14" t="s">
        <v>7385</v>
      </c>
      <c r="F485" s="21" t="s">
        <v>7388</v>
      </c>
      <c r="G485" s="22" t="s">
        <v>7387</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7356</v>
      </c>
      <c r="AF485" s="1" t="str">
        <f>VLOOKUP(AE485,t_objeto!B:C,2,FALSE)</f>
        <v>RAW_MATERIAL</v>
      </c>
      <c r="AG485" s="1">
        <v>8</v>
      </c>
      <c r="AH485" s="1" t="str">
        <f>VLOOKUP(AG485,t_entry_status!A:AE,2,FALSE)</f>
        <v>PENDING</v>
      </c>
      <c r="AI485" s="7">
        <v>45560</v>
      </c>
      <c r="AJ485" s="1" t="s">
        <v>7455</v>
      </c>
      <c r="AK485" s="7">
        <v>45560</v>
      </c>
      <c r="AL485" s="1" t="s">
        <v>7455</v>
      </c>
    </row>
    <row r="486" spans="1:38" s="20" customFormat="1" x14ac:dyDescent="0.3">
      <c r="A486" s="14">
        <v>485</v>
      </c>
      <c r="B486" s="14" t="str">
        <f>_xlfn.CONCAT(AE486,"-",VLOOKUP(AE486,t_objeto!B:D,3,FALSE),"-",A486)</f>
        <v>RMAT-PERCCO-485</v>
      </c>
      <c r="C486" s="22" t="str">
        <f t="shared" si="78"/>
        <v>LAMINA_LISA__ACERO_PINTRO_4'X10'_25</v>
      </c>
      <c r="D486" s="14" t="s">
        <v>7412</v>
      </c>
      <c r="E486" s="14" t="s">
        <v>7385</v>
      </c>
      <c r="F486" s="21" t="s">
        <v>7388</v>
      </c>
      <c r="G486" s="22" t="s">
        <v>7387</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7356</v>
      </c>
      <c r="AF486" s="1" t="str">
        <f>VLOOKUP(AE486,t_objeto!B:C,2,FALSE)</f>
        <v>RAW_MATERIAL</v>
      </c>
      <c r="AG486" s="1">
        <v>8</v>
      </c>
      <c r="AH486" s="1" t="str">
        <f>VLOOKUP(AG486,t_entry_status!A:AE,2,FALSE)</f>
        <v>PENDING</v>
      </c>
      <c r="AI486" s="7">
        <v>45560</v>
      </c>
      <c r="AJ486" s="1" t="s">
        <v>7455</v>
      </c>
      <c r="AK486" s="7">
        <v>45560</v>
      </c>
      <c r="AL486" s="1" t="s">
        <v>7455</v>
      </c>
    </row>
    <row r="487" spans="1:38" s="20" customFormat="1" x14ac:dyDescent="0.3">
      <c r="A487" s="14">
        <v>486</v>
      </c>
      <c r="B487" s="14" t="str">
        <f>_xlfn.CONCAT(AE487,"-",VLOOKUP(AE487,t_objeto!B:D,3,FALSE),"-",A487)</f>
        <v>RMAT-PERCCO-486</v>
      </c>
      <c r="C487" s="22" t="str">
        <f t="shared" si="78"/>
        <v>LAMINA_LISA__ACERO_PINTRO_4'X10'_26</v>
      </c>
      <c r="D487" s="14" t="s">
        <v>7412</v>
      </c>
      <c r="E487" s="14" t="s">
        <v>7385</v>
      </c>
      <c r="F487" s="21" t="s">
        <v>7388</v>
      </c>
      <c r="G487" s="22" t="s">
        <v>7387</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7356</v>
      </c>
      <c r="AF487" s="1" t="str">
        <f>VLOOKUP(AE487,t_objeto!B:C,2,FALSE)</f>
        <v>RAW_MATERIAL</v>
      </c>
      <c r="AG487" s="1">
        <v>8</v>
      </c>
      <c r="AH487" s="1" t="str">
        <f>VLOOKUP(AG487,t_entry_status!A:AE,2,FALSE)</f>
        <v>PENDING</v>
      </c>
      <c r="AI487" s="7">
        <v>45560</v>
      </c>
      <c r="AJ487" s="1" t="s">
        <v>7455</v>
      </c>
      <c r="AK487" s="7">
        <v>45560</v>
      </c>
      <c r="AL487" s="1" t="s">
        <v>7455</v>
      </c>
    </row>
    <row r="488" spans="1:38" s="20" customFormat="1" x14ac:dyDescent="0.3">
      <c r="A488" s="14">
        <v>487</v>
      </c>
      <c r="B488" s="14" t="str">
        <f>_xlfn.CONCAT(AE488,"-",VLOOKUP(AE488,t_objeto!B:D,3,FALSE),"-",A488)</f>
        <v>RMAT-PERCCO-487</v>
      </c>
      <c r="C488" s="22" t="str">
        <f t="shared" si="78"/>
        <v>LAMINA_LISA__ACERO_PINTRO_4'X10'_27</v>
      </c>
      <c r="D488" s="14" t="s">
        <v>7412</v>
      </c>
      <c r="E488" s="14" t="s">
        <v>7385</v>
      </c>
      <c r="F488" s="21" t="s">
        <v>7388</v>
      </c>
      <c r="G488" s="22" t="s">
        <v>7387</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7356</v>
      </c>
      <c r="AF488" s="1" t="str">
        <f>VLOOKUP(AE488,t_objeto!B:C,2,FALSE)</f>
        <v>RAW_MATERIAL</v>
      </c>
      <c r="AG488" s="1">
        <v>8</v>
      </c>
      <c r="AH488" s="1" t="str">
        <f>VLOOKUP(AG488,t_entry_status!A:AE,2,FALSE)</f>
        <v>PENDING</v>
      </c>
      <c r="AI488" s="7">
        <v>45560</v>
      </c>
      <c r="AJ488" s="1" t="s">
        <v>7455</v>
      </c>
      <c r="AK488" s="7">
        <v>45560</v>
      </c>
      <c r="AL488" s="1" t="s">
        <v>7455</v>
      </c>
    </row>
    <row r="489" spans="1:38" s="20" customFormat="1" x14ac:dyDescent="0.3">
      <c r="A489" s="14">
        <v>488</v>
      </c>
      <c r="B489" s="14" t="str">
        <f>_xlfn.CONCAT(AE489,"-",VLOOKUP(AE489,t_objeto!B:D,3,FALSE),"-",A489)</f>
        <v>RMAT-PERCCO-488</v>
      </c>
      <c r="C489" s="22" t="str">
        <f t="shared" si="78"/>
        <v>LAMINA_LISA__ACERO_PINTRO_4'X10'_28</v>
      </c>
      <c r="D489" s="14" t="s">
        <v>7412</v>
      </c>
      <c r="E489" s="14" t="s">
        <v>7385</v>
      </c>
      <c r="F489" s="21" t="s">
        <v>7388</v>
      </c>
      <c r="G489" s="22" t="s">
        <v>7387</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7356</v>
      </c>
      <c r="AF489" s="1" t="str">
        <f>VLOOKUP(AE489,t_objeto!B:C,2,FALSE)</f>
        <v>RAW_MATERIAL</v>
      </c>
      <c r="AG489" s="1">
        <v>8</v>
      </c>
      <c r="AH489" s="1" t="str">
        <f>VLOOKUP(AG489,t_entry_status!A:AE,2,FALSE)</f>
        <v>PENDING</v>
      </c>
      <c r="AI489" s="7">
        <v>45560</v>
      </c>
      <c r="AJ489" s="1" t="s">
        <v>7455</v>
      </c>
      <c r="AK489" s="7">
        <v>45560</v>
      </c>
      <c r="AL489" s="1" t="s">
        <v>7455</v>
      </c>
    </row>
    <row r="490" spans="1:38" s="20" customFormat="1" x14ac:dyDescent="0.3">
      <c r="A490" s="14">
        <v>489</v>
      </c>
      <c r="B490" s="14" t="str">
        <f>_xlfn.CONCAT(AE490,"-",VLOOKUP(AE490,t_objeto!B:D,3,FALSE),"-",A490)</f>
        <v>RMAT-PERCCO-489</v>
      </c>
      <c r="C490" s="22" t="str">
        <f t="shared" si="78"/>
        <v>LAMINA_LISA__ACERO_PINTRO_4'X10'_29</v>
      </c>
      <c r="D490" s="14" t="s">
        <v>7412</v>
      </c>
      <c r="E490" s="14" t="s">
        <v>7385</v>
      </c>
      <c r="F490" s="21" t="s">
        <v>7388</v>
      </c>
      <c r="G490" s="22" t="s">
        <v>7387</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7356</v>
      </c>
      <c r="AF490" s="1" t="str">
        <f>VLOOKUP(AE490,t_objeto!B:C,2,FALSE)</f>
        <v>RAW_MATERIAL</v>
      </c>
      <c r="AG490" s="1">
        <v>8</v>
      </c>
      <c r="AH490" s="1" t="str">
        <f>VLOOKUP(AG490,t_entry_status!A:AE,2,FALSE)</f>
        <v>PENDING</v>
      </c>
      <c r="AI490" s="7">
        <v>45560</v>
      </c>
      <c r="AJ490" s="1" t="s">
        <v>7455</v>
      </c>
      <c r="AK490" s="7">
        <v>45560</v>
      </c>
      <c r="AL490" s="1" t="s">
        <v>7455</v>
      </c>
    </row>
    <row r="491" spans="1:38" s="20" customFormat="1" x14ac:dyDescent="0.3">
      <c r="A491" s="14">
        <v>490</v>
      </c>
      <c r="B491" s="14" t="str">
        <f>_xlfn.CONCAT(AE491,"-",VLOOKUP(AE491,t_objeto!B:D,3,FALSE),"-",A491)</f>
        <v>RMAT-PERCCO-490</v>
      </c>
      <c r="C491" s="22" t="str">
        <f t="shared" si="78"/>
        <v>LAMINA_LISA__ACERO_PINTRO_4'X10'_30</v>
      </c>
      <c r="D491" s="14" t="s">
        <v>7412</v>
      </c>
      <c r="E491" s="14" t="s">
        <v>7385</v>
      </c>
      <c r="F491" s="21" t="s">
        <v>7388</v>
      </c>
      <c r="G491" s="22" t="s">
        <v>7387</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7356</v>
      </c>
      <c r="AF491" s="1" t="str">
        <f>VLOOKUP(AE491,t_objeto!B:C,2,FALSE)</f>
        <v>RAW_MATERIAL</v>
      </c>
      <c r="AG491" s="1">
        <v>8</v>
      </c>
      <c r="AH491" s="1" t="str">
        <f>VLOOKUP(AG491,t_entry_status!A:AE,2,FALSE)</f>
        <v>PENDING</v>
      </c>
      <c r="AI491" s="7">
        <v>45560</v>
      </c>
      <c r="AJ491" s="1" t="s">
        <v>7455</v>
      </c>
      <c r="AK491" s="7">
        <v>45560</v>
      </c>
      <c r="AL491" s="1" t="s">
        <v>7455</v>
      </c>
    </row>
    <row r="492" spans="1:38" s="20" customFormat="1" x14ac:dyDescent="0.3">
      <c r="A492" s="14">
        <v>491</v>
      </c>
      <c r="B492" s="14" t="str">
        <f>_xlfn.CONCAT(AE492,"-",VLOOKUP(AE492,t_objeto!B:D,3,FALSE),"-",A492)</f>
        <v>RMAT-PERCCO-491</v>
      </c>
      <c r="C492" s="22" t="str">
        <f t="shared" si="78"/>
        <v>PLACA__ACERO_ROLADA EN CALIENTE_4'X10'_1"</v>
      </c>
      <c r="D492" s="14" t="s">
        <v>7390</v>
      </c>
      <c r="E492" s="14" t="s">
        <v>7385</v>
      </c>
      <c r="F492" s="21" t="s">
        <v>7391</v>
      </c>
      <c r="G492" s="22" t="s">
        <v>7387</v>
      </c>
      <c r="H492" s="14" t="s">
        <v>7392</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7356</v>
      </c>
      <c r="AF492" s="1" t="str">
        <f>VLOOKUP(AE492,t_objeto!B:C,2,FALSE)</f>
        <v>RAW_MATERIAL</v>
      </c>
      <c r="AG492" s="1">
        <v>8</v>
      </c>
      <c r="AH492" s="1" t="str">
        <f>VLOOKUP(AG492,t_entry_status!A:AE,2,FALSE)</f>
        <v>PENDING</v>
      </c>
      <c r="AI492" s="7">
        <v>45560</v>
      </c>
      <c r="AJ492" s="1" t="s">
        <v>7455</v>
      </c>
      <c r="AK492" s="7">
        <v>45560</v>
      </c>
      <c r="AL492" s="1" t="s">
        <v>7455</v>
      </c>
    </row>
    <row r="493" spans="1:38" s="20" customFormat="1" x14ac:dyDescent="0.3">
      <c r="A493" s="14">
        <v>492</v>
      </c>
      <c r="B493" s="14" t="str">
        <f>_xlfn.CONCAT(AE493,"-",VLOOKUP(AE493,t_objeto!B:D,3,FALSE),"-",A493)</f>
        <v>RMAT-PERCCO-492</v>
      </c>
      <c r="C493" s="22" t="str">
        <f t="shared" si="78"/>
        <v>PLACA__ACERO_ROLADA EN CALIENTE_4'X10'_7/8"</v>
      </c>
      <c r="D493" s="14" t="s">
        <v>7390</v>
      </c>
      <c r="E493" s="14" t="s">
        <v>7385</v>
      </c>
      <c r="F493" s="21" t="s">
        <v>7391</v>
      </c>
      <c r="G493" s="22" t="s">
        <v>7387</v>
      </c>
      <c r="H493" s="14" t="s">
        <v>7393</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7356</v>
      </c>
      <c r="AF493" s="1" t="str">
        <f>VLOOKUP(AE493,t_objeto!B:C,2,FALSE)</f>
        <v>RAW_MATERIAL</v>
      </c>
      <c r="AG493" s="1">
        <v>8</v>
      </c>
      <c r="AH493" s="1" t="str">
        <f>VLOOKUP(AG493,t_entry_status!A:AE,2,FALSE)</f>
        <v>PENDING</v>
      </c>
      <c r="AI493" s="7">
        <v>45560</v>
      </c>
      <c r="AJ493" s="1" t="s">
        <v>7455</v>
      </c>
      <c r="AK493" s="7">
        <v>45560</v>
      </c>
      <c r="AL493" s="1" t="s">
        <v>7455</v>
      </c>
    </row>
    <row r="494" spans="1:38" s="20" customFormat="1" x14ac:dyDescent="0.3">
      <c r="A494" s="14">
        <v>493</v>
      </c>
      <c r="B494" s="14" t="str">
        <f>_xlfn.CONCAT(AE494,"-",VLOOKUP(AE494,t_objeto!B:D,3,FALSE),"-",A494)</f>
        <v>RMAT-PERCCO-493</v>
      </c>
      <c r="C494" s="22" t="str">
        <f t="shared" si="78"/>
        <v>PLACA__ACERO_ROLADA EN CALIENTE_4'X10'_3/4"</v>
      </c>
      <c r="D494" s="14" t="s">
        <v>7390</v>
      </c>
      <c r="E494" s="14" t="s">
        <v>7385</v>
      </c>
      <c r="F494" s="21" t="s">
        <v>7391</v>
      </c>
      <c r="G494" s="22" t="s">
        <v>7387</v>
      </c>
      <c r="H494" s="14" t="s">
        <v>7394</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7356</v>
      </c>
      <c r="AF494" s="1" t="str">
        <f>VLOOKUP(AE494,t_objeto!B:C,2,FALSE)</f>
        <v>RAW_MATERIAL</v>
      </c>
      <c r="AG494" s="1">
        <v>8</v>
      </c>
      <c r="AH494" s="1" t="str">
        <f>VLOOKUP(AG494,t_entry_status!A:AE,2,FALSE)</f>
        <v>PENDING</v>
      </c>
      <c r="AI494" s="7">
        <v>45560</v>
      </c>
      <c r="AJ494" s="1" t="s">
        <v>7455</v>
      </c>
      <c r="AK494" s="7">
        <v>45560</v>
      </c>
      <c r="AL494" s="1" t="s">
        <v>7455</v>
      </c>
    </row>
    <row r="495" spans="1:38" s="20" customFormat="1" x14ac:dyDescent="0.3">
      <c r="A495" s="14">
        <v>494</v>
      </c>
      <c r="B495" s="14" t="str">
        <f>_xlfn.CONCAT(AE495,"-",VLOOKUP(AE495,t_objeto!B:D,3,FALSE),"-",A495)</f>
        <v>RMAT-PERCCO-494</v>
      </c>
      <c r="C495" s="22" t="str">
        <f t="shared" si="78"/>
        <v>PLACA__ACERO_ROLADA EN CALIENTE_4'X10'_11/16"</v>
      </c>
      <c r="D495" s="14" t="s">
        <v>7390</v>
      </c>
      <c r="E495" s="14" t="s">
        <v>7385</v>
      </c>
      <c r="F495" s="21" t="s">
        <v>7391</v>
      </c>
      <c r="G495" s="22" t="s">
        <v>7387</v>
      </c>
      <c r="H495" s="14" t="s">
        <v>7395</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7356</v>
      </c>
      <c r="AF495" s="1" t="str">
        <f>VLOOKUP(AE495,t_objeto!B:C,2,FALSE)</f>
        <v>RAW_MATERIAL</v>
      </c>
      <c r="AG495" s="1">
        <v>8</v>
      </c>
      <c r="AH495" s="1" t="str">
        <f>VLOOKUP(AG495,t_entry_status!A:AE,2,FALSE)</f>
        <v>PENDING</v>
      </c>
      <c r="AI495" s="7">
        <v>45560</v>
      </c>
      <c r="AJ495" s="1" t="s">
        <v>7455</v>
      </c>
      <c r="AK495" s="7">
        <v>45560</v>
      </c>
      <c r="AL495" s="1" t="s">
        <v>7455</v>
      </c>
    </row>
    <row r="496" spans="1:38" s="20" customFormat="1" x14ac:dyDescent="0.3">
      <c r="A496" s="14">
        <v>495</v>
      </c>
      <c r="B496" s="14" t="str">
        <f>_xlfn.CONCAT(AE496,"-",VLOOKUP(AE496,t_objeto!B:D,3,FALSE),"-",A496)</f>
        <v>RMAT-PERCCO-495</v>
      </c>
      <c r="C496" s="22" t="str">
        <f t="shared" si="78"/>
        <v>PLACA__ACERO_ROLADA EN CALIENTE_4'X10'_5/8"</v>
      </c>
      <c r="D496" s="14" t="s">
        <v>7390</v>
      </c>
      <c r="E496" s="14" t="s">
        <v>7385</v>
      </c>
      <c r="F496" s="21" t="s">
        <v>7391</v>
      </c>
      <c r="G496" s="22" t="s">
        <v>7387</v>
      </c>
      <c r="H496" s="14" t="s">
        <v>7396</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7356</v>
      </c>
      <c r="AF496" s="1" t="str">
        <f>VLOOKUP(AE496,t_objeto!B:C,2,FALSE)</f>
        <v>RAW_MATERIAL</v>
      </c>
      <c r="AG496" s="1">
        <v>8</v>
      </c>
      <c r="AH496" s="1" t="str">
        <f>VLOOKUP(AG496,t_entry_status!A:AE,2,FALSE)</f>
        <v>PENDING</v>
      </c>
      <c r="AI496" s="7">
        <v>45560</v>
      </c>
      <c r="AJ496" s="1" t="s">
        <v>7455</v>
      </c>
      <c r="AK496" s="7">
        <v>45560</v>
      </c>
      <c r="AL496" s="1" t="s">
        <v>7455</v>
      </c>
    </row>
    <row r="497" spans="1:38" s="20" customFormat="1" x14ac:dyDescent="0.3">
      <c r="A497" s="14">
        <v>496</v>
      </c>
      <c r="B497" s="14" t="str">
        <f>_xlfn.CONCAT(AE497,"-",VLOOKUP(AE497,t_objeto!B:D,3,FALSE),"-",A497)</f>
        <v>RMAT-PERCCO-496</v>
      </c>
      <c r="C497" s="22" t="str">
        <f t="shared" si="78"/>
        <v>PLACA__ACERO_ROLADA EN CALIENTE_4'X10'_9/16"</v>
      </c>
      <c r="D497" s="14" t="s">
        <v>7390</v>
      </c>
      <c r="E497" s="14" t="s">
        <v>7385</v>
      </c>
      <c r="F497" s="21" t="s">
        <v>7391</v>
      </c>
      <c r="G497" s="22" t="s">
        <v>7387</v>
      </c>
      <c r="H497" s="14" t="s">
        <v>7397</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7356</v>
      </c>
      <c r="AF497" s="1" t="str">
        <f>VLOOKUP(AE497,t_objeto!B:C,2,FALSE)</f>
        <v>RAW_MATERIAL</v>
      </c>
      <c r="AG497" s="1">
        <v>8</v>
      </c>
      <c r="AH497" s="1" t="str">
        <f>VLOOKUP(AG497,t_entry_status!A:AE,2,FALSE)</f>
        <v>PENDING</v>
      </c>
      <c r="AI497" s="7">
        <v>45560</v>
      </c>
      <c r="AJ497" s="1" t="s">
        <v>7455</v>
      </c>
      <c r="AK497" s="7">
        <v>45560</v>
      </c>
      <c r="AL497" s="1" t="s">
        <v>7455</v>
      </c>
    </row>
    <row r="498" spans="1:38" s="20" customFormat="1" x14ac:dyDescent="0.3">
      <c r="A498" s="14">
        <v>497</v>
      </c>
      <c r="B498" s="14" t="str">
        <f>_xlfn.CONCAT(AE498,"-",VLOOKUP(AE498,t_objeto!B:D,3,FALSE),"-",A498)</f>
        <v>RMAT-PERCCO-497</v>
      </c>
      <c r="C498" s="22" t="str">
        <f t="shared" si="78"/>
        <v>PLACA__ACERO_ROLADA EN CALIENTE_4'X10'_1/2"</v>
      </c>
      <c r="D498" s="14" t="s">
        <v>7390</v>
      </c>
      <c r="E498" s="14" t="s">
        <v>7385</v>
      </c>
      <c r="F498" s="21" t="s">
        <v>7391</v>
      </c>
      <c r="G498" s="22" t="s">
        <v>7387</v>
      </c>
      <c r="H498" s="14" t="s">
        <v>7398</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7356</v>
      </c>
      <c r="AF498" s="1" t="str">
        <f>VLOOKUP(AE498,t_objeto!B:C,2,FALSE)</f>
        <v>RAW_MATERIAL</v>
      </c>
      <c r="AG498" s="1">
        <v>8</v>
      </c>
      <c r="AH498" s="1" t="str">
        <f>VLOOKUP(AG498,t_entry_status!A:AE,2,FALSE)</f>
        <v>PENDING</v>
      </c>
      <c r="AI498" s="7">
        <v>45560</v>
      </c>
      <c r="AJ498" s="1" t="s">
        <v>7455</v>
      </c>
      <c r="AK498" s="7">
        <v>45560</v>
      </c>
      <c r="AL498" s="1" t="s">
        <v>7455</v>
      </c>
    </row>
    <row r="499" spans="1:38" s="20" customFormat="1" x14ac:dyDescent="0.3">
      <c r="A499" s="14">
        <v>498</v>
      </c>
      <c r="B499" s="14" t="str">
        <f>_xlfn.CONCAT(AE499,"-",VLOOKUP(AE499,t_objeto!B:D,3,FALSE),"-",A499)</f>
        <v>RMAT-PERCCO-498</v>
      </c>
      <c r="C499" s="22" t="str">
        <f t="shared" si="78"/>
        <v>PLACA__ACERO_ROLADA EN CALIENTE_4'X10'_7/16"</v>
      </c>
      <c r="D499" s="14" t="s">
        <v>7390</v>
      </c>
      <c r="E499" s="14" t="s">
        <v>7385</v>
      </c>
      <c r="F499" s="21" t="s">
        <v>7391</v>
      </c>
      <c r="G499" s="22" t="s">
        <v>7387</v>
      </c>
      <c r="H499" s="14" t="s">
        <v>7399</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7356</v>
      </c>
      <c r="AF499" s="1" t="str">
        <f>VLOOKUP(AE499,t_objeto!B:C,2,FALSE)</f>
        <v>RAW_MATERIAL</v>
      </c>
      <c r="AG499" s="1">
        <v>8</v>
      </c>
      <c r="AH499" s="1" t="str">
        <f>VLOOKUP(AG499,t_entry_status!A:AE,2,FALSE)</f>
        <v>PENDING</v>
      </c>
      <c r="AI499" s="7">
        <v>45560</v>
      </c>
      <c r="AJ499" s="1" t="s">
        <v>7455</v>
      </c>
      <c r="AK499" s="7">
        <v>45560</v>
      </c>
      <c r="AL499" s="1" t="s">
        <v>7455</v>
      </c>
    </row>
    <row r="500" spans="1:38" s="20" customFormat="1" x14ac:dyDescent="0.3">
      <c r="A500" s="14">
        <v>499</v>
      </c>
      <c r="B500" s="14" t="str">
        <f>_xlfn.CONCAT(AE500,"-",VLOOKUP(AE500,t_objeto!B:D,3,FALSE),"-",A500)</f>
        <v>RMAT-PERCCO-499</v>
      </c>
      <c r="C500" s="22" t="str">
        <f t="shared" si="78"/>
        <v>PLACA__ACERO_ROLADA EN CALIENTE_4'X10'_3/8"</v>
      </c>
      <c r="D500" s="14" t="s">
        <v>7390</v>
      </c>
      <c r="E500" s="14" t="s">
        <v>7385</v>
      </c>
      <c r="F500" s="21" t="s">
        <v>7391</v>
      </c>
      <c r="G500" s="22" t="s">
        <v>7387</v>
      </c>
      <c r="H500" s="14" t="s">
        <v>7400</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7356</v>
      </c>
      <c r="AF500" s="1" t="str">
        <f>VLOOKUP(AE500,t_objeto!B:C,2,FALSE)</f>
        <v>RAW_MATERIAL</v>
      </c>
      <c r="AG500" s="1">
        <v>8</v>
      </c>
      <c r="AH500" s="1" t="str">
        <f>VLOOKUP(AG500,t_entry_status!A:AE,2,FALSE)</f>
        <v>PENDING</v>
      </c>
      <c r="AI500" s="7">
        <v>45560</v>
      </c>
      <c r="AJ500" s="1" t="s">
        <v>7455</v>
      </c>
      <c r="AK500" s="7">
        <v>45560</v>
      </c>
      <c r="AL500" s="1" t="s">
        <v>7455</v>
      </c>
    </row>
    <row r="501" spans="1:38" s="20" customFormat="1" x14ac:dyDescent="0.3">
      <c r="A501" s="14">
        <v>500</v>
      </c>
      <c r="B501" s="14" t="str">
        <f>_xlfn.CONCAT(AE501,"-",VLOOKUP(AE501,t_objeto!B:D,3,FALSE),"-",A501)</f>
        <v>RMAT-PERCCO-500</v>
      </c>
      <c r="C501" s="22" t="str">
        <f t="shared" si="78"/>
        <v>PLACA__ACERO_ROLADA EN CALIENTE_4'X10'_5/16"</v>
      </c>
      <c r="D501" s="14" t="s">
        <v>7390</v>
      </c>
      <c r="E501" s="14" t="s">
        <v>7385</v>
      </c>
      <c r="F501" s="21" t="s">
        <v>7391</v>
      </c>
      <c r="G501" s="22" t="s">
        <v>7387</v>
      </c>
      <c r="H501" s="14" t="s">
        <v>7401</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7356</v>
      </c>
      <c r="AF501" s="1" t="str">
        <f>VLOOKUP(AE501,t_objeto!B:C,2,FALSE)</f>
        <v>RAW_MATERIAL</v>
      </c>
      <c r="AG501" s="1">
        <v>8</v>
      </c>
      <c r="AH501" s="1" t="str">
        <f>VLOOKUP(AG501,t_entry_status!A:AE,2,FALSE)</f>
        <v>PENDING</v>
      </c>
      <c r="AI501" s="7">
        <v>45560</v>
      </c>
      <c r="AJ501" s="1" t="s">
        <v>7455</v>
      </c>
      <c r="AK501" s="7">
        <v>45560</v>
      </c>
      <c r="AL501" s="1" t="s">
        <v>7455</v>
      </c>
    </row>
    <row r="502" spans="1:38" s="20" customFormat="1" x14ac:dyDescent="0.3">
      <c r="A502" s="14">
        <v>501</v>
      </c>
      <c r="B502" s="14" t="str">
        <f>_xlfn.CONCAT(AE502,"-",VLOOKUP(AE502,t_objeto!B:D,3,FALSE),"-",A502)</f>
        <v>RMAT-PERCCO-501</v>
      </c>
      <c r="C502" s="22" t="str">
        <f t="shared" si="78"/>
        <v>PLACA__ACERO_ROLADA EN CALIENTE_4'X10'_1/4"</v>
      </c>
      <c r="D502" s="14" t="s">
        <v>7390</v>
      </c>
      <c r="E502" s="14" t="s">
        <v>7385</v>
      </c>
      <c r="F502" s="21" t="s">
        <v>7391</v>
      </c>
      <c r="G502" s="22" t="s">
        <v>7387</v>
      </c>
      <c r="H502" s="14" t="s">
        <v>7402</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7356</v>
      </c>
      <c r="AF502" s="1" t="str">
        <f>VLOOKUP(AE502,t_objeto!B:C,2,FALSE)</f>
        <v>RAW_MATERIAL</v>
      </c>
      <c r="AG502" s="1">
        <v>8</v>
      </c>
      <c r="AH502" s="1" t="str">
        <f>VLOOKUP(AG502,t_entry_status!A:AE,2,FALSE)</f>
        <v>PENDING</v>
      </c>
      <c r="AI502" s="7">
        <v>45560</v>
      </c>
      <c r="AJ502" s="1" t="s">
        <v>7455</v>
      </c>
      <c r="AK502" s="7">
        <v>45560</v>
      </c>
      <c r="AL502" s="1" t="s">
        <v>7455</v>
      </c>
    </row>
    <row r="503" spans="1:38" s="20" customFormat="1" x14ac:dyDescent="0.3">
      <c r="A503" s="14">
        <v>502</v>
      </c>
      <c r="B503" s="14" t="str">
        <f>_xlfn.CONCAT(AE503,"-",VLOOKUP(AE503,t_objeto!B:D,3,FALSE),"-",A503)</f>
        <v>RMAT-PERCCO-502</v>
      </c>
      <c r="C503" s="22" t="str">
        <f t="shared" si="78"/>
        <v>PLACA__ACERO_ROLADA EN CALIENTE_4'X10'_3/16"</v>
      </c>
      <c r="D503" s="14" t="s">
        <v>7390</v>
      </c>
      <c r="E503" s="14" t="s">
        <v>7385</v>
      </c>
      <c r="F503" s="21" t="s">
        <v>7391</v>
      </c>
      <c r="G503" s="22" t="s">
        <v>7387</v>
      </c>
      <c r="H503" s="14" t="s">
        <v>7403</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7356</v>
      </c>
      <c r="AF503" s="1" t="str">
        <f>VLOOKUP(AE503,t_objeto!B:C,2,FALSE)</f>
        <v>RAW_MATERIAL</v>
      </c>
      <c r="AG503" s="1">
        <v>8</v>
      </c>
      <c r="AH503" s="1" t="str">
        <f>VLOOKUP(AG503,t_entry_status!A:AE,2,FALSE)</f>
        <v>PENDING</v>
      </c>
      <c r="AI503" s="7">
        <v>45560</v>
      </c>
      <c r="AJ503" s="1" t="s">
        <v>7455</v>
      </c>
      <c r="AK503" s="7">
        <v>45560</v>
      </c>
      <c r="AL503" s="1" t="s">
        <v>7455</v>
      </c>
    </row>
    <row r="504" spans="1:38" s="20" customFormat="1" x14ac:dyDescent="0.3">
      <c r="A504" s="14">
        <v>503</v>
      </c>
      <c r="B504" s="14" t="str">
        <f>_xlfn.CONCAT(AE504,"-",VLOOKUP(AE504,t_objeto!B:D,3,FALSE),"-",A504)</f>
        <v>RMAT-PERCCO-503</v>
      </c>
      <c r="C504" s="22" t="str">
        <f t="shared" si="78"/>
        <v>LAMINA_LISA__ACERO_ROLADA EN CALIENTE_4'X10'_4</v>
      </c>
      <c r="D504" s="14" t="s">
        <v>7412</v>
      </c>
      <c r="E504" s="14" t="s">
        <v>7385</v>
      </c>
      <c r="F504" s="21" t="s">
        <v>7391</v>
      </c>
      <c r="G504" s="22" t="s">
        <v>7387</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7356</v>
      </c>
      <c r="AF504" s="1" t="str">
        <f>VLOOKUP(AE504,t_objeto!B:C,2,FALSE)</f>
        <v>RAW_MATERIAL</v>
      </c>
      <c r="AG504" s="1">
        <v>8</v>
      </c>
      <c r="AH504" s="1" t="str">
        <f>VLOOKUP(AG504,t_entry_status!A:AE,2,FALSE)</f>
        <v>PENDING</v>
      </c>
      <c r="AI504" s="7">
        <v>45560</v>
      </c>
      <c r="AJ504" s="1" t="s">
        <v>7455</v>
      </c>
      <c r="AK504" s="7">
        <v>45560</v>
      </c>
      <c r="AL504" s="1" t="s">
        <v>7455</v>
      </c>
    </row>
    <row r="505" spans="1:38" s="20" customFormat="1" x14ac:dyDescent="0.3">
      <c r="A505" s="14">
        <v>504</v>
      </c>
      <c r="B505" s="14" t="str">
        <f>_xlfn.CONCAT(AE505,"-",VLOOKUP(AE505,t_objeto!B:D,3,FALSE),"-",A505)</f>
        <v>RMAT-PERCCO-504</v>
      </c>
      <c r="C505" s="22" t="str">
        <f t="shared" si="78"/>
        <v>LAMINA_LISA__ACERO_ROLADA EN CALIENTE_4'X10'_5</v>
      </c>
      <c r="D505" s="14" t="s">
        <v>7412</v>
      </c>
      <c r="E505" s="14" t="s">
        <v>7385</v>
      </c>
      <c r="F505" s="21" t="s">
        <v>7391</v>
      </c>
      <c r="G505" s="22" t="s">
        <v>7387</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7356</v>
      </c>
      <c r="AF505" s="1" t="str">
        <f>VLOOKUP(AE505,t_objeto!B:C,2,FALSE)</f>
        <v>RAW_MATERIAL</v>
      </c>
      <c r="AG505" s="1">
        <v>8</v>
      </c>
      <c r="AH505" s="1" t="str">
        <f>VLOOKUP(AG505,t_entry_status!A:AE,2,FALSE)</f>
        <v>PENDING</v>
      </c>
      <c r="AI505" s="7">
        <v>45560</v>
      </c>
      <c r="AJ505" s="1" t="s">
        <v>7455</v>
      </c>
      <c r="AK505" s="7">
        <v>45560</v>
      </c>
      <c r="AL505" s="1" t="s">
        <v>7455</v>
      </c>
    </row>
    <row r="506" spans="1:38" s="20" customFormat="1" x14ac:dyDescent="0.3">
      <c r="A506" s="14">
        <v>505</v>
      </c>
      <c r="B506" s="14" t="str">
        <f>_xlfn.CONCAT(AE506,"-",VLOOKUP(AE506,t_objeto!B:D,3,FALSE),"-",A506)</f>
        <v>RMAT-PERCCO-505</v>
      </c>
      <c r="C506" s="22" t="str">
        <f t="shared" si="78"/>
        <v>LAMINA_LISA__ACERO_ROLADA EN CALIENTE_4'X10'_6</v>
      </c>
      <c r="D506" s="14" t="s">
        <v>7412</v>
      </c>
      <c r="E506" s="14" t="s">
        <v>7385</v>
      </c>
      <c r="F506" s="21" t="s">
        <v>7391</v>
      </c>
      <c r="G506" s="22" t="s">
        <v>7387</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7356</v>
      </c>
      <c r="AF506" s="1" t="str">
        <f>VLOOKUP(AE506,t_objeto!B:C,2,FALSE)</f>
        <v>RAW_MATERIAL</v>
      </c>
      <c r="AG506" s="1">
        <v>8</v>
      </c>
      <c r="AH506" s="1" t="str">
        <f>VLOOKUP(AG506,t_entry_status!A:AE,2,FALSE)</f>
        <v>PENDING</v>
      </c>
      <c r="AI506" s="7">
        <v>45560</v>
      </c>
      <c r="AJ506" s="1" t="s">
        <v>7455</v>
      </c>
      <c r="AK506" s="7">
        <v>45560</v>
      </c>
      <c r="AL506" s="1" t="s">
        <v>7455</v>
      </c>
    </row>
    <row r="507" spans="1:38" s="20" customFormat="1" x14ac:dyDescent="0.3">
      <c r="A507" s="14">
        <v>506</v>
      </c>
      <c r="B507" s="14" t="str">
        <f>_xlfn.CONCAT(AE507,"-",VLOOKUP(AE507,t_objeto!B:D,3,FALSE),"-",A507)</f>
        <v>RMAT-PERCCO-506</v>
      </c>
      <c r="C507" s="22" t="str">
        <f t="shared" si="78"/>
        <v>LAMINA_LISA__ACERO_ROLADA EN CALIENTE_4'X10'_7</v>
      </c>
      <c r="D507" s="14" t="s">
        <v>7412</v>
      </c>
      <c r="E507" s="14" t="s">
        <v>7385</v>
      </c>
      <c r="F507" s="21" t="s">
        <v>7391</v>
      </c>
      <c r="G507" s="22" t="s">
        <v>7387</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7356</v>
      </c>
      <c r="AF507" s="1" t="str">
        <f>VLOOKUP(AE507,t_objeto!B:C,2,FALSE)</f>
        <v>RAW_MATERIAL</v>
      </c>
      <c r="AG507" s="1">
        <v>8</v>
      </c>
      <c r="AH507" s="1" t="str">
        <f>VLOOKUP(AG507,t_entry_status!A:AE,2,FALSE)</f>
        <v>PENDING</v>
      </c>
      <c r="AI507" s="7">
        <v>45560</v>
      </c>
      <c r="AJ507" s="1" t="s">
        <v>7455</v>
      </c>
      <c r="AK507" s="7">
        <v>45560</v>
      </c>
      <c r="AL507" s="1" t="s">
        <v>7455</v>
      </c>
    </row>
    <row r="508" spans="1:38" s="20" customFormat="1" x14ac:dyDescent="0.3">
      <c r="A508" s="14">
        <v>507</v>
      </c>
      <c r="B508" s="14" t="str">
        <f>_xlfn.CONCAT(AE508,"-",VLOOKUP(AE508,t_objeto!B:D,3,FALSE),"-",A508)</f>
        <v>RMAT-PERCCO-507</v>
      </c>
      <c r="C508" s="22" t="str">
        <f t="shared" si="78"/>
        <v>LAMINA_LISA__ACERO_ROLADA EN CALIENTE_4'X10'_8</v>
      </c>
      <c r="D508" s="14" t="s">
        <v>7412</v>
      </c>
      <c r="E508" s="14" t="s">
        <v>7385</v>
      </c>
      <c r="F508" s="21" t="s">
        <v>7391</v>
      </c>
      <c r="G508" s="22" t="s">
        <v>7387</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7356</v>
      </c>
      <c r="AF508" s="1" t="str">
        <f>VLOOKUP(AE508,t_objeto!B:C,2,FALSE)</f>
        <v>RAW_MATERIAL</v>
      </c>
      <c r="AG508" s="1">
        <v>8</v>
      </c>
      <c r="AH508" s="1" t="str">
        <f>VLOOKUP(AG508,t_entry_status!A:AE,2,FALSE)</f>
        <v>PENDING</v>
      </c>
      <c r="AI508" s="7">
        <v>45560</v>
      </c>
      <c r="AJ508" s="1" t="s">
        <v>7455</v>
      </c>
      <c r="AK508" s="7">
        <v>45560</v>
      </c>
      <c r="AL508" s="1" t="s">
        <v>7455</v>
      </c>
    </row>
    <row r="509" spans="1:38" s="20" customFormat="1" x14ac:dyDescent="0.3">
      <c r="A509" s="14">
        <v>508</v>
      </c>
      <c r="B509" s="14" t="str">
        <f>_xlfn.CONCAT(AE509,"-",VLOOKUP(AE509,t_objeto!B:D,3,FALSE),"-",A509)</f>
        <v>RMAT-PERCCO-508</v>
      </c>
      <c r="C509" s="22" t="str">
        <f t="shared" si="78"/>
        <v>LAMINA_LISA__ACERO_ROLADA EN CALIENTE_4'X10'_9</v>
      </c>
      <c r="D509" s="14" t="s">
        <v>7412</v>
      </c>
      <c r="E509" s="14" t="s">
        <v>7385</v>
      </c>
      <c r="F509" s="21" t="s">
        <v>7391</v>
      </c>
      <c r="G509" s="22" t="s">
        <v>7387</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7356</v>
      </c>
      <c r="AF509" s="1" t="str">
        <f>VLOOKUP(AE509,t_objeto!B:C,2,FALSE)</f>
        <v>RAW_MATERIAL</v>
      </c>
      <c r="AG509" s="1">
        <v>8</v>
      </c>
      <c r="AH509" s="1" t="str">
        <f>VLOOKUP(AG509,t_entry_status!A:AE,2,FALSE)</f>
        <v>PENDING</v>
      </c>
      <c r="AI509" s="7">
        <v>45560</v>
      </c>
      <c r="AJ509" s="1" t="s">
        <v>7455</v>
      </c>
      <c r="AK509" s="7">
        <v>45560</v>
      </c>
      <c r="AL509" s="1" t="s">
        <v>7455</v>
      </c>
    </row>
    <row r="510" spans="1:38" s="20" customFormat="1" x14ac:dyDescent="0.3">
      <c r="A510" s="14">
        <v>509</v>
      </c>
      <c r="B510" s="14" t="str">
        <f>_xlfn.CONCAT(AE510,"-",VLOOKUP(AE510,t_objeto!B:D,3,FALSE),"-",A510)</f>
        <v>RMAT-PERCCO-509</v>
      </c>
      <c r="C510" s="22" t="str">
        <f t="shared" si="78"/>
        <v>LAMINA_LISA__ACERO_ROLADA EN CALIENTE_4'X10'_10</v>
      </c>
      <c r="D510" s="14" t="s">
        <v>7412</v>
      </c>
      <c r="E510" s="14" t="s">
        <v>7385</v>
      </c>
      <c r="F510" s="21" t="s">
        <v>7391</v>
      </c>
      <c r="G510" s="22" t="s">
        <v>7387</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7356</v>
      </c>
      <c r="AF510" s="1" t="str">
        <f>VLOOKUP(AE510,t_objeto!B:C,2,FALSE)</f>
        <v>RAW_MATERIAL</v>
      </c>
      <c r="AG510" s="1">
        <v>8</v>
      </c>
      <c r="AH510" s="1" t="str">
        <f>VLOOKUP(AG510,t_entry_status!A:AE,2,FALSE)</f>
        <v>PENDING</v>
      </c>
      <c r="AI510" s="7">
        <v>45560</v>
      </c>
      <c r="AJ510" s="1" t="s">
        <v>7455</v>
      </c>
      <c r="AK510" s="7">
        <v>45560</v>
      </c>
      <c r="AL510" s="1" t="s">
        <v>7455</v>
      </c>
    </row>
    <row r="511" spans="1:38" s="20" customFormat="1" x14ac:dyDescent="0.3">
      <c r="A511" s="14">
        <v>510</v>
      </c>
      <c r="B511" s="14" t="str">
        <f>_xlfn.CONCAT(AE511,"-",VLOOKUP(AE511,t_objeto!B:D,3,FALSE),"-",A511)</f>
        <v>RMAT-PERCCO-510</v>
      </c>
      <c r="C511" s="22" t="str">
        <f t="shared" si="78"/>
        <v>LAMINA_LISA__ACERO_ROLADA EN CALIENTE_4'X10'_1/8"</v>
      </c>
      <c r="D511" s="14" t="s">
        <v>7412</v>
      </c>
      <c r="E511" s="14" t="s">
        <v>7385</v>
      </c>
      <c r="F511" s="21" t="s">
        <v>7391</v>
      </c>
      <c r="G511" s="22" t="s">
        <v>7387</v>
      </c>
      <c r="H511" s="14" t="s">
        <v>7404</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7356</v>
      </c>
      <c r="AF511" s="1" t="str">
        <f>VLOOKUP(AE511,t_objeto!B:C,2,FALSE)</f>
        <v>RAW_MATERIAL</v>
      </c>
      <c r="AG511" s="1">
        <v>8</v>
      </c>
      <c r="AH511" s="1" t="str">
        <f>VLOOKUP(AG511,t_entry_status!A:AE,2,FALSE)</f>
        <v>PENDING</v>
      </c>
      <c r="AI511" s="7">
        <v>45560</v>
      </c>
      <c r="AJ511" s="1" t="s">
        <v>7455</v>
      </c>
      <c r="AK511" s="7">
        <v>45560</v>
      </c>
      <c r="AL511" s="1" t="s">
        <v>7455</v>
      </c>
    </row>
    <row r="512" spans="1:38" s="20" customFormat="1" x14ac:dyDescent="0.3">
      <c r="A512" s="14">
        <v>511</v>
      </c>
      <c r="B512" s="14" t="str">
        <f>_xlfn.CONCAT(AE512,"-",VLOOKUP(AE512,t_objeto!B:D,3,FALSE),"-",A512)</f>
        <v>RMAT-PERCCO-511</v>
      </c>
      <c r="C512" s="22" t="str">
        <f t="shared" si="78"/>
        <v>LAMINA_LISA__ACERO_ROLADA EN CALIENTE_4'X10'_11</v>
      </c>
      <c r="D512" s="14" t="s">
        <v>7412</v>
      </c>
      <c r="E512" s="14" t="s">
        <v>7385</v>
      </c>
      <c r="F512" s="21" t="s">
        <v>7391</v>
      </c>
      <c r="G512" s="22" t="s">
        <v>7387</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7356</v>
      </c>
      <c r="AF512" s="1" t="str">
        <f>VLOOKUP(AE512,t_objeto!B:C,2,FALSE)</f>
        <v>RAW_MATERIAL</v>
      </c>
      <c r="AG512" s="1">
        <v>8</v>
      </c>
      <c r="AH512" s="1" t="str">
        <f>VLOOKUP(AG512,t_entry_status!A:AE,2,FALSE)</f>
        <v>PENDING</v>
      </c>
      <c r="AI512" s="7">
        <v>45560</v>
      </c>
      <c r="AJ512" s="1" t="s">
        <v>7455</v>
      </c>
      <c r="AK512" s="7">
        <v>45560</v>
      </c>
      <c r="AL512" s="1" t="s">
        <v>7455</v>
      </c>
    </row>
    <row r="513" spans="1:38" s="20" customFormat="1" x14ac:dyDescent="0.3">
      <c r="A513" s="14">
        <v>512</v>
      </c>
      <c r="B513" s="14" t="str">
        <f>_xlfn.CONCAT(AE513,"-",VLOOKUP(AE513,t_objeto!B:D,3,FALSE),"-",A513)</f>
        <v>RMAT-PERCCO-512</v>
      </c>
      <c r="C513" s="22" t="str">
        <f t="shared" si="78"/>
        <v>LAMINA_LISA__ACERO_ROLADA EN CALIENTE_4'X10'_12</v>
      </c>
      <c r="D513" s="14" t="s">
        <v>7412</v>
      </c>
      <c r="E513" s="14" t="s">
        <v>7385</v>
      </c>
      <c r="F513" s="21" t="s">
        <v>7391</v>
      </c>
      <c r="G513" s="22" t="s">
        <v>7387</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7356</v>
      </c>
      <c r="AF513" s="1" t="str">
        <f>VLOOKUP(AE513,t_objeto!B:C,2,FALSE)</f>
        <v>RAW_MATERIAL</v>
      </c>
      <c r="AG513" s="1">
        <v>8</v>
      </c>
      <c r="AH513" s="1" t="str">
        <f>VLOOKUP(AG513,t_entry_status!A:AE,2,FALSE)</f>
        <v>PENDING</v>
      </c>
      <c r="AI513" s="7">
        <v>45560</v>
      </c>
      <c r="AJ513" s="1" t="s">
        <v>7455</v>
      </c>
      <c r="AK513" s="7">
        <v>45560</v>
      </c>
      <c r="AL513" s="1" t="s">
        <v>7455</v>
      </c>
    </row>
    <row r="514" spans="1:38" s="20" customFormat="1" x14ac:dyDescent="0.3">
      <c r="A514" s="14">
        <v>513</v>
      </c>
      <c r="B514" s="14" t="str">
        <f>_xlfn.CONCAT(AE514,"-",VLOOKUP(AE514,t_objeto!B:D,3,FALSE),"-",A514)</f>
        <v>RMAT-PERCCO-513</v>
      </c>
      <c r="C514" s="22" t="str">
        <f t="shared" si="78"/>
        <v>LAMINA_LISA__ACERO_ROLADA EN CALIENTE_4'X10'_13</v>
      </c>
      <c r="D514" s="14" t="s">
        <v>7412</v>
      </c>
      <c r="E514" s="14" t="s">
        <v>7385</v>
      </c>
      <c r="F514" s="21" t="s">
        <v>7391</v>
      </c>
      <c r="G514" s="22" t="s">
        <v>7387</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7356</v>
      </c>
      <c r="AF514" s="1" t="str">
        <f>VLOOKUP(AE514,t_objeto!B:C,2,FALSE)</f>
        <v>RAW_MATERIAL</v>
      </c>
      <c r="AG514" s="1">
        <v>8</v>
      </c>
      <c r="AH514" s="1" t="str">
        <f>VLOOKUP(AG514,t_entry_status!A:AE,2,FALSE)</f>
        <v>PENDING</v>
      </c>
      <c r="AI514" s="7">
        <v>45560</v>
      </c>
      <c r="AJ514" s="1" t="s">
        <v>7455</v>
      </c>
      <c r="AK514" s="7">
        <v>45560</v>
      </c>
      <c r="AL514" s="1" t="s">
        <v>7455</v>
      </c>
    </row>
    <row r="515" spans="1:38" s="20" customFormat="1" x14ac:dyDescent="0.3">
      <c r="A515" s="14">
        <v>514</v>
      </c>
      <c r="B515" s="14" t="str">
        <f>_xlfn.CONCAT(AE515,"-",VLOOKUP(AE515,t_objeto!B:D,3,FALSE),"-",A515)</f>
        <v>RMAT-PERCCO-514</v>
      </c>
      <c r="C515" s="22" t="str">
        <f t="shared" ref="C515:C578" si="89">_xlfn.CONCAT(D515,"_","_",E515,"_",F515,"_",R515,"'","X",S515,"'","_",H515)</f>
        <v>LAMINA_LISA__ACERO_ROLADA EN CALIENTE_4'X10'_14</v>
      </c>
      <c r="D515" s="14" t="s">
        <v>7412</v>
      </c>
      <c r="E515" s="14" t="s">
        <v>7385</v>
      </c>
      <c r="F515" s="21" t="s">
        <v>7391</v>
      </c>
      <c r="G515" s="22" t="s">
        <v>7387</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7356</v>
      </c>
      <c r="AF515" s="1" t="str">
        <f>VLOOKUP(AE515,t_objeto!B:C,2,FALSE)</f>
        <v>RAW_MATERIAL</v>
      </c>
      <c r="AG515" s="1">
        <v>8</v>
      </c>
      <c r="AH515" s="1" t="str">
        <f>VLOOKUP(AG515,t_entry_status!A:AE,2,FALSE)</f>
        <v>PENDING</v>
      </c>
      <c r="AI515" s="7">
        <v>45560</v>
      </c>
      <c r="AJ515" s="1" t="s">
        <v>7455</v>
      </c>
      <c r="AK515" s="7">
        <v>45560</v>
      </c>
      <c r="AL515" s="1" t="s">
        <v>7455</v>
      </c>
    </row>
    <row r="516" spans="1:38" s="20" customFormat="1" x14ac:dyDescent="0.3">
      <c r="A516" s="14">
        <v>515</v>
      </c>
      <c r="B516" s="14" t="str">
        <f>_xlfn.CONCAT(AE516,"-",VLOOKUP(AE516,t_objeto!B:D,3,FALSE),"-",A516)</f>
        <v>RMAT-PERCCO-515</v>
      </c>
      <c r="C516" s="22" t="str">
        <f t="shared" si="89"/>
        <v>LAMINA_LISA__ACERO_ROLADA EN CALIENTE_4'X10'_15</v>
      </c>
      <c r="D516" s="14" t="s">
        <v>7412</v>
      </c>
      <c r="E516" s="14" t="s">
        <v>7385</v>
      </c>
      <c r="F516" s="21" t="s">
        <v>7391</v>
      </c>
      <c r="G516" s="22" t="s">
        <v>7387</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7356</v>
      </c>
      <c r="AF516" s="1" t="str">
        <f>VLOOKUP(AE516,t_objeto!B:C,2,FALSE)</f>
        <v>RAW_MATERIAL</v>
      </c>
      <c r="AG516" s="1">
        <v>8</v>
      </c>
      <c r="AH516" s="1" t="str">
        <f>VLOOKUP(AG516,t_entry_status!A:AE,2,FALSE)</f>
        <v>PENDING</v>
      </c>
      <c r="AI516" s="7">
        <v>45560</v>
      </c>
      <c r="AJ516" s="1" t="s">
        <v>7455</v>
      </c>
      <c r="AK516" s="7">
        <v>45560</v>
      </c>
      <c r="AL516" s="1" t="s">
        <v>7455</v>
      </c>
    </row>
    <row r="517" spans="1:38" s="20" customFormat="1" x14ac:dyDescent="0.3">
      <c r="A517" s="14">
        <v>516</v>
      </c>
      <c r="B517" s="14" t="str">
        <f>_xlfn.CONCAT(AE517,"-",VLOOKUP(AE517,t_objeto!B:D,3,FALSE),"-",A517)</f>
        <v>RMAT-PERCCO-516</v>
      </c>
      <c r="C517" s="22" t="str">
        <f t="shared" si="89"/>
        <v>LAMINA_LISA__ACERO_ROLADA EN CALIENTE_4'X10'_16</v>
      </c>
      <c r="D517" s="14" t="s">
        <v>7412</v>
      </c>
      <c r="E517" s="14" t="s">
        <v>7385</v>
      </c>
      <c r="F517" s="21" t="s">
        <v>7391</v>
      </c>
      <c r="G517" s="22" t="s">
        <v>7387</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7356</v>
      </c>
      <c r="AF517" s="1" t="str">
        <f>VLOOKUP(AE517,t_objeto!B:C,2,FALSE)</f>
        <v>RAW_MATERIAL</v>
      </c>
      <c r="AG517" s="1">
        <v>8</v>
      </c>
      <c r="AH517" s="1" t="str">
        <f>VLOOKUP(AG517,t_entry_status!A:AE,2,FALSE)</f>
        <v>PENDING</v>
      </c>
      <c r="AI517" s="7">
        <v>45560</v>
      </c>
      <c r="AJ517" s="1" t="s">
        <v>7455</v>
      </c>
      <c r="AK517" s="7">
        <v>45560</v>
      </c>
      <c r="AL517" s="1" t="s">
        <v>7455</v>
      </c>
    </row>
    <row r="518" spans="1:38" s="20" customFormat="1" x14ac:dyDescent="0.3">
      <c r="A518" s="14">
        <v>517</v>
      </c>
      <c r="B518" s="14" t="str">
        <f>_xlfn.CONCAT(AE518,"-",VLOOKUP(AE518,t_objeto!B:D,3,FALSE),"-",A518)</f>
        <v>RMAT-PERCCO-517</v>
      </c>
      <c r="C518" s="22" t="str">
        <f t="shared" si="89"/>
        <v>LAMINA_LISA__ACERO_ROLADA EN CALIENTE_4'X10'_17</v>
      </c>
      <c r="D518" s="14" t="s">
        <v>7412</v>
      </c>
      <c r="E518" s="14" t="s">
        <v>7385</v>
      </c>
      <c r="F518" s="21" t="s">
        <v>7391</v>
      </c>
      <c r="G518" s="22" t="s">
        <v>7387</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7356</v>
      </c>
      <c r="AF518" s="1" t="str">
        <f>VLOOKUP(AE518,t_objeto!B:C,2,FALSE)</f>
        <v>RAW_MATERIAL</v>
      </c>
      <c r="AG518" s="1">
        <v>8</v>
      </c>
      <c r="AH518" s="1" t="str">
        <f>VLOOKUP(AG518,t_entry_status!A:AE,2,FALSE)</f>
        <v>PENDING</v>
      </c>
      <c r="AI518" s="7">
        <v>45560</v>
      </c>
      <c r="AJ518" s="1" t="s">
        <v>7455</v>
      </c>
      <c r="AK518" s="7">
        <v>45560</v>
      </c>
      <c r="AL518" s="1" t="s">
        <v>7455</v>
      </c>
    </row>
    <row r="519" spans="1:38" s="20" customFormat="1" x14ac:dyDescent="0.3">
      <c r="A519" s="14">
        <v>518</v>
      </c>
      <c r="B519" s="14" t="str">
        <f>_xlfn.CONCAT(AE519,"-",VLOOKUP(AE519,t_objeto!B:D,3,FALSE),"-",A519)</f>
        <v>RMAT-PERCCO-518</v>
      </c>
      <c r="C519" s="22" t="str">
        <f t="shared" si="89"/>
        <v>LAMINA_LISA__ACERO_ROLADA EN CALIENTE_4'X10'_18</v>
      </c>
      <c r="D519" s="14" t="s">
        <v>7412</v>
      </c>
      <c r="E519" s="14" t="s">
        <v>7385</v>
      </c>
      <c r="F519" s="21" t="s">
        <v>7391</v>
      </c>
      <c r="G519" s="22" t="s">
        <v>7387</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7356</v>
      </c>
      <c r="AF519" s="1" t="str">
        <f>VLOOKUP(AE519,t_objeto!B:C,2,FALSE)</f>
        <v>RAW_MATERIAL</v>
      </c>
      <c r="AG519" s="1">
        <v>8</v>
      </c>
      <c r="AH519" s="1" t="str">
        <f>VLOOKUP(AG519,t_entry_status!A:AE,2,FALSE)</f>
        <v>PENDING</v>
      </c>
      <c r="AI519" s="7">
        <v>45560</v>
      </c>
      <c r="AJ519" s="1" t="s">
        <v>7455</v>
      </c>
      <c r="AK519" s="7">
        <v>45560</v>
      </c>
      <c r="AL519" s="1" t="s">
        <v>7455</v>
      </c>
    </row>
    <row r="520" spans="1:38" s="20" customFormat="1" x14ac:dyDescent="0.3">
      <c r="A520" s="14">
        <v>519</v>
      </c>
      <c r="B520" s="14" t="str">
        <f>_xlfn.CONCAT(AE520,"-",VLOOKUP(AE520,t_objeto!B:D,3,FALSE),"-",A520)</f>
        <v>RMAT-PERCCO-519</v>
      </c>
      <c r="C520" s="22" t="str">
        <f t="shared" si="89"/>
        <v>LAMINA_LISA__ACERO_ROLADA EN CALIENTE_4'X10'_19</v>
      </c>
      <c r="D520" s="14" t="s">
        <v>7412</v>
      </c>
      <c r="E520" s="14" t="s">
        <v>7385</v>
      </c>
      <c r="F520" s="21" t="s">
        <v>7391</v>
      </c>
      <c r="G520" s="22" t="s">
        <v>7387</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7356</v>
      </c>
      <c r="AF520" s="1" t="str">
        <f>VLOOKUP(AE520,t_objeto!B:C,2,FALSE)</f>
        <v>RAW_MATERIAL</v>
      </c>
      <c r="AG520" s="1">
        <v>8</v>
      </c>
      <c r="AH520" s="1" t="str">
        <f>VLOOKUP(AG520,t_entry_status!A:AE,2,FALSE)</f>
        <v>PENDING</v>
      </c>
      <c r="AI520" s="7">
        <v>45560</v>
      </c>
      <c r="AJ520" s="1" t="s">
        <v>7455</v>
      </c>
      <c r="AK520" s="7">
        <v>45560</v>
      </c>
      <c r="AL520" s="1" t="s">
        <v>7455</v>
      </c>
    </row>
    <row r="521" spans="1:38" s="20" customFormat="1" x14ac:dyDescent="0.3">
      <c r="A521" s="14">
        <v>520</v>
      </c>
      <c r="B521" s="14" t="str">
        <f>_xlfn.CONCAT(AE521,"-",VLOOKUP(AE521,t_objeto!B:D,3,FALSE),"-",A521)</f>
        <v>RMAT-PERCCO-520</v>
      </c>
      <c r="C521" s="22" t="str">
        <f t="shared" si="89"/>
        <v>LAMINA_LISA__ACERO_ROLADA EN CALIENTE_4'X10'_20</v>
      </c>
      <c r="D521" s="14" t="s">
        <v>7412</v>
      </c>
      <c r="E521" s="14" t="s">
        <v>7385</v>
      </c>
      <c r="F521" s="21" t="s">
        <v>7391</v>
      </c>
      <c r="G521" s="22" t="s">
        <v>7387</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7356</v>
      </c>
      <c r="AF521" s="1" t="str">
        <f>VLOOKUP(AE521,t_objeto!B:C,2,FALSE)</f>
        <v>RAW_MATERIAL</v>
      </c>
      <c r="AG521" s="1">
        <v>8</v>
      </c>
      <c r="AH521" s="1" t="str">
        <f>VLOOKUP(AG521,t_entry_status!A:AE,2,FALSE)</f>
        <v>PENDING</v>
      </c>
      <c r="AI521" s="7">
        <v>45560</v>
      </c>
      <c r="AJ521" s="1" t="s">
        <v>7455</v>
      </c>
      <c r="AK521" s="7">
        <v>45560</v>
      </c>
      <c r="AL521" s="1" t="s">
        <v>7455</v>
      </c>
    </row>
    <row r="522" spans="1:38" s="20" customFormat="1" x14ac:dyDescent="0.3">
      <c r="A522" s="14">
        <v>521</v>
      </c>
      <c r="B522" s="14" t="str">
        <f>_xlfn.CONCAT(AE522,"-",VLOOKUP(AE522,t_objeto!B:D,3,FALSE),"-",A522)</f>
        <v>RMAT-PERCCO-521</v>
      </c>
      <c r="C522" s="22" t="str">
        <f t="shared" si="89"/>
        <v>LAMINA_LISA__ACERO_ROLADA EN CALIENTE_4'X10'_21</v>
      </c>
      <c r="D522" s="14" t="s">
        <v>7412</v>
      </c>
      <c r="E522" s="14" t="s">
        <v>7385</v>
      </c>
      <c r="F522" s="21" t="s">
        <v>7391</v>
      </c>
      <c r="G522" s="22" t="s">
        <v>7387</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7356</v>
      </c>
      <c r="AF522" s="1" t="str">
        <f>VLOOKUP(AE522,t_objeto!B:C,2,FALSE)</f>
        <v>RAW_MATERIAL</v>
      </c>
      <c r="AG522" s="1">
        <v>8</v>
      </c>
      <c r="AH522" s="1" t="str">
        <f>VLOOKUP(AG522,t_entry_status!A:AE,2,FALSE)</f>
        <v>PENDING</v>
      </c>
      <c r="AI522" s="7">
        <v>45560</v>
      </c>
      <c r="AJ522" s="1" t="s">
        <v>7455</v>
      </c>
      <c r="AK522" s="7">
        <v>45560</v>
      </c>
      <c r="AL522" s="1" t="s">
        <v>7455</v>
      </c>
    </row>
    <row r="523" spans="1:38" s="20" customFormat="1" x14ac:dyDescent="0.3">
      <c r="A523" s="14">
        <v>522</v>
      </c>
      <c r="B523" s="14" t="str">
        <f>_xlfn.CONCAT(AE523,"-",VLOOKUP(AE523,t_objeto!B:D,3,FALSE),"-",A523)</f>
        <v>RMAT-PERCCO-522</v>
      </c>
      <c r="C523" s="22" t="str">
        <f t="shared" si="89"/>
        <v>LAMINA_LISA__ACERO_ROLADA EN CALIENTE_4'X10'_22</v>
      </c>
      <c r="D523" s="14" t="s">
        <v>7412</v>
      </c>
      <c r="E523" s="14" t="s">
        <v>7385</v>
      </c>
      <c r="F523" s="21" t="s">
        <v>7391</v>
      </c>
      <c r="G523" s="22" t="s">
        <v>7387</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7356</v>
      </c>
      <c r="AF523" s="1" t="str">
        <f>VLOOKUP(AE523,t_objeto!B:C,2,FALSE)</f>
        <v>RAW_MATERIAL</v>
      </c>
      <c r="AG523" s="1">
        <v>8</v>
      </c>
      <c r="AH523" s="1" t="str">
        <f>VLOOKUP(AG523,t_entry_status!A:AE,2,FALSE)</f>
        <v>PENDING</v>
      </c>
      <c r="AI523" s="7">
        <v>45560</v>
      </c>
      <c r="AJ523" s="1" t="s">
        <v>7455</v>
      </c>
      <c r="AK523" s="7">
        <v>45560</v>
      </c>
      <c r="AL523" s="1" t="s">
        <v>7455</v>
      </c>
    </row>
    <row r="524" spans="1:38" s="20" customFormat="1" x14ac:dyDescent="0.3">
      <c r="A524" s="14">
        <v>523</v>
      </c>
      <c r="B524" s="14" t="str">
        <f>_xlfn.CONCAT(AE524,"-",VLOOKUP(AE524,t_objeto!B:D,3,FALSE),"-",A524)</f>
        <v>RMAT-PERCCO-523</v>
      </c>
      <c r="C524" s="22" t="str">
        <f t="shared" si="89"/>
        <v>LAMINA_LISA__ACERO_ROLADA EN CALIENTE_4'X10'_23</v>
      </c>
      <c r="D524" s="14" t="s">
        <v>7412</v>
      </c>
      <c r="E524" s="14" t="s">
        <v>7385</v>
      </c>
      <c r="F524" s="21" t="s">
        <v>7391</v>
      </c>
      <c r="G524" s="22" t="s">
        <v>7387</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7356</v>
      </c>
      <c r="AF524" s="1" t="str">
        <f>VLOOKUP(AE524,t_objeto!B:C,2,FALSE)</f>
        <v>RAW_MATERIAL</v>
      </c>
      <c r="AG524" s="1">
        <v>8</v>
      </c>
      <c r="AH524" s="1" t="str">
        <f>VLOOKUP(AG524,t_entry_status!A:AE,2,FALSE)</f>
        <v>PENDING</v>
      </c>
      <c r="AI524" s="7">
        <v>45560</v>
      </c>
      <c r="AJ524" s="1" t="s">
        <v>7455</v>
      </c>
      <c r="AK524" s="7">
        <v>45560</v>
      </c>
      <c r="AL524" s="1" t="s">
        <v>7455</v>
      </c>
    </row>
    <row r="525" spans="1:38" s="20" customFormat="1" x14ac:dyDescent="0.3">
      <c r="A525" s="14">
        <v>524</v>
      </c>
      <c r="B525" s="14" t="str">
        <f>_xlfn.CONCAT(AE525,"-",VLOOKUP(AE525,t_objeto!B:D,3,FALSE),"-",A525)</f>
        <v>RMAT-PERCCO-524</v>
      </c>
      <c r="C525" s="22" t="str">
        <f t="shared" si="89"/>
        <v>LAMINA_LISA__ACERO_ROLADA EN CALIENTE_4'X10'_24</v>
      </c>
      <c r="D525" s="14" t="s">
        <v>7412</v>
      </c>
      <c r="E525" s="14" t="s">
        <v>7385</v>
      </c>
      <c r="F525" s="21" t="s">
        <v>7391</v>
      </c>
      <c r="G525" s="22" t="s">
        <v>7387</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7356</v>
      </c>
      <c r="AF525" s="1" t="str">
        <f>VLOOKUP(AE525,t_objeto!B:C,2,FALSE)</f>
        <v>RAW_MATERIAL</v>
      </c>
      <c r="AG525" s="1">
        <v>8</v>
      </c>
      <c r="AH525" s="1" t="str">
        <f>VLOOKUP(AG525,t_entry_status!A:AE,2,FALSE)</f>
        <v>PENDING</v>
      </c>
      <c r="AI525" s="7">
        <v>45560</v>
      </c>
      <c r="AJ525" s="1" t="s">
        <v>7455</v>
      </c>
      <c r="AK525" s="7">
        <v>45560</v>
      </c>
      <c r="AL525" s="1" t="s">
        <v>7455</v>
      </c>
    </row>
    <row r="526" spans="1:38" s="20" customFormat="1" x14ac:dyDescent="0.3">
      <c r="A526" s="14">
        <v>525</v>
      </c>
      <c r="B526" s="14" t="str">
        <f>_xlfn.CONCAT(AE526,"-",VLOOKUP(AE526,t_objeto!B:D,3,FALSE),"-",A526)</f>
        <v>RMAT-PERCCO-525</v>
      </c>
      <c r="C526" s="22" t="str">
        <f t="shared" si="89"/>
        <v>LAMINA_LISA__ACERO_ROLADA EN CALIENTE_4'X10'_25</v>
      </c>
      <c r="D526" s="14" t="s">
        <v>7412</v>
      </c>
      <c r="E526" s="14" t="s">
        <v>7385</v>
      </c>
      <c r="F526" s="21" t="s">
        <v>7391</v>
      </c>
      <c r="G526" s="22" t="s">
        <v>7387</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7356</v>
      </c>
      <c r="AF526" s="1" t="str">
        <f>VLOOKUP(AE526,t_objeto!B:C,2,FALSE)</f>
        <v>RAW_MATERIAL</v>
      </c>
      <c r="AG526" s="1">
        <v>8</v>
      </c>
      <c r="AH526" s="1" t="str">
        <f>VLOOKUP(AG526,t_entry_status!A:AE,2,FALSE)</f>
        <v>PENDING</v>
      </c>
      <c r="AI526" s="7">
        <v>45560</v>
      </c>
      <c r="AJ526" s="1" t="s">
        <v>7455</v>
      </c>
      <c r="AK526" s="7">
        <v>45560</v>
      </c>
      <c r="AL526" s="1" t="s">
        <v>7455</v>
      </c>
    </row>
    <row r="527" spans="1:38" s="20" customFormat="1" x14ac:dyDescent="0.3">
      <c r="A527" s="14">
        <v>526</v>
      </c>
      <c r="B527" s="14" t="str">
        <f>_xlfn.CONCAT(AE527,"-",VLOOKUP(AE527,t_objeto!B:D,3,FALSE),"-",A527)</f>
        <v>RMAT-PERCCO-526</v>
      </c>
      <c r="C527" s="22" t="str">
        <f t="shared" si="89"/>
        <v>LAMINA_LISA__ACERO_ROLADA EN CALIENTE_4'X10'_26</v>
      </c>
      <c r="D527" s="14" t="s">
        <v>7412</v>
      </c>
      <c r="E527" s="14" t="s">
        <v>7385</v>
      </c>
      <c r="F527" s="21" t="s">
        <v>7391</v>
      </c>
      <c r="G527" s="22" t="s">
        <v>7387</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7356</v>
      </c>
      <c r="AF527" s="1" t="str">
        <f>VLOOKUP(AE527,t_objeto!B:C,2,FALSE)</f>
        <v>RAW_MATERIAL</v>
      </c>
      <c r="AG527" s="1">
        <v>8</v>
      </c>
      <c r="AH527" s="1" t="str">
        <f>VLOOKUP(AG527,t_entry_status!A:AE,2,FALSE)</f>
        <v>PENDING</v>
      </c>
      <c r="AI527" s="7">
        <v>45560</v>
      </c>
      <c r="AJ527" s="1" t="s">
        <v>7455</v>
      </c>
      <c r="AK527" s="7">
        <v>45560</v>
      </c>
      <c r="AL527" s="1" t="s">
        <v>7455</v>
      </c>
    </row>
    <row r="528" spans="1:38" s="20" customFormat="1" x14ac:dyDescent="0.3">
      <c r="A528" s="14">
        <v>527</v>
      </c>
      <c r="B528" s="14" t="str">
        <f>_xlfn.CONCAT(AE528,"-",VLOOKUP(AE528,t_objeto!B:D,3,FALSE),"-",A528)</f>
        <v>RMAT-PERCCO-527</v>
      </c>
      <c r="C528" s="22" t="str">
        <f t="shared" si="89"/>
        <v>LAMINA_LISA__ACERO_ROLADA EN CALIENTE_4'X10'_27</v>
      </c>
      <c r="D528" s="14" t="s">
        <v>7412</v>
      </c>
      <c r="E528" s="14" t="s">
        <v>7385</v>
      </c>
      <c r="F528" s="21" t="s">
        <v>7391</v>
      </c>
      <c r="G528" s="22" t="s">
        <v>7387</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7356</v>
      </c>
      <c r="AF528" s="1" t="str">
        <f>VLOOKUP(AE528,t_objeto!B:C,2,FALSE)</f>
        <v>RAW_MATERIAL</v>
      </c>
      <c r="AG528" s="1">
        <v>8</v>
      </c>
      <c r="AH528" s="1" t="str">
        <f>VLOOKUP(AG528,t_entry_status!A:AE,2,FALSE)</f>
        <v>PENDING</v>
      </c>
      <c r="AI528" s="7">
        <v>45560</v>
      </c>
      <c r="AJ528" s="1" t="s">
        <v>7455</v>
      </c>
      <c r="AK528" s="7">
        <v>45560</v>
      </c>
      <c r="AL528" s="1" t="s">
        <v>7455</v>
      </c>
    </row>
    <row r="529" spans="1:38" s="20" customFormat="1" x14ac:dyDescent="0.3">
      <c r="A529" s="14">
        <v>528</v>
      </c>
      <c r="B529" s="14" t="str">
        <f>_xlfn.CONCAT(AE529,"-",VLOOKUP(AE529,t_objeto!B:D,3,FALSE),"-",A529)</f>
        <v>RMAT-PERCCO-528</v>
      </c>
      <c r="C529" s="22" t="str">
        <f t="shared" si="89"/>
        <v>LAMINA_LISA__ACERO_ROLADA EN CALIENTE_4'X10'_28</v>
      </c>
      <c r="D529" s="14" t="s">
        <v>7412</v>
      </c>
      <c r="E529" s="14" t="s">
        <v>7385</v>
      </c>
      <c r="F529" s="21" t="s">
        <v>7391</v>
      </c>
      <c r="G529" s="22" t="s">
        <v>7387</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7356</v>
      </c>
      <c r="AF529" s="1" t="str">
        <f>VLOOKUP(AE529,t_objeto!B:C,2,FALSE)</f>
        <v>RAW_MATERIAL</v>
      </c>
      <c r="AG529" s="1">
        <v>8</v>
      </c>
      <c r="AH529" s="1" t="str">
        <f>VLOOKUP(AG529,t_entry_status!A:AE,2,FALSE)</f>
        <v>PENDING</v>
      </c>
      <c r="AI529" s="7">
        <v>45560</v>
      </c>
      <c r="AJ529" s="1" t="s">
        <v>7455</v>
      </c>
      <c r="AK529" s="7">
        <v>45560</v>
      </c>
      <c r="AL529" s="1" t="s">
        <v>7455</v>
      </c>
    </row>
    <row r="530" spans="1:38" s="20" customFormat="1" x14ac:dyDescent="0.3">
      <c r="A530" s="14">
        <v>529</v>
      </c>
      <c r="B530" s="14" t="str">
        <f>_xlfn.CONCAT(AE530,"-",VLOOKUP(AE530,t_objeto!B:D,3,FALSE),"-",A530)</f>
        <v>RMAT-PERCCO-529</v>
      </c>
      <c r="C530" s="22" t="str">
        <f t="shared" si="89"/>
        <v>LAMINA_LISA__ACERO_ROLADA EN CALIENTE_4'X10'_29</v>
      </c>
      <c r="D530" s="14" t="s">
        <v>7412</v>
      </c>
      <c r="E530" s="14" t="s">
        <v>7385</v>
      </c>
      <c r="F530" s="21" t="s">
        <v>7391</v>
      </c>
      <c r="G530" s="22" t="s">
        <v>7387</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7356</v>
      </c>
      <c r="AF530" s="1" t="str">
        <f>VLOOKUP(AE530,t_objeto!B:C,2,FALSE)</f>
        <v>RAW_MATERIAL</v>
      </c>
      <c r="AG530" s="1">
        <v>8</v>
      </c>
      <c r="AH530" s="1" t="str">
        <f>VLOOKUP(AG530,t_entry_status!A:AE,2,FALSE)</f>
        <v>PENDING</v>
      </c>
      <c r="AI530" s="7">
        <v>45560</v>
      </c>
      <c r="AJ530" s="1" t="s">
        <v>7455</v>
      </c>
      <c r="AK530" s="7">
        <v>45560</v>
      </c>
      <c r="AL530" s="1" t="s">
        <v>7455</v>
      </c>
    </row>
    <row r="531" spans="1:38" s="20" customFormat="1" x14ac:dyDescent="0.3">
      <c r="A531" s="14">
        <v>530</v>
      </c>
      <c r="B531" s="14" t="str">
        <f>_xlfn.CONCAT(AE531,"-",VLOOKUP(AE531,t_objeto!B:D,3,FALSE),"-",A531)</f>
        <v>RMAT-PERCCO-530</v>
      </c>
      <c r="C531" s="22" t="str">
        <f t="shared" si="89"/>
        <v>LAMINA_LISA__ACERO_ROLADA EN CALIENTE_4'X10'_30</v>
      </c>
      <c r="D531" s="14" t="s">
        <v>7412</v>
      </c>
      <c r="E531" s="14" t="s">
        <v>7385</v>
      </c>
      <c r="F531" s="21" t="s">
        <v>7391</v>
      </c>
      <c r="G531" s="22" t="s">
        <v>7387</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7356</v>
      </c>
      <c r="AF531" s="1" t="str">
        <f>VLOOKUP(AE531,t_objeto!B:C,2,FALSE)</f>
        <v>RAW_MATERIAL</v>
      </c>
      <c r="AG531" s="1">
        <v>8</v>
      </c>
      <c r="AH531" s="1" t="str">
        <f>VLOOKUP(AG531,t_entry_status!A:AE,2,FALSE)</f>
        <v>PENDING</v>
      </c>
      <c r="AI531" s="7">
        <v>45560</v>
      </c>
      <c r="AJ531" s="1" t="s">
        <v>7455</v>
      </c>
      <c r="AK531" s="7">
        <v>45560</v>
      </c>
      <c r="AL531" s="1" t="s">
        <v>7455</v>
      </c>
    </row>
    <row r="532" spans="1:38" s="20" customFormat="1" x14ac:dyDescent="0.3">
      <c r="A532" s="14">
        <v>531</v>
      </c>
      <c r="B532" s="14" t="str">
        <f>_xlfn.CONCAT(AE532,"-",VLOOKUP(AE532,t_objeto!B:D,3,FALSE),"-",A532)</f>
        <v>RMAT-PERCCO-531</v>
      </c>
      <c r="C532" s="22" t="str">
        <f t="shared" si="89"/>
        <v>PLACA__ACERO_ROLADA EN FRIO_4'X10'_1"</v>
      </c>
      <c r="D532" s="14" t="s">
        <v>7390</v>
      </c>
      <c r="E532" s="14" t="s">
        <v>7385</v>
      </c>
      <c r="F532" s="21" t="s">
        <v>7405</v>
      </c>
      <c r="G532" s="22" t="s">
        <v>7387</v>
      </c>
      <c r="H532" s="14" t="s">
        <v>7392</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7356</v>
      </c>
      <c r="AF532" s="1" t="str">
        <f>VLOOKUP(AE532,t_objeto!B:C,2,FALSE)</f>
        <v>RAW_MATERIAL</v>
      </c>
      <c r="AG532" s="1">
        <v>8</v>
      </c>
      <c r="AH532" s="1" t="str">
        <f>VLOOKUP(AG532,t_entry_status!A:AE,2,FALSE)</f>
        <v>PENDING</v>
      </c>
      <c r="AI532" s="7">
        <v>45560</v>
      </c>
      <c r="AJ532" s="1" t="s">
        <v>7455</v>
      </c>
      <c r="AK532" s="7">
        <v>45560</v>
      </c>
      <c r="AL532" s="1" t="s">
        <v>7455</v>
      </c>
    </row>
    <row r="533" spans="1:38" s="20" customFormat="1" x14ac:dyDescent="0.3">
      <c r="A533" s="14">
        <v>532</v>
      </c>
      <c r="B533" s="14" t="str">
        <f>_xlfn.CONCAT(AE533,"-",VLOOKUP(AE533,t_objeto!B:D,3,FALSE),"-",A533)</f>
        <v>RMAT-PERCCO-532</v>
      </c>
      <c r="C533" s="22" t="str">
        <f t="shared" si="89"/>
        <v>PLACA__ACERO_ROLADA EN FRIO_4'X10'_7/8"</v>
      </c>
      <c r="D533" s="14" t="s">
        <v>7390</v>
      </c>
      <c r="E533" s="14" t="s">
        <v>7385</v>
      </c>
      <c r="F533" s="21" t="s">
        <v>7405</v>
      </c>
      <c r="G533" s="22" t="s">
        <v>7387</v>
      </c>
      <c r="H533" s="14" t="s">
        <v>7393</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7356</v>
      </c>
      <c r="AF533" s="1" t="str">
        <f>VLOOKUP(AE533,t_objeto!B:C,2,FALSE)</f>
        <v>RAW_MATERIAL</v>
      </c>
      <c r="AG533" s="1">
        <v>8</v>
      </c>
      <c r="AH533" s="1" t="str">
        <f>VLOOKUP(AG533,t_entry_status!A:AE,2,FALSE)</f>
        <v>PENDING</v>
      </c>
      <c r="AI533" s="7">
        <v>45560</v>
      </c>
      <c r="AJ533" s="1" t="s">
        <v>7455</v>
      </c>
      <c r="AK533" s="7">
        <v>45560</v>
      </c>
      <c r="AL533" s="1" t="s">
        <v>7455</v>
      </c>
    </row>
    <row r="534" spans="1:38" s="20" customFormat="1" x14ac:dyDescent="0.3">
      <c r="A534" s="14">
        <v>533</v>
      </c>
      <c r="B534" s="14" t="str">
        <f>_xlfn.CONCAT(AE534,"-",VLOOKUP(AE534,t_objeto!B:D,3,FALSE),"-",A534)</f>
        <v>RMAT-PERCCO-533</v>
      </c>
      <c r="C534" s="22" t="str">
        <f t="shared" si="89"/>
        <v>PLACA__ACERO_ROLADA EN FRIO_4'X10'_3/4"</v>
      </c>
      <c r="D534" s="14" t="s">
        <v>7390</v>
      </c>
      <c r="E534" s="14" t="s">
        <v>7385</v>
      </c>
      <c r="F534" s="21" t="s">
        <v>7405</v>
      </c>
      <c r="G534" s="22" t="s">
        <v>7387</v>
      </c>
      <c r="H534" s="14" t="s">
        <v>7394</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7356</v>
      </c>
      <c r="AF534" s="1" t="str">
        <f>VLOOKUP(AE534,t_objeto!B:C,2,FALSE)</f>
        <v>RAW_MATERIAL</v>
      </c>
      <c r="AG534" s="1">
        <v>8</v>
      </c>
      <c r="AH534" s="1" t="str">
        <f>VLOOKUP(AG534,t_entry_status!A:AE,2,FALSE)</f>
        <v>PENDING</v>
      </c>
      <c r="AI534" s="7">
        <v>45560</v>
      </c>
      <c r="AJ534" s="1" t="s">
        <v>7455</v>
      </c>
      <c r="AK534" s="7">
        <v>45560</v>
      </c>
      <c r="AL534" s="1" t="s">
        <v>7455</v>
      </c>
    </row>
    <row r="535" spans="1:38" s="20" customFormat="1" x14ac:dyDescent="0.3">
      <c r="A535" s="14">
        <v>534</v>
      </c>
      <c r="B535" s="14" t="str">
        <f>_xlfn.CONCAT(AE535,"-",VLOOKUP(AE535,t_objeto!B:D,3,FALSE),"-",A535)</f>
        <v>RMAT-PERCCO-534</v>
      </c>
      <c r="C535" s="22" t="str">
        <f t="shared" si="89"/>
        <v>PLACA__ACERO_ROLADA EN FRIO_4'X10'_11/16"</v>
      </c>
      <c r="D535" s="14" t="s">
        <v>7390</v>
      </c>
      <c r="E535" s="14" t="s">
        <v>7385</v>
      </c>
      <c r="F535" s="21" t="s">
        <v>7405</v>
      </c>
      <c r="G535" s="22" t="s">
        <v>7387</v>
      </c>
      <c r="H535" s="14" t="s">
        <v>7395</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7356</v>
      </c>
      <c r="AF535" s="1" t="str">
        <f>VLOOKUP(AE535,t_objeto!B:C,2,FALSE)</f>
        <v>RAW_MATERIAL</v>
      </c>
      <c r="AG535" s="1">
        <v>8</v>
      </c>
      <c r="AH535" s="1" t="str">
        <f>VLOOKUP(AG535,t_entry_status!A:AE,2,FALSE)</f>
        <v>PENDING</v>
      </c>
      <c r="AI535" s="7">
        <v>45560</v>
      </c>
      <c r="AJ535" s="1" t="s">
        <v>7455</v>
      </c>
      <c r="AK535" s="7">
        <v>45560</v>
      </c>
      <c r="AL535" s="1" t="s">
        <v>7455</v>
      </c>
    </row>
    <row r="536" spans="1:38" s="20" customFormat="1" x14ac:dyDescent="0.3">
      <c r="A536" s="14">
        <v>535</v>
      </c>
      <c r="B536" s="14" t="str">
        <f>_xlfn.CONCAT(AE536,"-",VLOOKUP(AE536,t_objeto!B:D,3,FALSE),"-",A536)</f>
        <v>RMAT-PERCCO-535</v>
      </c>
      <c r="C536" s="22" t="str">
        <f t="shared" si="89"/>
        <v>PLACA__ACERO_ROLADA EN FRIO_4'X10'_5/8"</v>
      </c>
      <c r="D536" s="14" t="s">
        <v>7390</v>
      </c>
      <c r="E536" s="14" t="s">
        <v>7385</v>
      </c>
      <c r="F536" s="21" t="s">
        <v>7405</v>
      </c>
      <c r="G536" s="22" t="s">
        <v>7387</v>
      </c>
      <c r="H536" s="14" t="s">
        <v>7396</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7356</v>
      </c>
      <c r="AF536" s="1" t="str">
        <f>VLOOKUP(AE536,t_objeto!B:C,2,FALSE)</f>
        <v>RAW_MATERIAL</v>
      </c>
      <c r="AG536" s="1">
        <v>8</v>
      </c>
      <c r="AH536" s="1" t="str">
        <f>VLOOKUP(AG536,t_entry_status!A:AE,2,FALSE)</f>
        <v>PENDING</v>
      </c>
      <c r="AI536" s="7">
        <v>45560</v>
      </c>
      <c r="AJ536" s="1" t="s">
        <v>7455</v>
      </c>
      <c r="AK536" s="7">
        <v>45560</v>
      </c>
      <c r="AL536" s="1" t="s">
        <v>7455</v>
      </c>
    </row>
    <row r="537" spans="1:38" s="20" customFormat="1" x14ac:dyDescent="0.3">
      <c r="A537" s="14">
        <v>536</v>
      </c>
      <c r="B537" s="14" t="str">
        <f>_xlfn.CONCAT(AE537,"-",VLOOKUP(AE537,t_objeto!B:D,3,FALSE),"-",A537)</f>
        <v>RMAT-PERCCO-536</v>
      </c>
      <c r="C537" s="22" t="str">
        <f t="shared" si="89"/>
        <v>PLACA__ACERO_ROLADA EN FRIO_4'X10'_9/16"</v>
      </c>
      <c r="D537" s="14" t="s">
        <v>7390</v>
      </c>
      <c r="E537" s="14" t="s">
        <v>7385</v>
      </c>
      <c r="F537" s="21" t="s">
        <v>7405</v>
      </c>
      <c r="G537" s="22" t="s">
        <v>7387</v>
      </c>
      <c r="H537" s="14" t="s">
        <v>7397</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7356</v>
      </c>
      <c r="AF537" s="1" t="str">
        <f>VLOOKUP(AE537,t_objeto!B:C,2,FALSE)</f>
        <v>RAW_MATERIAL</v>
      </c>
      <c r="AG537" s="1">
        <v>8</v>
      </c>
      <c r="AH537" s="1" t="str">
        <f>VLOOKUP(AG537,t_entry_status!A:AE,2,FALSE)</f>
        <v>PENDING</v>
      </c>
      <c r="AI537" s="7">
        <v>45560</v>
      </c>
      <c r="AJ537" s="1" t="s">
        <v>7455</v>
      </c>
      <c r="AK537" s="7">
        <v>45560</v>
      </c>
      <c r="AL537" s="1" t="s">
        <v>7455</v>
      </c>
    </row>
    <row r="538" spans="1:38" s="20" customFormat="1" x14ac:dyDescent="0.3">
      <c r="A538" s="14">
        <v>537</v>
      </c>
      <c r="B538" s="14" t="str">
        <f>_xlfn.CONCAT(AE538,"-",VLOOKUP(AE538,t_objeto!B:D,3,FALSE),"-",A538)</f>
        <v>RMAT-PERCCO-537</v>
      </c>
      <c r="C538" s="22" t="str">
        <f t="shared" si="89"/>
        <v>PLACA__ACERO_ROLADA EN FRIO_4'X10'_1/2"</v>
      </c>
      <c r="D538" s="14" t="s">
        <v>7390</v>
      </c>
      <c r="E538" s="14" t="s">
        <v>7385</v>
      </c>
      <c r="F538" s="21" t="s">
        <v>7405</v>
      </c>
      <c r="G538" s="22" t="s">
        <v>7387</v>
      </c>
      <c r="H538" s="14" t="s">
        <v>7398</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7356</v>
      </c>
      <c r="AF538" s="1" t="str">
        <f>VLOOKUP(AE538,t_objeto!B:C,2,FALSE)</f>
        <v>RAW_MATERIAL</v>
      </c>
      <c r="AG538" s="1">
        <v>8</v>
      </c>
      <c r="AH538" s="1" t="str">
        <f>VLOOKUP(AG538,t_entry_status!A:AE,2,FALSE)</f>
        <v>PENDING</v>
      </c>
      <c r="AI538" s="7">
        <v>45560</v>
      </c>
      <c r="AJ538" s="1" t="s">
        <v>7455</v>
      </c>
      <c r="AK538" s="7">
        <v>45560</v>
      </c>
      <c r="AL538" s="1" t="s">
        <v>7455</v>
      </c>
    </row>
    <row r="539" spans="1:38" s="20" customFormat="1" x14ac:dyDescent="0.3">
      <c r="A539" s="14">
        <v>538</v>
      </c>
      <c r="B539" s="14" t="str">
        <f>_xlfn.CONCAT(AE539,"-",VLOOKUP(AE539,t_objeto!B:D,3,FALSE),"-",A539)</f>
        <v>RMAT-PERCCO-538</v>
      </c>
      <c r="C539" s="22" t="str">
        <f t="shared" si="89"/>
        <v>PLACA__ACERO_ROLADA EN FRIO_4'X10'_7/16"</v>
      </c>
      <c r="D539" s="14" t="s">
        <v>7390</v>
      </c>
      <c r="E539" s="14" t="s">
        <v>7385</v>
      </c>
      <c r="F539" s="21" t="s">
        <v>7405</v>
      </c>
      <c r="G539" s="22" t="s">
        <v>7387</v>
      </c>
      <c r="H539" s="14" t="s">
        <v>7399</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7356</v>
      </c>
      <c r="AF539" s="1" t="str">
        <f>VLOOKUP(AE539,t_objeto!B:C,2,FALSE)</f>
        <v>RAW_MATERIAL</v>
      </c>
      <c r="AG539" s="1">
        <v>8</v>
      </c>
      <c r="AH539" s="1" t="str">
        <f>VLOOKUP(AG539,t_entry_status!A:AE,2,FALSE)</f>
        <v>PENDING</v>
      </c>
      <c r="AI539" s="7">
        <v>45560</v>
      </c>
      <c r="AJ539" s="1" t="s">
        <v>7455</v>
      </c>
      <c r="AK539" s="7">
        <v>45560</v>
      </c>
      <c r="AL539" s="1" t="s">
        <v>7455</v>
      </c>
    </row>
    <row r="540" spans="1:38" s="20" customFormat="1" x14ac:dyDescent="0.3">
      <c r="A540" s="14">
        <v>539</v>
      </c>
      <c r="B540" s="14" t="str">
        <f>_xlfn.CONCAT(AE540,"-",VLOOKUP(AE540,t_objeto!B:D,3,FALSE),"-",A540)</f>
        <v>RMAT-PERCCO-539</v>
      </c>
      <c r="C540" s="22" t="str">
        <f t="shared" si="89"/>
        <v>PLACA__ACERO_ROLADA EN FRIO_4'X10'_3/8"</v>
      </c>
      <c r="D540" s="14" t="s">
        <v>7390</v>
      </c>
      <c r="E540" s="14" t="s">
        <v>7385</v>
      </c>
      <c r="F540" s="21" t="s">
        <v>7405</v>
      </c>
      <c r="G540" s="22" t="s">
        <v>7387</v>
      </c>
      <c r="H540" s="14" t="s">
        <v>7400</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7356</v>
      </c>
      <c r="AF540" s="1" t="str">
        <f>VLOOKUP(AE540,t_objeto!B:C,2,FALSE)</f>
        <v>RAW_MATERIAL</v>
      </c>
      <c r="AG540" s="1">
        <v>8</v>
      </c>
      <c r="AH540" s="1" t="str">
        <f>VLOOKUP(AG540,t_entry_status!A:AE,2,FALSE)</f>
        <v>PENDING</v>
      </c>
      <c r="AI540" s="7">
        <v>45560</v>
      </c>
      <c r="AJ540" s="1" t="s">
        <v>7455</v>
      </c>
      <c r="AK540" s="7">
        <v>45560</v>
      </c>
      <c r="AL540" s="1" t="s">
        <v>7455</v>
      </c>
    </row>
    <row r="541" spans="1:38" s="20" customFormat="1" x14ac:dyDescent="0.3">
      <c r="A541" s="14">
        <v>540</v>
      </c>
      <c r="B541" s="14" t="str">
        <f>_xlfn.CONCAT(AE541,"-",VLOOKUP(AE541,t_objeto!B:D,3,FALSE),"-",A541)</f>
        <v>RMAT-PERCCO-540</v>
      </c>
      <c r="C541" s="22" t="str">
        <f t="shared" si="89"/>
        <v>PLACA__ACERO_ROLADA EN FRIO_4'X10'_5/16"</v>
      </c>
      <c r="D541" s="14" t="s">
        <v>7390</v>
      </c>
      <c r="E541" s="14" t="s">
        <v>7385</v>
      </c>
      <c r="F541" s="21" t="s">
        <v>7405</v>
      </c>
      <c r="G541" s="22" t="s">
        <v>7387</v>
      </c>
      <c r="H541" s="14" t="s">
        <v>7401</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7356</v>
      </c>
      <c r="AF541" s="1" t="str">
        <f>VLOOKUP(AE541,t_objeto!B:C,2,FALSE)</f>
        <v>RAW_MATERIAL</v>
      </c>
      <c r="AG541" s="1">
        <v>8</v>
      </c>
      <c r="AH541" s="1" t="str">
        <f>VLOOKUP(AG541,t_entry_status!A:AE,2,FALSE)</f>
        <v>PENDING</v>
      </c>
      <c r="AI541" s="7">
        <v>45560</v>
      </c>
      <c r="AJ541" s="1" t="s">
        <v>7455</v>
      </c>
      <c r="AK541" s="7">
        <v>45560</v>
      </c>
      <c r="AL541" s="1" t="s">
        <v>7455</v>
      </c>
    </row>
    <row r="542" spans="1:38" s="20" customFormat="1" x14ac:dyDescent="0.3">
      <c r="A542" s="14">
        <v>541</v>
      </c>
      <c r="B542" s="14" t="str">
        <f>_xlfn.CONCAT(AE542,"-",VLOOKUP(AE542,t_objeto!B:D,3,FALSE),"-",A542)</f>
        <v>RMAT-PERCCO-541</v>
      </c>
      <c r="C542" s="22" t="str">
        <f t="shared" si="89"/>
        <v>PLACA__ACERO_ROLADA EN FRIO_4'X10'_1/4"</v>
      </c>
      <c r="D542" s="14" t="s">
        <v>7390</v>
      </c>
      <c r="E542" s="14" t="s">
        <v>7385</v>
      </c>
      <c r="F542" s="21" t="s">
        <v>7405</v>
      </c>
      <c r="G542" s="22" t="s">
        <v>7387</v>
      </c>
      <c r="H542" s="14" t="s">
        <v>7402</v>
      </c>
      <c r="I542" s="16">
        <v>6.35</v>
      </c>
      <c r="J542" s="16">
        <f t="shared" si="91"/>
        <v>0.25</v>
      </c>
      <c r="K542" s="16">
        <v>49.847999999999999</v>
      </c>
      <c r="L542" s="23">
        <v>1.2</v>
      </c>
      <c r="M542" s="23">
        <v>0.6</v>
      </c>
      <c r="N542" s="23"/>
      <c r="O542" s="23"/>
      <c r="P542" s="23"/>
      <c r="Q542" s="19" t="s">
        <v>7406</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7356</v>
      </c>
      <c r="AF542" s="1" t="str">
        <f>VLOOKUP(AE542,t_objeto!B:C,2,FALSE)</f>
        <v>RAW_MATERIAL</v>
      </c>
      <c r="AG542" s="1">
        <v>8</v>
      </c>
      <c r="AH542" s="1" t="str">
        <f>VLOOKUP(AG542,t_entry_status!A:AE,2,FALSE)</f>
        <v>PENDING</v>
      </c>
      <c r="AI542" s="7">
        <v>45560</v>
      </c>
      <c r="AJ542" s="1" t="s">
        <v>7455</v>
      </c>
      <c r="AK542" s="7">
        <v>45560</v>
      </c>
      <c r="AL542" s="1" t="s">
        <v>7455</v>
      </c>
    </row>
    <row r="543" spans="1:38" s="20" customFormat="1" x14ac:dyDescent="0.3">
      <c r="A543" s="14">
        <v>542</v>
      </c>
      <c r="B543" s="14" t="str">
        <f>_xlfn.CONCAT(AE543,"-",VLOOKUP(AE543,t_objeto!B:D,3,FALSE),"-",A543)</f>
        <v>RMAT-PERCCO-542</v>
      </c>
      <c r="C543" s="22" t="str">
        <f t="shared" si="89"/>
        <v>PLACA__ACERO_ROLADA EN FRIO_4'X10'_3/16"</v>
      </c>
      <c r="D543" s="14" t="s">
        <v>7390</v>
      </c>
      <c r="E543" s="14" t="s">
        <v>7385</v>
      </c>
      <c r="F543" s="21" t="s">
        <v>7405</v>
      </c>
      <c r="G543" s="22" t="s">
        <v>7387</v>
      </c>
      <c r="H543" s="14" t="s">
        <v>7403</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7356</v>
      </c>
      <c r="AF543" s="1" t="str">
        <f>VLOOKUP(AE543,t_objeto!B:C,2,FALSE)</f>
        <v>RAW_MATERIAL</v>
      </c>
      <c r="AG543" s="1">
        <v>8</v>
      </c>
      <c r="AH543" s="1" t="str">
        <f>VLOOKUP(AG543,t_entry_status!A:AE,2,FALSE)</f>
        <v>PENDING</v>
      </c>
      <c r="AI543" s="7">
        <v>45560</v>
      </c>
      <c r="AJ543" s="1" t="s">
        <v>7455</v>
      </c>
      <c r="AK543" s="7">
        <v>45560</v>
      </c>
      <c r="AL543" s="1" t="s">
        <v>7455</v>
      </c>
    </row>
    <row r="544" spans="1:38" s="20" customFormat="1" x14ac:dyDescent="0.3">
      <c r="A544" s="14">
        <v>543</v>
      </c>
      <c r="B544" s="14" t="str">
        <f>_xlfn.CONCAT(AE544,"-",VLOOKUP(AE544,t_objeto!B:D,3,FALSE),"-",A544)</f>
        <v>RMAT-PERCCO-543</v>
      </c>
      <c r="C544" s="22" t="str">
        <f t="shared" si="89"/>
        <v>LAMINA_LISA__ACERO_ROLADA EN FRIO_4'X10'_4</v>
      </c>
      <c r="D544" s="14" t="s">
        <v>7412</v>
      </c>
      <c r="E544" s="14" t="s">
        <v>7385</v>
      </c>
      <c r="F544" s="21" t="s">
        <v>7405</v>
      </c>
      <c r="G544" s="22" t="s">
        <v>7387</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7356</v>
      </c>
      <c r="AF544" s="1" t="str">
        <f>VLOOKUP(AE544,t_objeto!B:C,2,FALSE)</f>
        <v>RAW_MATERIAL</v>
      </c>
      <c r="AG544" s="1">
        <v>8</v>
      </c>
      <c r="AH544" s="1" t="str">
        <f>VLOOKUP(AG544,t_entry_status!A:AE,2,FALSE)</f>
        <v>PENDING</v>
      </c>
      <c r="AI544" s="7">
        <v>45560</v>
      </c>
      <c r="AJ544" s="1" t="s">
        <v>7455</v>
      </c>
      <c r="AK544" s="7">
        <v>45560</v>
      </c>
      <c r="AL544" s="1" t="s">
        <v>7455</v>
      </c>
    </row>
    <row r="545" spans="1:38" s="20" customFormat="1" x14ac:dyDescent="0.3">
      <c r="A545" s="14">
        <v>544</v>
      </c>
      <c r="B545" s="14" t="str">
        <f>_xlfn.CONCAT(AE545,"-",VLOOKUP(AE545,t_objeto!B:D,3,FALSE),"-",A545)</f>
        <v>RMAT-PERCCO-544</v>
      </c>
      <c r="C545" s="22" t="str">
        <f t="shared" si="89"/>
        <v>LAMINA_LISA__ACERO_ROLADA EN FRIO_4'X10'_5</v>
      </c>
      <c r="D545" s="14" t="s">
        <v>7412</v>
      </c>
      <c r="E545" s="14" t="s">
        <v>7385</v>
      </c>
      <c r="F545" s="21" t="s">
        <v>7405</v>
      </c>
      <c r="G545" s="22" t="s">
        <v>7387</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7356</v>
      </c>
      <c r="AF545" s="1" t="str">
        <f>VLOOKUP(AE545,t_objeto!B:C,2,FALSE)</f>
        <v>RAW_MATERIAL</v>
      </c>
      <c r="AG545" s="1">
        <v>8</v>
      </c>
      <c r="AH545" s="1" t="str">
        <f>VLOOKUP(AG545,t_entry_status!A:AE,2,FALSE)</f>
        <v>PENDING</v>
      </c>
      <c r="AI545" s="7">
        <v>45560</v>
      </c>
      <c r="AJ545" s="1" t="s">
        <v>7455</v>
      </c>
      <c r="AK545" s="7">
        <v>45560</v>
      </c>
      <c r="AL545" s="1" t="s">
        <v>7455</v>
      </c>
    </row>
    <row r="546" spans="1:38" s="20" customFormat="1" x14ac:dyDescent="0.3">
      <c r="A546" s="14">
        <v>545</v>
      </c>
      <c r="B546" s="14" t="str">
        <f>_xlfn.CONCAT(AE546,"-",VLOOKUP(AE546,t_objeto!B:D,3,FALSE),"-",A546)</f>
        <v>RMAT-PERCCO-545</v>
      </c>
      <c r="C546" s="22" t="str">
        <f t="shared" si="89"/>
        <v>LAMINA_LISA__ACERO_ROLADA EN FRIO_4'X10'_6</v>
      </c>
      <c r="D546" s="14" t="s">
        <v>7412</v>
      </c>
      <c r="E546" s="14" t="s">
        <v>7385</v>
      </c>
      <c r="F546" s="21" t="s">
        <v>7405</v>
      </c>
      <c r="G546" s="22" t="s">
        <v>7387</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7356</v>
      </c>
      <c r="AF546" s="1" t="str">
        <f>VLOOKUP(AE546,t_objeto!B:C,2,FALSE)</f>
        <v>RAW_MATERIAL</v>
      </c>
      <c r="AG546" s="1">
        <v>8</v>
      </c>
      <c r="AH546" s="1" t="str">
        <f>VLOOKUP(AG546,t_entry_status!A:AE,2,FALSE)</f>
        <v>PENDING</v>
      </c>
      <c r="AI546" s="7">
        <v>45560</v>
      </c>
      <c r="AJ546" s="1" t="s">
        <v>7455</v>
      </c>
      <c r="AK546" s="7">
        <v>45560</v>
      </c>
      <c r="AL546" s="1" t="s">
        <v>7455</v>
      </c>
    </row>
    <row r="547" spans="1:38" s="20" customFormat="1" x14ac:dyDescent="0.3">
      <c r="A547" s="14">
        <v>546</v>
      </c>
      <c r="B547" s="14" t="str">
        <f>_xlfn.CONCAT(AE547,"-",VLOOKUP(AE547,t_objeto!B:D,3,FALSE),"-",A547)</f>
        <v>RMAT-PERCCO-546</v>
      </c>
      <c r="C547" s="22" t="str">
        <f t="shared" si="89"/>
        <v>LAMINA_LISA__ACERO_ROLADA EN FRIO_4'X10'_7</v>
      </c>
      <c r="D547" s="14" t="s">
        <v>7412</v>
      </c>
      <c r="E547" s="14" t="s">
        <v>7385</v>
      </c>
      <c r="F547" s="21" t="s">
        <v>7405</v>
      </c>
      <c r="G547" s="22" t="s">
        <v>7387</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7356</v>
      </c>
      <c r="AF547" s="1" t="str">
        <f>VLOOKUP(AE547,t_objeto!B:C,2,FALSE)</f>
        <v>RAW_MATERIAL</v>
      </c>
      <c r="AG547" s="1">
        <v>8</v>
      </c>
      <c r="AH547" s="1" t="str">
        <f>VLOOKUP(AG547,t_entry_status!A:AE,2,FALSE)</f>
        <v>PENDING</v>
      </c>
      <c r="AI547" s="7">
        <v>45560</v>
      </c>
      <c r="AJ547" s="1" t="s">
        <v>7455</v>
      </c>
      <c r="AK547" s="7">
        <v>45560</v>
      </c>
      <c r="AL547" s="1" t="s">
        <v>7455</v>
      </c>
    </row>
    <row r="548" spans="1:38" s="20" customFormat="1" x14ac:dyDescent="0.3">
      <c r="A548" s="14">
        <v>547</v>
      </c>
      <c r="B548" s="14" t="str">
        <f>_xlfn.CONCAT(AE548,"-",VLOOKUP(AE548,t_objeto!B:D,3,FALSE),"-",A548)</f>
        <v>RMAT-PERCCO-547</v>
      </c>
      <c r="C548" s="22" t="str">
        <f t="shared" si="89"/>
        <v>LAMINA_LISA__ACERO_ROLADA EN FRIO_4'X10'_8</v>
      </c>
      <c r="D548" s="14" t="s">
        <v>7412</v>
      </c>
      <c r="E548" s="14" t="s">
        <v>7385</v>
      </c>
      <c r="F548" s="21" t="s">
        <v>7405</v>
      </c>
      <c r="G548" s="22" t="s">
        <v>7387</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7356</v>
      </c>
      <c r="AF548" s="1" t="str">
        <f>VLOOKUP(AE548,t_objeto!B:C,2,FALSE)</f>
        <v>RAW_MATERIAL</v>
      </c>
      <c r="AG548" s="1">
        <v>8</v>
      </c>
      <c r="AH548" s="1" t="str">
        <f>VLOOKUP(AG548,t_entry_status!A:AE,2,FALSE)</f>
        <v>PENDING</v>
      </c>
      <c r="AI548" s="7">
        <v>45560</v>
      </c>
      <c r="AJ548" s="1" t="s">
        <v>7455</v>
      </c>
      <c r="AK548" s="7">
        <v>45560</v>
      </c>
      <c r="AL548" s="1" t="s">
        <v>7455</v>
      </c>
    </row>
    <row r="549" spans="1:38" s="20" customFormat="1" x14ac:dyDescent="0.3">
      <c r="A549" s="14">
        <v>548</v>
      </c>
      <c r="B549" s="14" t="str">
        <f>_xlfn.CONCAT(AE549,"-",VLOOKUP(AE549,t_objeto!B:D,3,FALSE),"-",A549)</f>
        <v>RMAT-PERCCO-548</v>
      </c>
      <c r="C549" s="22" t="str">
        <f t="shared" si="89"/>
        <v>LAMINA_LISA__ACERO_ROLADA EN FRIO_4'X10'_9</v>
      </c>
      <c r="D549" s="14" t="s">
        <v>7412</v>
      </c>
      <c r="E549" s="14" t="s">
        <v>7385</v>
      </c>
      <c r="F549" s="21" t="s">
        <v>7405</v>
      </c>
      <c r="G549" s="22" t="s">
        <v>7387</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7356</v>
      </c>
      <c r="AF549" s="1" t="str">
        <f>VLOOKUP(AE549,t_objeto!B:C,2,FALSE)</f>
        <v>RAW_MATERIAL</v>
      </c>
      <c r="AG549" s="1">
        <v>8</v>
      </c>
      <c r="AH549" s="1" t="str">
        <f>VLOOKUP(AG549,t_entry_status!A:AE,2,FALSE)</f>
        <v>PENDING</v>
      </c>
      <c r="AI549" s="7">
        <v>45560</v>
      </c>
      <c r="AJ549" s="1" t="s">
        <v>7455</v>
      </c>
      <c r="AK549" s="7">
        <v>45560</v>
      </c>
      <c r="AL549" s="1" t="s">
        <v>7455</v>
      </c>
    </row>
    <row r="550" spans="1:38" s="20" customFormat="1" x14ac:dyDescent="0.3">
      <c r="A550" s="14">
        <v>549</v>
      </c>
      <c r="B550" s="14" t="str">
        <f>_xlfn.CONCAT(AE550,"-",VLOOKUP(AE550,t_objeto!B:D,3,FALSE),"-",A550)</f>
        <v>RMAT-PERCCO-549</v>
      </c>
      <c r="C550" s="22" t="str">
        <f t="shared" si="89"/>
        <v>LAMINA_LISA__ACERO_ROLADA EN FRIO_4'X10'_10</v>
      </c>
      <c r="D550" s="14" t="s">
        <v>7412</v>
      </c>
      <c r="E550" s="14" t="s">
        <v>7385</v>
      </c>
      <c r="F550" s="21" t="s">
        <v>7405</v>
      </c>
      <c r="G550" s="22" t="s">
        <v>7387</v>
      </c>
      <c r="H550" s="14">
        <v>10</v>
      </c>
      <c r="I550" s="16">
        <v>3.42</v>
      </c>
      <c r="J550" s="16">
        <f t="shared" si="91"/>
        <v>0.13464566929133859</v>
      </c>
      <c r="K550" s="16">
        <v>26.847000000000001</v>
      </c>
      <c r="L550" s="23">
        <v>2</v>
      </c>
      <c r="M550" s="23">
        <v>1</v>
      </c>
      <c r="N550" s="23">
        <v>10</v>
      </c>
      <c r="O550" s="23"/>
      <c r="P550" s="23"/>
      <c r="Q550" s="19" t="s">
        <v>7407</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7356</v>
      </c>
      <c r="AF550" s="1" t="str">
        <f>VLOOKUP(AE550,t_objeto!B:C,2,FALSE)</f>
        <v>RAW_MATERIAL</v>
      </c>
      <c r="AG550" s="1">
        <v>8</v>
      </c>
      <c r="AH550" s="1" t="str">
        <f>VLOOKUP(AG550,t_entry_status!A:AE,2,FALSE)</f>
        <v>PENDING</v>
      </c>
      <c r="AI550" s="7">
        <v>45560</v>
      </c>
      <c r="AJ550" s="1" t="s">
        <v>7455</v>
      </c>
      <c r="AK550" s="7">
        <v>45560</v>
      </c>
      <c r="AL550" s="1" t="s">
        <v>7455</v>
      </c>
    </row>
    <row r="551" spans="1:38" s="20" customFormat="1" x14ac:dyDescent="0.3">
      <c r="A551" s="14">
        <v>550</v>
      </c>
      <c r="B551" s="14" t="str">
        <f>_xlfn.CONCAT(AE551,"-",VLOOKUP(AE551,t_objeto!B:D,3,FALSE),"-",A551)</f>
        <v>RMAT-PERCCO-550</v>
      </c>
      <c r="C551" s="22" t="str">
        <f t="shared" si="89"/>
        <v>LAMINA_LISA__ACERO_ROLADA EN FRIO_4'X10'_1/8"</v>
      </c>
      <c r="D551" s="14" t="s">
        <v>7412</v>
      </c>
      <c r="E551" s="14" t="s">
        <v>7385</v>
      </c>
      <c r="F551" s="21" t="s">
        <v>7405</v>
      </c>
      <c r="G551" s="22" t="s">
        <v>7387</v>
      </c>
      <c r="H551" s="14" t="s">
        <v>7404</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7356</v>
      </c>
      <c r="AF551" s="1" t="str">
        <f>VLOOKUP(AE551,t_objeto!B:C,2,FALSE)</f>
        <v>RAW_MATERIAL</v>
      </c>
      <c r="AG551" s="1">
        <v>8</v>
      </c>
      <c r="AH551" s="1" t="str">
        <f>VLOOKUP(AG551,t_entry_status!A:AE,2,FALSE)</f>
        <v>PENDING</v>
      </c>
      <c r="AI551" s="7">
        <v>45560</v>
      </c>
      <c r="AJ551" s="1" t="s">
        <v>7455</v>
      </c>
      <c r="AK551" s="7">
        <v>45560</v>
      </c>
      <c r="AL551" s="1" t="s">
        <v>7455</v>
      </c>
    </row>
    <row r="552" spans="1:38" s="20" customFormat="1" x14ac:dyDescent="0.3">
      <c r="A552" s="14">
        <v>551</v>
      </c>
      <c r="B552" s="14" t="str">
        <f>_xlfn.CONCAT(AE552,"-",VLOOKUP(AE552,t_objeto!B:D,3,FALSE),"-",A552)</f>
        <v>RMAT-PERCCO-551</v>
      </c>
      <c r="C552" s="22" t="str">
        <f t="shared" si="89"/>
        <v>LAMINA_LISA__ACERO_ROLADA EN FRIO_4'X10'_11</v>
      </c>
      <c r="D552" s="14" t="s">
        <v>7412</v>
      </c>
      <c r="E552" s="14" t="s">
        <v>7385</v>
      </c>
      <c r="F552" s="21" t="s">
        <v>7405</v>
      </c>
      <c r="G552" s="22" t="s">
        <v>7387</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7356</v>
      </c>
      <c r="AF552" s="1" t="str">
        <f>VLOOKUP(AE552,t_objeto!B:C,2,FALSE)</f>
        <v>RAW_MATERIAL</v>
      </c>
      <c r="AG552" s="1">
        <v>8</v>
      </c>
      <c r="AH552" s="1" t="str">
        <f>VLOOKUP(AG552,t_entry_status!A:AE,2,FALSE)</f>
        <v>PENDING</v>
      </c>
      <c r="AI552" s="7">
        <v>45560</v>
      </c>
      <c r="AJ552" s="1" t="s">
        <v>7455</v>
      </c>
      <c r="AK552" s="7">
        <v>45560</v>
      </c>
      <c r="AL552" s="1" t="s">
        <v>7455</v>
      </c>
    </row>
    <row r="553" spans="1:38" s="20" customFormat="1" x14ac:dyDescent="0.3">
      <c r="A553" s="14">
        <v>552</v>
      </c>
      <c r="B553" s="14" t="str">
        <f>_xlfn.CONCAT(AE553,"-",VLOOKUP(AE553,t_objeto!B:D,3,FALSE),"-",A553)</f>
        <v>RMAT-PERCCO-552</v>
      </c>
      <c r="C553" s="22" t="str">
        <f t="shared" si="89"/>
        <v>LAMINA_LISA__ACERO_ROLADA EN FRIO_4'X10'_12</v>
      </c>
      <c r="D553" s="14" t="s">
        <v>7412</v>
      </c>
      <c r="E553" s="14" t="s">
        <v>7385</v>
      </c>
      <c r="F553" s="21" t="s">
        <v>7405</v>
      </c>
      <c r="G553" s="22" t="s">
        <v>7387</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7356</v>
      </c>
      <c r="AF553" s="1" t="str">
        <f>VLOOKUP(AE553,t_objeto!B:C,2,FALSE)</f>
        <v>RAW_MATERIAL</v>
      </c>
      <c r="AG553" s="1">
        <v>8</v>
      </c>
      <c r="AH553" s="1" t="str">
        <f>VLOOKUP(AG553,t_entry_status!A:AE,2,FALSE)</f>
        <v>PENDING</v>
      </c>
      <c r="AI553" s="7">
        <v>45560</v>
      </c>
      <c r="AJ553" s="1" t="s">
        <v>7455</v>
      </c>
      <c r="AK553" s="7">
        <v>45560</v>
      </c>
      <c r="AL553" s="1" t="s">
        <v>7455</v>
      </c>
    </row>
    <row r="554" spans="1:38" s="20" customFormat="1" x14ac:dyDescent="0.3">
      <c r="A554" s="14">
        <v>553</v>
      </c>
      <c r="B554" s="14" t="str">
        <f>_xlfn.CONCAT(AE554,"-",VLOOKUP(AE554,t_objeto!B:D,3,FALSE),"-",A554)</f>
        <v>RMAT-PERCCO-553</v>
      </c>
      <c r="C554" s="22" t="str">
        <f t="shared" si="89"/>
        <v>LAMINA_LISA__ACERO_ROLADA EN FRIO_4'X10'_13</v>
      </c>
      <c r="D554" s="14" t="s">
        <v>7412</v>
      </c>
      <c r="E554" s="14" t="s">
        <v>7385</v>
      </c>
      <c r="F554" s="21" t="s">
        <v>7405</v>
      </c>
      <c r="G554" s="22" t="s">
        <v>7387</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7356</v>
      </c>
      <c r="AF554" s="1" t="str">
        <f>VLOOKUP(AE554,t_objeto!B:C,2,FALSE)</f>
        <v>RAW_MATERIAL</v>
      </c>
      <c r="AG554" s="1">
        <v>8</v>
      </c>
      <c r="AH554" s="1" t="str">
        <f>VLOOKUP(AG554,t_entry_status!A:AE,2,FALSE)</f>
        <v>PENDING</v>
      </c>
      <c r="AI554" s="7">
        <v>45560</v>
      </c>
      <c r="AJ554" s="1" t="s">
        <v>7455</v>
      </c>
      <c r="AK554" s="7">
        <v>45560</v>
      </c>
      <c r="AL554" s="1" t="s">
        <v>7455</v>
      </c>
    </row>
    <row r="555" spans="1:38" s="20" customFormat="1" x14ac:dyDescent="0.3">
      <c r="A555" s="14">
        <v>554</v>
      </c>
      <c r="B555" s="14" t="str">
        <f>_xlfn.CONCAT(AE555,"-",VLOOKUP(AE555,t_objeto!B:D,3,FALSE),"-",A555)</f>
        <v>RMAT-PERCCO-554</v>
      </c>
      <c r="C555" s="22" t="str">
        <f t="shared" si="89"/>
        <v>LAMINA_LISA__ACERO_ROLADA EN FRIO_4'X10'_14</v>
      </c>
      <c r="D555" s="14" t="s">
        <v>7412</v>
      </c>
      <c r="E555" s="14" t="s">
        <v>7385</v>
      </c>
      <c r="F555" s="21" t="s">
        <v>7405</v>
      </c>
      <c r="G555" s="22" t="s">
        <v>7387</v>
      </c>
      <c r="H555" s="14">
        <v>14</v>
      </c>
      <c r="I555" s="16">
        <v>1.9</v>
      </c>
      <c r="J555" s="16">
        <f t="shared" si="91"/>
        <v>7.4803149606299218E-2</v>
      </c>
      <c r="K555" s="16">
        <v>14.914999999999999</v>
      </c>
      <c r="L555" s="23">
        <v>5</v>
      </c>
      <c r="M555" s="23">
        <v>1</v>
      </c>
      <c r="N555" s="23">
        <v>10</v>
      </c>
      <c r="O555" s="23"/>
      <c r="P555" s="23"/>
      <c r="Q555" s="19" t="s">
        <v>7407</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7356</v>
      </c>
      <c r="AF555" s="1" t="str">
        <f>VLOOKUP(AE555,t_objeto!B:C,2,FALSE)</f>
        <v>RAW_MATERIAL</v>
      </c>
      <c r="AG555" s="1">
        <v>8</v>
      </c>
      <c r="AH555" s="1" t="str">
        <f>VLOOKUP(AG555,t_entry_status!A:AE,2,FALSE)</f>
        <v>PENDING</v>
      </c>
      <c r="AI555" s="7">
        <v>45560</v>
      </c>
      <c r="AJ555" s="1" t="s">
        <v>7455</v>
      </c>
      <c r="AK555" s="7">
        <v>45560</v>
      </c>
      <c r="AL555" s="1" t="s">
        <v>7455</v>
      </c>
    </row>
    <row r="556" spans="1:38" s="20" customFormat="1" x14ac:dyDescent="0.3">
      <c r="A556" s="14">
        <v>555</v>
      </c>
      <c r="B556" s="14" t="str">
        <f>_xlfn.CONCAT(AE556,"-",VLOOKUP(AE556,t_objeto!B:D,3,FALSE),"-",A556)</f>
        <v>RMAT-PERCCO-555</v>
      </c>
      <c r="C556" s="22" t="str">
        <f t="shared" si="89"/>
        <v>LAMINA_LISA__ACERO_ROLADA EN FRIO_4'X10'_15</v>
      </c>
      <c r="D556" s="14" t="s">
        <v>7412</v>
      </c>
      <c r="E556" s="14" t="s">
        <v>7385</v>
      </c>
      <c r="F556" s="21" t="s">
        <v>7405</v>
      </c>
      <c r="G556" s="22" t="s">
        <v>7387</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7356</v>
      </c>
      <c r="AF556" s="1" t="str">
        <f>VLOOKUP(AE556,t_objeto!B:C,2,FALSE)</f>
        <v>RAW_MATERIAL</v>
      </c>
      <c r="AG556" s="1">
        <v>8</v>
      </c>
      <c r="AH556" s="1" t="str">
        <f>VLOOKUP(AG556,t_entry_status!A:AE,2,FALSE)</f>
        <v>PENDING</v>
      </c>
      <c r="AI556" s="7">
        <v>45560</v>
      </c>
      <c r="AJ556" s="1" t="s">
        <v>7455</v>
      </c>
      <c r="AK556" s="7">
        <v>45560</v>
      </c>
      <c r="AL556" s="1" t="s">
        <v>7455</v>
      </c>
    </row>
    <row r="557" spans="1:38" s="20" customFormat="1" x14ac:dyDescent="0.3">
      <c r="A557" s="14">
        <v>556</v>
      </c>
      <c r="B557" s="14" t="str">
        <f>_xlfn.CONCAT(AE557,"-",VLOOKUP(AE557,t_objeto!B:D,3,FALSE),"-",A557)</f>
        <v>RMAT-PERCCO-556</v>
      </c>
      <c r="C557" s="22" t="str">
        <f t="shared" si="89"/>
        <v>LAMINA_LISA__ACERO_ROLADA EN FRIO_4'X10'_16</v>
      </c>
      <c r="D557" s="14" t="s">
        <v>7412</v>
      </c>
      <c r="E557" s="14" t="s">
        <v>7385</v>
      </c>
      <c r="F557" s="21" t="s">
        <v>7405</v>
      </c>
      <c r="G557" s="22" t="s">
        <v>7387</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7356</v>
      </c>
      <c r="AF557" s="1" t="str">
        <f>VLOOKUP(AE557,t_objeto!B:C,2,FALSE)</f>
        <v>RAW_MATERIAL</v>
      </c>
      <c r="AG557" s="1">
        <v>8</v>
      </c>
      <c r="AH557" s="1" t="str">
        <f>VLOOKUP(AG557,t_entry_status!A:AE,2,FALSE)</f>
        <v>PENDING</v>
      </c>
      <c r="AI557" s="7">
        <v>45560</v>
      </c>
      <c r="AJ557" s="1" t="s">
        <v>7455</v>
      </c>
      <c r="AK557" s="7">
        <v>45560</v>
      </c>
      <c r="AL557" s="1" t="s">
        <v>7455</v>
      </c>
    </row>
    <row r="558" spans="1:38" s="20" customFormat="1" x14ac:dyDescent="0.3">
      <c r="A558" s="14">
        <v>557</v>
      </c>
      <c r="B558" s="14" t="str">
        <f>_xlfn.CONCAT(AE558,"-",VLOOKUP(AE558,t_objeto!B:D,3,FALSE),"-",A558)</f>
        <v>RMAT-PERCCO-557</v>
      </c>
      <c r="C558" s="22" t="str">
        <f t="shared" si="89"/>
        <v>LAMINA_LISA__ACERO_ROLADA EN FRIO_4'X10'_17</v>
      </c>
      <c r="D558" s="14" t="s">
        <v>7412</v>
      </c>
      <c r="E558" s="14" t="s">
        <v>7385</v>
      </c>
      <c r="F558" s="21" t="s">
        <v>7405</v>
      </c>
      <c r="G558" s="22" t="s">
        <v>7387</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7356</v>
      </c>
      <c r="AF558" s="1" t="str">
        <f>VLOOKUP(AE558,t_objeto!B:C,2,FALSE)</f>
        <v>RAW_MATERIAL</v>
      </c>
      <c r="AG558" s="1">
        <v>8</v>
      </c>
      <c r="AH558" s="1" t="str">
        <f>VLOOKUP(AG558,t_entry_status!A:AE,2,FALSE)</f>
        <v>PENDING</v>
      </c>
      <c r="AI558" s="7">
        <v>45560</v>
      </c>
      <c r="AJ558" s="1" t="s">
        <v>7455</v>
      </c>
      <c r="AK558" s="7">
        <v>45560</v>
      </c>
      <c r="AL558" s="1" t="s">
        <v>7455</v>
      </c>
    </row>
    <row r="559" spans="1:38" s="20" customFormat="1" x14ac:dyDescent="0.3">
      <c r="A559" s="14">
        <v>558</v>
      </c>
      <c r="B559" s="14" t="str">
        <f>_xlfn.CONCAT(AE559,"-",VLOOKUP(AE559,t_objeto!B:D,3,FALSE),"-",A559)</f>
        <v>RMAT-PERCCO-558</v>
      </c>
      <c r="C559" s="22" t="str">
        <f t="shared" si="89"/>
        <v>LAMINA_LISA__ACERO_ROLADA EN FRIO_4'X10'_18</v>
      </c>
      <c r="D559" s="14" t="s">
        <v>7412</v>
      </c>
      <c r="E559" s="14" t="s">
        <v>7385</v>
      </c>
      <c r="F559" s="21" t="s">
        <v>7405</v>
      </c>
      <c r="G559" s="22" t="s">
        <v>7387</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7356</v>
      </c>
      <c r="AF559" s="1" t="str">
        <f>VLOOKUP(AE559,t_objeto!B:C,2,FALSE)</f>
        <v>RAW_MATERIAL</v>
      </c>
      <c r="AG559" s="1">
        <v>8</v>
      </c>
      <c r="AH559" s="1" t="str">
        <f>VLOOKUP(AG559,t_entry_status!A:AE,2,FALSE)</f>
        <v>PENDING</v>
      </c>
      <c r="AI559" s="7">
        <v>45560</v>
      </c>
      <c r="AJ559" s="1" t="s">
        <v>7455</v>
      </c>
      <c r="AK559" s="7">
        <v>45560</v>
      </c>
      <c r="AL559" s="1" t="s">
        <v>7455</v>
      </c>
    </row>
    <row r="560" spans="1:38" s="20" customFormat="1" x14ac:dyDescent="0.3">
      <c r="A560" s="14">
        <v>559</v>
      </c>
      <c r="B560" s="14" t="str">
        <f>_xlfn.CONCAT(AE560,"-",VLOOKUP(AE560,t_objeto!B:D,3,FALSE),"-",A560)</f>
        <v>RMAT-PERCCO-559</v>
      </c>
      <c r="C560" s="22" t="str">
        <f t="shared" si="89"/>
        <v>LAMINA_LISA__ACERO_ROLADA EN FRIO_4'X10'_19</v>
      </c>
      <c r="D560" s="14" t="s">
        <v>7412</v>
      </c>
      <c r="E560" s="14" t="s">
        <v>7385</v>
      </c>
      <c r="F560" s="21" t="s">
        <v>7405</v>
      </c>
      <c r="G560" s="22" t="s">
        <v>7387</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7356</v>
      </c>
      <c r="AF560" s="1" t="str">
        <f>VLOOKUP(AE560,t_objeto!B:C,2,FALSE)</f>
        <v>RAW_MATERIAL</v>
      </c>
      <c r="AG560" s="1">
        <v>8</v>
      </c>
      <c r="AH560" s="1" t="str">
        <f>VLOOKUP(AG560,t_entry_status!A:AE,2,FALSE)</f>
        <v>PENDING</v>
      </c>
      <c r="AI560" s="7">
        <v>45560</v>
      </c>
      <c r="AJ560" s="1" t="s">
        <v>7455</v>
      </c>
      <c r="AK560" s="7">
        <v>45560</v>
      </c>
      <c r="AL560" s="1" t="s">
        <v>7455</v>
      </c>
    </row>
    <row r="561" spans="1:38" s="20" customFormat="1" x14ac:dyDescent="0.3">
      <c r="A561" s="14">
        <v>560</v>
      </c>
      <c r="B561" s="14" t="str">
        <f>_xlfn.CONCAT(AE561,"-",VLOOKUP(AE561,t_objeto!B:D,3,FALSE),"-",A561)</f>
        <v>RMAT-PERCCO-560</v>
      </c>
      <c r="C561" s="22" t="str">
        <f t="shared" si="89"/>
        <v>LAMINA_LISA__ACERO_ROLADA EN FRIO_4'X10'_20</v>
      </c>
      <c r="D561" s="14" t="s">
        <v>7412</v>
      </c>
      <c r="E561" s="14" t="s">
        <v>7385</v>
      </c>
      <c r="F561" s="21" t="s">
        <v>7405</v>
      </c>
      <c r="G561" s="22" t="s">
        <v>7387</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7356</v>
      </c>
      <c r="AF561" s="1" t="str">
        <f>VLOOKUP(AE561,t_objeto!B:C,2,FALSE)</f>
        <v>RAW_MATERIAL</v>
      </c>
      <c r="AG561" s="1">
        <v>8</v>
      </c>
      <c r="AH561" s="1" t="str">
        <f>VLOOKUP(AG561,t_entry_status!A:AE,2,FALSE)</f>
        <v>PENDING</v>
      </c>
      <c r="AI561" s="7">
        <v>45560</v>
      </c>
      <c r="AJ561" s="1" t="s">
        <v>7455</v>
      </c>
      <c r="AK561" s="7">
        <v>45560</v>
      </c>
      <c r="AL561" s="1" t="s">
        <v>7455</v>
      </c>
    </row>
    <row r="562" spans="1:38" s="20" customFormat="1" x14ac:dyDescent="0.3">
      <c r="A562" s="14">
        <v>561</v>
      </c>
      <c r="B562" s="14" t="str">
        <f>_xlfn.CONCAT(AE562,"-",VLOOKUP(AE562,t_objeto!B:D,3,FALSE),"-",A562)</f>
        <v>RMAT-PERCCO-561</v>
      </c>
      <c r="C562" s="22" t="str">
        <f t="shared" si="89"/>
        <v>LAMINA_LISA__ACERO_ROLADA EN FRIO_4'X10'_21</v>
      </c>
      <c r="D562" s="14" t="s">
        <v>7412</v>
      </c>
      <c r="E562" s="14" t="s">
        <v>7385</v>
      </c>
      <c r="F562" s="21" t="s">
        <v>7405</v>
      </c>
      <c r="G562" s="22" t="s">
        <v>7387</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7356</v>
      </c>
      <c r="AF562" s="1" t="str">
        <f>VLOOKUP(AE562,t_objeto!B:C,2,FALSE)</f>
        <v>RAW_MATERIAL</v>
      </c>
      <c r="AG562" s="1">
        <v>8</v>
      </c>
      <c r="AH562" s="1" t="str">
        <f>VLOOKUP(AG562,t_entry_status!A:AE,2,FALSE)</f>
        <v>PENDING</v>
      </c>
      <c r="AI562" s="7">
        <v>45560</v>
      </c>
      <c r="AJ562" s="1" t="s">
        <v>7455</v>
      </c>
      <c r="AK562" s="7">
        <v>45560</v>
      </c>
      <c r="AL562" s="1" t="s">
        <v>7455</v>
      </c>
    </row>
    <row r="563" spans="1:38" s="20" customFormat="1" x14ac:dyDescent="0.3">
      <c r="A563" s="14">
        <v>562</v>
      </c>
      <c r="B563" s="14" t="str">
        <f>_xlfn.CONCAT(AE563,"-",VLOOKUP(AE563,t_objeto!B:D,3,FALSE),"-",A563)</f>
        <v>RMAT-PERCCO-562</v>
      </c>
      <c r="C563" s="22" t="str">
        <f t="shared" si="89"/>
        <v>LAMINA_LISA__ACERO_ROLADA EN FRIO_4'X10'_22</v>
      </c>
      <c r="D563" s="14" t="s">
        <v>7412</v>
      </c>
      <c r="E563" s="14" t="s">
        <v>7385</v>
      </c>
      <c r="F563" s="21" t="s">
        <v>7405</v>
      </c>
      <c r="G563" s="22" t="s">
        <v>7387</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7356</v>
      </c>
      <c r="AF563" s="1" t="str">
        <f>VLOOKUP(AE563,t_objeto!B:C,2,FALSE)</f>
        <v>RAW_MATERIAL</v>
      </c>
      <c r="AG563" s="1">
        <v>8</v>
      </c>
      <c r="AH563" s="1" t="str">
        <f>VLOOKUP(AG563,t_entry_status!A:AE,2,FALSE)</f>
        <v>PENDING</v>
      </c>
      <c r="AI563" s="7">
        <v>45560</v>
      </c>
      <c r="AJ563" s="1" t="s">
        <v>7455</v>
      </c>
      <c r="AK563" s="7">
        <v>45560</v>
      </c>
      <c r="AL563" s="1" t="s">
        <v>7455</v>
      </c>
    </row>
    <row r="564" spans="1:38" s="20" customFormat="1" x14ac:dyDescent="0.3">
      <c r="A564" s="14">
        <v>563</v>
      </c>
      <c r="B564" s="14" t="str">
        <f>_xlfn.CONCAT(AE564,"-",VLOOKUP(AE564,t_objeto!B:D,3,FALSE),"-",A564)</f>
        <v>RMAT-PERCCO-563</v>
      </c>
      <c r="C564" s="22" t="str">
        <f t="shared" si="89"/>
        <v>LAMINA_LISA__ACERO_ROLADA EN FRIO_4'X10'_23</v>
      </c>
      <c r="D564" s="14" t="s">
        <v>7412</v>
      </c>
      <c r="E564" s="14" t="s">
        <v>7385</v>
      </c>
      <c r="F564" s="21" t="s">
        <v>7405</v>
      </c>
      <c r="G564" s="22" t="s">
        <v>7387</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7356</v>
      </c>
      <c r="AF564" s="1" t="str">
        <f>VLOOKUP(AE564,t_objeto!B:C,2,FALSE)</f>
        <v>RAW_MATERIAL</v>
      </c>
      <c r="AG564" s="1">
        <v>8</v>
      </c>
      <c r="AH564" s="1" t="str">
        <f>VLOOKUP(AG564,t_entry_status!A:AE,2,FALSE)</f>
        <v>PENDING</v>
      </c>
      <c r="AI564" s="7">
        <v>45560</v>
      </c>
      <c r="AJ564" s="1" t="s">
        <v>7455</v>
      </c>
      <c r="AK564" s="7">
        <v>45560</v>
      </c>
      <c r="AL564" s="1" t="s">
        <v>7455</v>
      </c>
    </row>
    <row r="565" spans="1:38" s="20" customFormat="1" x14ac:dyDescent="0.3">
      <c r="A565" s="14">
        <v>564</v>
      </c>
      <c r="B565" s="14" t="str">
        <f>_xlfn.CONCAT(AE565,"-",VLOOKUP(AE565,t_objeto!B:D,3,FALSE),"-",A565)</f>
        <v>RMAT-PERCCO-564</v>
      </c>
      <c r="C565" s="22" t="str">
        <f t="shared" si="89"/>
        <v>LAMINA_LISA__ACERO_ROLADA EN FRIO_4'X10'_24</v>
      </c>
      <c r="D565" s="14" t="s">
        <v>7412</v>
      </c>
      <c r="E565" s="14" t="s">
        <v>7385</v>
      </c>
      <c r="F565" s="21" t="s">
        <v>7405</v>
      </c>
      <c r="G565" s="22" t="s">
        <v>7387</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7356</v>
      </c>
      <c r="AF565" s="1" t="str">
        <f>VLOOKUP(AE565,t_objeto!B:C,2,FALSE)</f>
        <v>RAW_MATERIAL</v>
      </c>
      <c r="AG565" s="1">
        <v>8</v>
      </c>
      <c r="AH565" s="1" t="str">
        <f>VLOOKUP(AG565,t_entry_status!A:AE,2,FALSE)</f>
        <v>PENDING</v>
      </c>
      <c r="AI565" s="7">
        <v>45560</v>
      </c>
      <c r="AJ565" s="1" t="s">
        <v>7455</v>
      </c>
      <c r="AK565" s="7">
        <v>45560</v>
      </c>
      <c r="AL565" s="1" t="s">
        <v>7455</v>
      </c>
    </row>
    <row r="566" spans="1:38" s="20" customFormat="1" x14ac:dyDescent="0.3">
      <c r="A566" s="14">
        <v>565</v>
      </c>
      <c r="B566" s="14" t="str">
        <f>_xlfn.CONCAT(AE566,"-",VLOOKUP(AE566,t_objeto!B:D,3,FALSE),"-",A566)</f>
        <v>RMAT-PERCCO-565</v>
      </c>
      <c r="C566" s="22" t="str">
        <f t="shared" si="89"/>
        <v>LAMINA_LISA__ACERO_ROLADA EN FRIO_4'X10'_25</v>
      </c>
      <c r="D566" s="14" t="s">
        <v>7412</v>
      </c>
      <c r="E566" s="14" t="s">
        <v>7385</v>
      </c>
      <c r="F566" s="21" t="s">
        <v>7405</v>
      </c>
      <c r="G566" s="22" t="s">
        <v>7387</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7356</v>
      </c>
      <c r="AF566" s="1" t="str">
        <f>VLOOKUP(AE566,t_objeto!B:C,2,FALSE)</f>
        <v>RAW_MATERIAL</v>
      </c>
      <c r="AG566" s="1">
        <v>8</v>
      </c>
      <c r="AH566" s="1" t="str">
        <f>VLOOKUP(AG566,t_entry_status!A:AE,2,FALSE)</f>
        <v>PENDING</v>
      </c>
      <c r="AI566" s="7">
        <v>45560</v>
      </c>
      <c r="AJ566" s="1" t="s">
        <v>7455</v>
      </c>
      <c r="AK566" s="7">
        <v>45560</v>
      </c>
      <c r="AL566" s="1" t="s">
        <v>7455</v>
      </c>
    </row>
    <row r="567" spans="1:38" s="20" customFormat="1" x14ac:dyDescent="0.3">
      <c r="A567" s="14">
        <v>566</v>
      </c>
      <c r="B567" s="14" t="str">
        <f>_xlfn.CONCAT(AE567,"-",VLOOKUP(AE567,t_objeto!B:D,3,FALSE),"-",A567)</f>
        <v>RMAT-PERCCO-566</v>
      </c>
      <c r="C567" s="22" t="str">
        <f t="shared" si="89"/>
        <v>LAMINA_LISA__ACERO_ROLADA EN FRIO_4'X10'_26</v>
      </c>
      <c r="D567" s="14" t="s">
        <v>7412</v>
      </c>
      <c r="E567" s="14" t="s">
        <v>7385</v>
      </c>
      <c r="F567" s="21" t="s">
        <v>7405</v>
      </c>
      <c r="G567" s="22" t="s">
        <v>7387</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7356</v>
      </c>
      <c r="AF567" s="1" t="str">
        <f>VLOOKUP(AE567,t_objeto!B:C,2,FALSE)</f>
        <v>RAW_MATERIAL</v>
      </c>
      <c r="AG567" s="1">
        <v>8</v>
      </c>
      <c r="AH567" s="1" t="str">
        <f>VLOOKUP(AG567,t_entry_status!A:AE,2,FALSE)</f>
        <v>PENDING</v>
      </c>
      <c r="AI567" s="7">
        <v>45560</v>
      </c>
      <c r="AJ567" s="1" t="s">
        <v>7455</v>
      </c>
      <c r="AK567" s="7">
        <v>45560</v>
      </c>
      <c r="AL567" s="1" t="s">
        <v>7455</v>
      </c>
    </row>
    <row r="568" spans="1:38" s="20" customFormat="1" x14ac:dyDescent="0.3">
      <c r="A568" s="14">
        <v>567</v>
      </c>
      <c r="B568" s="14" t="str">
        <f>_xlfn.CONCAT(AE568,"-",VLOOKUP(AE568,t_objeto!B:D,3,FALSE),"-",A568)</f>
        <v>RMAT-PERCCO-567</v>
      </c>
      <c r="C568" s="22" t="str">
        <f t="shared" si="89"/>
        <v>LAMINA_LISA__ACERO_ROLADA EN FRIO_4'X10'_27</v>
      </c>
      <c r="D568" s="14" t="s">
        <v>7412</v>
      </c>
      <c r="E568" s="14" t="s">
        <v>7385</v>
      </c>
      <c r="F568" s="21" t="s">
        <v>7405</v>
      </c>
      <c r="G568" s="22" t="s">
        <v>7387</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7356</v>
      </c>
      <c r="AF568" s="1" t="str">
        <f>VLOOKUP(AE568,t_objeto!B:C,2,FALSE)</f>
        <v>RAW_MATERIAL</v>
      </c>
      <c r="AG568" s="1">
        <v>8</v>
      </c>
      <c r="AH568" s="1" t="str">
        <f>VLOOKUP(AG568,t_entry_status!A:AE,2,FALSE)</f>
        <v>PENDING</v>
      </c>
      <c r="AI568" s="7">
        <v>45560</v>
      </c>
      <c r="AJ568" s="1" t="s">
        <v>7455</v>
      </c>
      <c r="AK568" s="7">
        <v>45560</v>
      </c>
      <c r="AL568" s="1" t="s">
        <v>7455</v>
      </c>
    </row>
    <row r="569" spans="1:38" s="20" customFormat="1" x14ac:dyDescent="0.3">
      <c r="A569" s="14">
        <v>568</v>
      </c>
      <c r="B569" s="14" t="str">
        <f>_xlfn.CONCAT(AE569,"-",VLOOKUP(AE569,t_objeto!B:D,3,FALSE),"-",A569)</f>
        <v>RMAT-PERCCO-568</v>
      </c>
      <c r="C569" s="22" t="str">
        <f t="shared" si="89"/>
        <v>LAMINA_LISA__ACERO_ROLADA EN FRIO_4'X10'_28</v>
      </c>
      <c r="D569" s="14" t="s">
        <v>7412</v>
      </c>
      <c r="E569" s="14" t="s">
        <v>7385</v>
      </c>
      <c r="F569" s="21" t="s">
        <v>7405</v>
      </c>
      <c r="G569" s="22" t="s">
        <v>7387</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7356</v>
      </c>
      <c r="AF569" s="1" t="str">
        <f>VLOOKUP(AE569,t_objeto!B:C,2,FALSE)</f>
        <v>RAW_MATERIAL</v>
      </c>
      <c r="AG569" s="1">
        <v>8</v>
      </c>
      <c r="AH569" s="1" t="str">
        <f>VLOOKUP(AG569,t_entry_status!A:AE,2,FALSE)</f>
        <v>PENDING</v>
      </c>
      <c r="AI569" s="7">
        <v>45560</v>
      </c>
      <c r="AJ569" s="1" t="s">
        <v>7455</v>
      </c>
      <c r="AK569" s="7">
        <v>45560</v>
      </c>
      <c r="AL569" s="1" t="s">
        <v>7455</v>
      </c>
    </row>
    <row r="570" spans="1:38" s="20" customFormat="1" x14ac:dyDescent="0.3">
      <c r="A570" s="14">
        <v>569</v>
      </c>
      <c r="B570" s="14" t="str">
        <f>_xlfn.CONCAT(AE570,"-",VLOOKUP(AE570,t_objeto!B:D,3,FALSE),"-",A570)</f>
        <v>RMAT-PERCCO-569</v>
      </c>
      <c r="C570" s="22" t="str">
        <f t="shared" si="89"/>
        <v>LAMINA_LISA__ACERO_ROLADA EN FRIO_4'X10'_29</v>
      </c>
      <c r="D570" s="14" t="s">
        <v>7412</v>
      </c>
      <c r="E570" s="14" t="s">
        <v>7385</v>
      </c>
      <c r="F570" s="21" t="s">
        <v>7405</v>
      </c>
      <c r="G570" s="22" t="s">
        <v>7387</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7356</v>
      </c>
      <c r="AF570" s="1" t="str">
        <f>VLOOKUP(AE570,t_objeto!B:C,2,FALSE)</f>
        <v>RAW_MATERIAL</v>
      </c>
      <c r="AG570" s="1">
        <v>8</v>
      </c>
      <c r="AH570" s="1" t="str">
        <f>VLOOKUP(AG570,t_entry_status!A:AE,2,FALSE)</f>
        <v>PENDING</v>
      </c>
      <c r="AI570" s="7">
        <v>45560</v>
      </c>
      <c r="AJ570" s="1" t="s">
        <v>7455</v>
      </c>
      <c r="AK570" s="7">
        <v>45560</v>
      </c>
      <c r="AL570" s="1" t="s">
        <v>7455</v>
      </c>
    </row>
    <row r="571" spans="1:38" s="20" customFormat="1" x14ac:dyDescent="0.3">
      <c r="A571" s="14">
        <v>570</v>
      </c>
      <c r="B571" s="14" t="str">
        <f>_xlfn.CONCAT(AE571,"-",VLOOKUP(AE571,t_objeto!B:D,3,FALSE),"-",A571)</f>
        <v>RMAT-PERCCO-570</v>
      </c>
      <c r="C571" s="22" t="str">
        <f t="shared" si="89"/>
        <v>LAMINA_LISA__ACERO_ROLADA EN FRIO_4'X10'_30</v>
      </c>
      <c r="D571" s="14" t="s">
        <v>7412</v>
      </c>
      <c r="E571" s="14" t="s">
        <v>7385</v>
      </c>
      <c r="F571" s="21" t="s">
        <v>7405</v>
      </c>
      <c r="G571" s="22" t="s">
        <v>7387</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7356</v>
      </c>
      <c r="AF571" s="1" t="str">
        <f>VLOOKUP(AE571,t_objeto!B:C,2,FALSE)</f>
        <v>RAW_MATERIAL</v>
      </c>
      <c r="AG571" s="1">
        <v>8</v>
      </c>
      <c r="AH571" s="1" t="str">
        <f>VLOOKUP(AG571,t_entry_status!A:AE,2,FALSE)</f>
        <v>PENDING</v>
      </c>
      <c r="AI571" s="7">
        <v>45560</v>
      </c>
      <c r="AJ571" s="1" t="s">
        <v>7455</v>
      </c>
      <c r="AK571" s="7">
        <v>45560</v>
      </c>
      <c r="AL571" s="1" t="s">
        <v>7455</v>
      </c>
    </row>
    <row r="572" spans="1:38" s="20" customFormat="1" x14ac:dyDescent="0.3">
      <c r="A572" s="14">
        <v>571</v>
      </c>
      <c r="B572" s="14" t="str">
        <f>_xlfn.CONCAT(AE572,"-",VLOOKUP(AE572,t_objeto!B:D,3,FALSE),"-",A572)</f>
        <v>RMAT-PERCCO-571</v>
      </c>
      <c r="C572" s="22" t="str">
        <f t="shared" si="89"/>
        <v>LAMINA_LISA__INOX_304/316 L_4'X10'_10</v>
      </c>
      <c r="D572" s="14" t="s">
        <v>7412</v>
      </c>
      <c r="E572" s="14" t="s">
        <v>7408</v>
      </c>
      <c r="F572" s="21" t="s">
        <v>7409</v>
      </c>
      <c r="G572" s="22" t="s">
        <v>7387</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7356</v>
      </c>
      <c r="AF572" s="1" t="str">
        <f>VLOOKUP(AE572,t_objeto!B:C,2,FALSE)</f>
        <v>RAW_MATERIAL</v>
      </c>
      <c r="AG572" s="1">
        <v>8</v>
      </c>
      <c r="AH572" s="1" t="str">
        <f>VLOOKUP(AG572,t_entry_status!A:AE,2,FALSE)</f>
        <v>PENDING</v>
      </c>
      <c r="AI572" s="7">
        <v>45560</v>
      </c>
      <c r="AJ572" s="1" t="s">
        <v>7455</v>
      </c>
      <c r="AK572" s="7">
        <v>45560</v>
      </c>
      <c r="AL572" s="1" t="s">
        <v>7455</v>
      </c>
    </row>
    <row r="573" spans="1:38" s="20" customFormat="1" x14ac:dyDescent="0.3">
      <c r="A573" s="14">
        <v>572</v>
      </c>
      <c r="B573" s="14" t="str">
        <f>_xlfn.CONCAT(AE573,"-",VLOOKUP(AE573,t_objeto!B:D,3,FALSE),"-",A573)</f>
        <v>RMAT-PERCCO-572</v>
      </c>
      <c r="C573" s="22" t="str">
        <f t="shared" si="89"/>
        <v>LAMINA_LISA__INOX_304/316 L_4'X10'_11</v>
      </c>
      <c r="D573" s="14" t="s">
        <v>7412</v>
      </c>
      <c r="E573" s="14" t="s">
        <v>7408</v>
      </c>
      <c r="F573" s="21" t="s">
        <v>7409</v>
      </c>
      <c r="G573" s="22" t="s">
        <v>7387</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7356</v>
      </c>
      <c r="AF573" s="1" t="str">
        <f>VLOOKUP(AE573,t_objeto!B:C,2,FALSE)</f>
        <v>RAW_MATERIAL</v>
      </c>
      <c r="AG573" s="1">
        <v>8</v>
      </c>
      <c r="AH573" s="1" t="str">
        <f>VLOOKUP(AG573,t_entry_status!A:AE,2,FALSE)</f>
        <v>PENDING</v>
      </c>
      <c r="AI573" s="7">
        <v>45560</v>
      </c>
      <c r="AJ573" s="1" t="s">
        <v>7455</v>
      </c>
      <c r="AK573" s="7">
        <v>45560</v>
      </c>
      <c r="AL573" s="1" t="s">
        <v>7455</v>
      </c>
    </row>
    <row r="574" spans="1:38" s="20" customFormat="1" x14ac:dyDescent="0.3">
      <c r="A574" s="14">
        <v>573</v>
      </c>
      <c r="B574" s="14" t="str">
        <f>_xlfn.CONCAT(AE574,"-",VLOOKUP(AE574,t_objeto!B:D,3,FALSE),"-",A574)</f>
        <v>RMAT-PERCCO-573</v>
      </c>
      <c r="C574" s="22" t="str">
        <f t="shared" si="89"/>
        <v>LAMINA_LISA__INOX_304/316 L_4'X10'_12</v>
      </c>
      <c r="D574" s="14" t="s">
        <v>7412</v>
      </c>
      <c r="E574" s="14" t="s">
        <v>7408</v>
      </c>
      <c r="F574" s="21" t="s">
        <v>7409</v>
      </c>
      <c r="G574" s="22" t="s">
        <v>7387</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7356</v>
      </c>
      <c r="AF574" s="1" t="str">
        <f>VLOOKUP(AE574,t_objeto!B:C,2,FALSE)</f>
        <v>RAW_MATERIAL</v>
      </c>
      <c r="AG574" s="1">
        <v>8</v>
      </c>
      <c r="AH574" s="1" t="str">
        <f>VLOOKUP(AG574,t_entry_status!A:AE,2,FALSE)</f>
        <v>PENDING</v>
      </c>
      <c r="AI574" s="7">
        <v>45560</v>
      </c>
      <c r="AJ574" s="1" t="s">
        <v>7455</v>
      </c>
      <c r="AK574" s="7">
        <v>45560</v>
      </c>
      <c r="AL574" s="1" t="s">
        <v>7455</v>
      </c>
    </row>
    <row r="575" spans="1:38" s="20" customFormat="1" x14ac:dyDescent="0.3">
      <c r="A575" s="14">
        <v>574</v>
      </c>
      <c r="B575" s="14" t="str">
        <f>_xlfn.CONCAT(AE575,"-",VLOOKUP(AE575,t_objeto!B:D,3,FALSE),"-",A575)</f>
        <v>RMAT-PERCCO-574</v>
      </c>
      <c r="C575" s="22" t="str">
        <f t="shared" si="89"/>
        <v>LAMINA_LISA__INOX_304/316 L_4'X10'_13</v>
      </c>
      <c r="D575" s="14" t="s">
        <v>7412</v>
      </c>
      <c r="E575" s="14" t="s">
        <v>7408</v>
      </c>
      <c r="F575" s="21" t="s">
        <v>7409</v>
      </c>
      <c r="G575" s="22" t="s">
        <v>7387</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7356</v>
      </c>
      <c r="AF575" s="1" t="str">
        <f>VLOOKUP(AE575,t_objeto!B:C,2,FALSE)</f>
        <v>RAW_MATERIAL</v>
      </c>
      <c r="AG575" s="1">
        <v>8</v>
      </c>
      <c r="AH575" s="1" t="str">
        <f>VLOOKUP(AG575,t_entry_status!A:AE,2,FALSE)</f>
        <v>PENDING</v>
      </c>
      <c r="AI575" s="7">
        <v>45560</v>
      </c>
      <c r="AJ575" s="1" t="s">
        <v>7455</v>
      </c>
      <c r="AK575" s="7">
        <v>45560</v>
      </c>
      <c r="AL575" s="1" t="s">
        <v>7455</v>
      </c>
    </row>
    <row r="576" spans="1:38" s="20" customFormat="1" x14ac:dyDescent="0.3">
      <c r="A576" s="14">
        <v>575</v>
      </c>
      <c r="B576" s="14" t="str">
        <f>_xlfn.CONCAT(AE576,"-",VLOOKUP(AE576,t_objeto!B:D,3,FALSE),"-",A576)</f>
        <v>RMAT-PERCCO-575</v>
      </c>
      <c r="C576" s="22" t="str">
        <f t="shared" si="89"/>
        <v>LAMINA_LISA__INOX_304/316 L_4'X10'_14</v>
      </c>
      <c r="D576" s="14" t="s">
        <v>7412</v>
      </c>
      <c r="E576" s="14" t="s">
        <v>7408</v>
      </c>
      <c r="F576" s="21" t="s">
        <v>7409</v>
      </c>
      <c r="G576" s="22" t="s">
        <v>7387</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7356</v>
      </c>
      <c r="AF576" s="1" t="str">
        <f>VLOOKUP(AE576,t_objeto!B:C,2,FALSE)</f>
        <v>RAW_MATERIAL</v>
      </c>
      <c r="AG576" s="1">
        <v>8</v>
      </c>
      <c r="AH576" s="1" t="str">
        <f>VLOOKUP(AG576,t_entry_status!A:AE,2,FALSE)</f>
        <v>PENDING</v>
      </c>
      <c r="AI576" s="7">
        <v>45560</v>
      </c>
      <c r="AJ576" s="1" t="s">
        <v>7455</v>
      </c>
      <c r="AK576" s="7">
        <v>45560</v>
      </c>
      <c r="AL576" s="1" t="s">
        <v>7455</v>
      </c>
    </row>
    <row r="577" spans="1:38" s="20" customFormat="1" x14ac:dyDescent="0.3">
      <c r="A577" s="14">
        <v>576</v>
      </c>
      <c r="B577" s="14" t="str">
        <f>_xlfn.CONCAT(AE577,"-",VLOOKUP(AE577,t_objeto!B:D,3,FALSE),"-",A577)</f>
        <v>RMAT-PERCCO-576</v>
      </c>
      <c r="C577" s="22" t="str">
        <f t="shared" si="89"/>
        <v>LAMINA_LISA__INOX_304/316 L_4'X10'_15</v>
      </c>
      <c r="D577" s="14" t="s">
        <v>7412</v>
      </c>
      <c r="E577" s="14" t="s">
        <v>7408</v>
      </c>
      <c r="F577" s="21" t="s">
        <v>7409</v>
      </c>
      <c r="G577" s="22" t="s">
        <v>7387</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7356</v>
      </c>
      <c r="AF577" s="1" t="str">
        <f>VLOOKUP(AE577,t_objeto!B:C,2,FALSE)</f>
        <v>RAW_MATERIAL</v>
      </c>
      <c r="AG577" s="1">
        <v>8</v>
      </c>
      <c r="AH577" s="1" t="str">
        <f>VLOOKUP(AG577,t_entry_status!A:AE,2,FALSE)</f>
        <v>PENDING</v>
      </c>
      <c r="AI577" s="7">
        <v>45560</v>
      </c>
      <c r="AJ577" s="1" t="s">
        <v>7455</v>
      </c>
      <c r="AK577" s="7">
        <v>45560</v>
      </c>
      <c r="AL577" s="1" t="s">
        <v>7455</v>
      </c>
    </row>
    <row r="578" spans="1:38" s="20" customFormat="1" x14ac:dyDescent="0.3">
      <c r="A578" s="14">
        <v>577</v>
      </c>
      <c r="B578" s="14" t="str">
        <f>_xlfn.CONCAT(AE578,"-",VLOOKUP(AE578,t_objeto!B:D,3,FALSE),"-",A578)</f>
        <v>RMAT-PERCCO-577</v>
      </c>
      <c r="C578" s="22" t="str">
        <f t="shared" si="89"/>
        <v>LAMINA_LISA__INOX_304/316 L_4'X10'_16</v>
      </c>
      <c r="D578" s="14" t="s">
        <v>7412</v>
      </c>
      <c r="E578" s="14" t="s">
        <v>7408</v>
      </c>
      <c r="F578" s="21" t="s">
        <v>7409</v>
      </c>
      <c r="G578" s="22" t="s">
        <v>7387</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7356</v>
      </c>
      <c r="AF578" s="1" t="str">
        <f>VLOOKUP(AE578,t_objeto!B:C,2,FALSE)</f>
        <v>RAW_MATERIAL</v>
      </c>
      <c r="AG578" s="1">
        <v>8</v>
      </c>
      <c r="AH578" s="1" t="str">
        <f>VLOOKUP(AG578,t_entry_status!A:AE,2,FALSE)</f>
        <v>PENDING</v>
      </c>
      <c r="AI578" s="7">
        <v>45560</v>
      </c>
      <c r="AJ578" s="1" t="s">
        <v>7455</v>
      </c>
      <c r="AK578" s="7">
        <v>45560</v>
      </c>
      <c r="AL578" s="1" t="s">
        <v>7455</v>
      </c>
    </row>
    <row r="579" spans="1:38" s="20" customFormat="1" x14ac:dyDescent="0.3">
      <c r="A579" s="14">
        <v>578</v>
      </c>
      <c r="B579" s="14" t="str">
        <f>_xlfn.CONCAT(AE579,"-",VLOOKUP(AE579,t_objeto!B:D,3,FALSE),"-",A579)</f>
        <v>RMAT-PERCCO-578</v>
      </c>
      <c r="C579" s="22" t="str">
        <f t="shared" ref="C579:C642" si="99">_xlfn.CONCAT(D579,"_","_",E579,"_",F579,"_",R579,"'","X",S579,"'","_",H579)</f>
        <v>LAMINA_LISA__INOX_304/316 L_4'X10'_17</v>
      </c>
      <c r="D579" s="14" t="s">
        <v>7412</v>
      </c>
      <c r="E579" s="14" t="s">
        <v>7408</v>
      </c>
      <c r="F579" s="21" t="s">
        <v>7409</v>
      </c>
      <c r="G579" s="22" t="s">
        <v>7387</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7356</v>
      </c>
      <c r="AF579" s="1" t="str">
        <f>VLOOKUP(AE579,t_objeto!B:C,2,FALSE)</f>
        <v>RAW_MATERIAL</v>
      </c>
      <c r="AG579" s="1">
        <v>8</v>
      </c>
      <c r="AH579" s="1" t="str">
        <f>VLOOKUP(AG579,t_entry_status!A:AE,2,FALSE)</f>
        <v>PENDING</v>
      </c>
      <c r="AI579" s="7">
        <v>45560</v>
      </c>
      <c r="AJ579" s="1" t="s">
        <v>7455</v>
      </c>
      <c r="AK579" s="7">
        <v>45560</v>
      </c>
      <c r="AL579" s="1" t="s">
        <v>7455</v>
      </c>
    </row>
    <row r="580" spans="1:38" s="20" customFormat="1" x14ac:dyDescent="0.3">
      <c r="A580" s="14">
        <v>579</v>
      </c>
      <c r="B580" s="14" t="str">
        <f>_xlfn.CONCAT(AE580,"-",VLOOKUP(AE580,t_objeto!B:D,3,FALSE),"-",A580)</f>
        <v>RMAT-PERCCO-579</v>
      </c>
      <c r="C580" s="22" t="str">
        <f t="shared" si="99"/>
        <v>LAMINA_LISA__INOX_304/316 L_4'X10'_18</v>
      </c>
      <c r="D580" s="14" t="s">
        <v>7412</v>
      </c>
      <c r="E580" s="14" t="s">
        <v>7408</v>
      </c>
      <c r="F580" s="21" t="s">
        <v>7409</v>
      </c>
      <c r="G580" s="22" t="s">
        <v>7387</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7356</v>
      </c>
      <c r="AF580" s="1" t="str">
        <f>VLOOKUP(AE580,t_objeto!B:C,2,FALSE)</f>
        <v>RAW_MATERIAL</v>
      </c>
      <c r="AG580" s="1">
        <v>8</v>
      </c>
      <c r="AH580" s="1" t="str">
        <f>VLOOKUP(AG580,t_entry_status!A:AE,2,FALSE)</f>
        <v>PENDING</v>
      </c>
      <c r="AI580" s="7">
        <v>45560</v>
      </c>
      <c r="AJ580" s="1" t="s">
        <v>7455</v>
      </c>
      <c r="AK580" s="7">
        <v>45560</v>
      </c>
      <c r="AL580" s="1" t="s">
        <v>7455</v>
      </c>
    </row>
    <row r="581" spans="1:38" s="20" customFormat="1" x14ac:dyDescent="0.3">
      <c r="A581" s="14">
        <v>580</v>
      </c>
      <c r="B581" s="14" t="str">
        <f>_xlfn.CONCAT(AE581,"-",VLOOKUP(AE581,t_objeto!B:D,3,FALSE),"-",A581)</f>
        <v>RMAT-PERCCO-580</v>
      </c>
      <c r="C581" s="22" t="str">
        <f t="shared" si="99"/>
        <v>LAMINA_LISA__INOX_304/316 L_4'X10'_19</v>
      </c>
      <c r="D581" s="14" t="s">
        <v>7412</v>
      </c>
      <c r="E581" s="14" t="s">
        <v>7408</v>
      </c>
      <c r="F581" s="21" t="s">
        <v>7409</v>
      </c>
      <c r="G581" s="22" t="s">
        <v>7387</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7356</v>
      </c>
      <c r="AF581" s="1" t="str">
        <f>VLOOKUP(AE581,t_objeto!B:C,2,FALSE)</f>
        <v>RAW_MATERIAL</v>
      </c>
      <c r="AG581" s="1">
        <v>8</v>
      </c>
      <c r="AH581" s="1" t="str">
        <f>VLOOKUP(AG581,t_entry_status!A:AE,2,FALSE)</f>
        <v>PENDING</v>
      </c>
      <c r="AI581" s="7">
        <v>45560</v>
      </c>
      <c r="AJ581" s="1" t="s">
        <v>7455</v>
      </c>
      <c r="AK581" s="7">
        <v>45560</v>
      </c>
      <c r="AL581" s="1" t="s">
        <v>7455</v>
      </c>
    </row>
    <row r="582" spans="1:38" s="20" customFormat="1" x14ac:dyDescent="0.3">
      <c r="A582" s="14">
        <v>581</v>
      </c>
      <c r="B582" s="14" t="str">
        <f>_xlfn.CONCAT(AE582,"-",VLOOKUP(AE582,t_objeto!B:D,3,FALSE),"-",A582)</f>
        <v>RMAT-PERCCO-581</v>
      </c>
      <c r="C582" s="22" t="str">
        <f t="shared" si="99"/>
        <v>LAMINA_LISA__INOX_304/316 L_4'X10'_20</v>
      </c>
      <c r="D582" s="14" t="s">
        <v>7412</v>
      </c>
      <c r="E582" s="14" t="s">
        <v>7408</v>
      </c>
      <c r="F582" s="21" t="s">
        <v>7409</v>
      </c>
      <c r="G582" s="22" t="s">
        <v>7387</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7356</v>
      </c>
      <c r="AF582" s="1" t="str">
        <f>VLOOKUP(AE582,t_objeto!B:C,2,FALSE)</f>
        <v>RAW_MATERIAL</v>
      </c>
      <c r="AG582" s="1">
        <v>8</v>
      </c>
      <c r="AH582" s="1" t="str">
        <f>VLOOKUP(AG582,t_entry_status!A:AE,2,FALSE)</f>
        <v>PENDING</v>
      </c>
      <c r="AI582" s="7">
        <v>45560</v>
      </c>
      <c r="AJ582" s="1" t="s">
        <v>7455</v>
      </c>
      <c r="AK582" s="7">
        <v>45560</v>
      </c>
      <c r="AL582" s="1" t="s">
        <v>7455</v>
      </c>
    </row>
    <row r="583" spans="1:38" s="20" customFormat="1" x14ac:dyDescent="0.3">
      <c r="A583" s="14">
        <v>582</v>
      </c>
      <c r="B583" s="14" t="str">
        <f>_xlfn.CONCAT(AE583,"-",VLOOKUP(AE583,t_objeto!B:D,3,FALSE),"-",A583)</f>
        <v>RMAT-PERCCO-582</v>
      </c>
      <c r="C583" s="22" t="str">
        <f t="shared" si="99"/>
        <v>LAMINA_LISA__INOX_304/316 L_4'X10'_21</v>
      </c>
      <c r="D583" s="14" t="s">
        <v>7412</v>
      </c>
      <c r="E583" s="14" t="s">
        <v>7408</v>
      </c>
      <c r="F583" s="21" t="s">
        <v>7409</v>
      </c>
      <c r="G583" s="22" t="s">
        <v>7387</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7356</v>
      </c>
      <c r="AF583" s="1" t="str">
        <f>VLOOKUP(AE583,t_objeto!B:C,2,FALSE)</f>
        <v>RAW_MATERIAL</v>
      </c>
      <c r="AG583" s="1">
        <v>8</v>
      </c>
      <c r="AH583" s="1" t="str">
        <f>VLOOKUP(AG583,t_entry_status!A:AE,2,FALSE)</f>
        <v>PENDING</v>
      </c>
      <c r="AI583" s="7">
        <v>45560</v>
      </c>
      <c r="AJ583" s="1" t="s">
        <v>7455</v>
      </c>
      <c r="AK583" s="7">
        <v>45560</v>
      </c>
      <c r="AL583" s="1" t="s">
        <v>7455</v>
      </c>
    </row>
    <row r="584" spans="1:38" s="20" customFormat="1" x14ac:dyDescent="0.3">
      <c r="A584" s="14">
        <v>583</v>
      </c>
      <c r="B584" s="14" t="str">
        <f>_xlfn.CONCAT(AE584,"-",VLOOKUP(AE584,t_objeto!B:D,3,FALSE),"-",A584)</f>
        <v>RMAT-PERCCO-583</v>
      </c>
      <c r="C584" s="22" t="str">
        <f t="shared" si="99"/>
        <v>LAMINA_LISA__INOX_304/316 L_4'X10'_22</v>
      </c>
      <c r="D584" s="14" t="s">
        <v>7412</v>
      </c>
      <c r="E584" s="14" t="s">
        <v>7408</v>
      </c>
      <c r="F584" s="21" t="s">
        <v>7409</v>
      </c>
      <c r="G584" s="22" t="s">
        <v>7387</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7356</v>
      </c>
      <c r="AF584" s="1" t="str">
        <f>VLOOKUP(AE584,t_objeto!B:C,2,FALSE)</f>
        <v>RAW_MATERIAL</v>
      </c>
      <c r="AG584" s="1">
        <v>8</v>
      </c>
      <c r="AH584" s="1" t="str">
        <f>VLOOKUP(AG584,t_entry_status!A:AE,2,FALSE)</f>
        <v>PENDING</v>
      </c>
      <c r="AI584" s="7">
        <v>45560</v>
      </c>
      <c r="AJ584" s="1" t="s">
        <v>7455</v>
      </c>
      <c r="AK584" s="7">
        <v>45560</v>
      </c>
      <c r="AL584" s="1" t="s">
        <v>7455</v>
      </c>
    </row>
    <row r="585" spans="1:38" s="20" customFormat="1" x14ac:dyDescent="0.3">
      <c r="A585" s="14">
        <v>584</v>
      </c>
      <c r="B585" s="14" t="str">
        <f>_xlfn.CONCAT(AE585,"-",VLOOKUP(AE585,t_objeto!B:D,3,FALSE),"-",A585)</f>
        <v>RMAT-PERCCO-584</v>
      </c>
      <c r="C585" s="22" t="str">
        <f t="shared" si="99"/>
        <v>LAMINA_LISA__INOX_304/316 L_4'X10'_23</v>
      </c>
      <c r="D585" s="14" t="s">
        <v>7412</v>
      </c>
      <c r="E585" s="14" t="s">
        <v>7408</v>
      </c>
      <c r="F585" s="21" t="s">
        <v>7409</v>
      </c>
      <c r="G585" s="22" t="s">
        <v>7387</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7356</v>
      </c>
      <c r="AF585" s="1" t="str">
        <f>VLOOKUP(AE585,t_objeto!B:C,2,FALSE)</f>
        <v>RAW_MATERIAL</v>
      </c>
      <c r="AG585" s="1">
        <v>8</v>
      </c>
      <c r="AH585" s="1" t="str">
        <f>VLOOKUP(AG585,t_entry_status!A:AE,2,FALSE)</f>
        <v>PENDING</v>
      </c>
      <c r="AI585" s="7">
        <v>45560</v>
      </c>
      <c r="AJ585" s="1" t="s">
        <v>7455</v>
      </c>
      <c r="AK585" s="7">
        <v>45560</v>
      </c>
      <c r="AL585" s="1" t="s">
        <v>7455</v>
      </c>
    </row>
    <row r="586" spans="1:38" s="20" customFormat="1" x14ac:dyDescent="0.3">
      <c r="A586" s="14">
        <v>585</v>
      </c>
      <c r="B586" s="14" t="str">
        <f>_xlfn.CONCAT(AE586,"-",VLOOKUP(AE586,t_objeto!B:D,3,FALSE),"-",A586)</f>
        <v>RMAT-PERCCO-585</v>
      </c>
      <c r="C586" s="22" t="str">
        <f t="shared" si="99"/>
        <v>LAMINA_LISA__INOX_304/316 L_4'X10'_24</v>
      </c>
      <c r="D586" s="14" t="s">
        <v>7412</v>
      </c>
      <c r="E586" s="14" t="s">
        <v>7408</v>
      </c>
      <c r="F586" s="21" t="s">
        <v>7409</v>
      </c>
      <c r="G586" s="22" t="s">
        <v>7387</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7356</v>
      </c>
      <c r="AF586" s="1" t="str">
        <f>VLOOKUP(AE586,t_objeto!B:C,2,FALSE)</f>
        <v>RAW_MATERIAL</v>
      </c>
      <c r="AG586" s="1">
        <v>8</v>
      </c>
      <c r="AH586" s="1" t="str">
        <f>VLOOKUP(AG586,t_entry_status!A:AE,2,FALSE)</f>
        <v>PENDING</v>
      </c>
      <c r="AI586" s="7">
        <v>45560</v>
      </c>
      <c r="AJ586" s="1" t="s">
        <v>7455</v>
      </c>
      <c r="AK586" s="7">
        <v>45560</v>
      </c>
      <c r="AL586" s="1" t="s">
        <v>7455</v>
      </c>
    </row>
    <row r="587" spans="1:38" s="20" customFormat="1" x14ac:dyDescent="0.3">
      <c r="A587" s="14">
        <v>586</v>
      </c>
      <c r="B587" s="14" t="str">
        <f>_xlfn.CONCAT(AE587,"-",VLOOKUP(AE587,t_objeto!B:D,3,FALSE),"-",A587)</f>
        <v>RMAT-PERCCO-586</v>
      </c>
      <c r="C587" s="22" t="str">
        <f t="shared" si="99"/>
        <v>LAMINA_LISA__INOX_304/316 L_4'X10'_25</v>
      </c>
      <c r="D587" s="14" t="s">
        <v>7412</v>
      </c>
      <c r="E587" s="14" t="s">
        <v>7408</v>
      </c>
      <c r="F587" s="21" t="s">
        <v>7409</v>
      </c>
      <c r="G587" s="22" t="s">
        <v>7387</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7356</v>
      </c>
      <c r="AF587" s="1" t="str">
        <f>VLOOKUP(AE587,t_objeto!B:C,2,FALSE)</f>
        <v>RAW_MATERIAL</v>
      </c>
      <c r="AG587" s="1">
        <v>8</v>
      </c>
      <c r="AH587" s="1" t="str">
        <f>VLOOKUP(AG587,t_entry_status!A:AE,2,FALSE)</f>
        <v>PENDING</v>
      </c>
      <c r="AI587" s="7">
        <v>45560</v>
      </c>
      <c r="AJ587" s="1" t="s">
        <v>7455</v>
      </c>
      <c r="AK587" s="7">
        <v>45560</v>
      </c>
      <c r="AL587" s="1" t="s">
        <v>7455</v>
      </c>
    </row>
    <row r="588" spans="1:38" s="20" customFormat="1" x14ac:dyDescent="0.3">
      <c r="A588" s="14">
        <v>587</v>
      </c>
      <c r="B588" s="14" t="str">
        <f>_xlfn.CONCAT(AE588,"-",VLOOKUP(AE588,t_objeto!B:D,3,FALSE),"-",A588)</f>
        <v>RMAT-PERCCO-587</v>
      </c>
      <c r="C588" s="22" t="str">
        <f t="shared" si="99"/>
        <v>LAMINA_LISA__INOX_304/316 L_4'X10'_26</v>
      </c>
      <c r="D588" s="14" t="s">
        <v>7412</v>
      </c>
      <c r="E588" s="14" t="s">
        <v>7408</v>
      </c>
      <c r="F588" s="21" t="s">
        <v>7409</v>
      </c>
      <c r="G588" s="22" t="s">
        <v>7387</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7356</v>
      </c>
      <c r="AF588" s="1" t="str">
        <f>VLOOKUP(AE588,t_objeto!B:C,2,FALSE)</f>
        <v>RAW_MATERIAL</v>
      </c>
      <c r="AG588" s="1">
        <v>8</v>
      </c>
      <c r="AH588" s="1" t="str">
        <f>VLOOKUP(AG588,t_entry_status!A:AE,2,FALSE)</f>
        <v>PENDING</v>
      </c>
      <c r="AI588" s="7">
        <v>45560</v>
      </c>
      <c r="AJ588" s="1" t="s">
        <v>7455</v>
      </c>
      <c r="AK588" s="7">
        <v>45560</v>
      </c>
      <c r="AL588" s="1" t="s">
        <v>7455</v>
      </c>
    </row>
    <row r="589" spans="1:38" s="20" customFormat="1" x14ac:dyDescent="0.3">
      <c r="A589" s="14">
        <v>588</v>
      </c>
      <c r="B589" s="14" t="str">
        <f>_xlfn.CONCAT(AE589,"-",VLOOKUP(AE589,t_objeto!B:D,3,FALSE),"-",A589)</f>
        <v>RMAT-PERCCO-588</v>
      </c>
      <c r="C589" s="22" t="str">
        <f t="shared" si="99"/>
        <v>PLACA__ACERO_ROLADA EN CALIENTE_5'X10'_1"</v>
      </c>
      <c r="D589" s="14" t="s">
        <v>7390</v>
      </c>
      <c r="E589" s="14" t="s">
        <v>7385</v>
      </c>
      <c r="F589" s="21" t="s">
        <v>7391</v>
      </c>
      <c r="G589" s="22" t="s">
        <v>7387</v>
      </c>
      <c r="H589" s="14" t="s">
        <v>7392</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7356</v>
      </c>
      <c r="AF589" s="1" t="str">
        <f>VLOOKUP(AE589,t_objeto!B:C,2,FALSE)</f>
        <v>RAW_MATERIAL</v>
      </c>
      <c r="AG589" s="1">
        <v>8</v>
      </c>
      <c r="AH589" s="1" t="str">
        <f>VLOOKUP(AG589,t_entry_status!A:AE,2,FALSE)</f>
        <v>PENDING</v>
      </c>
      <c r="AI589" s="7">
        <v>45560</v>
      </c>
      <c r="AJ589" s="1" t="s">
        <v>7455</v>
      </c>
      <c r="AK589" s="7">
        <v>45560</v>
      </c>
      <c r="AL589" s="1" t="s">
        <v>7455</v>
      </c>
    </row>
    <row r="590" spans="1:38" s="20" customFormat="1" x14ac:dyDescent="0.3">
      <c r="A590" s="14">
        <v>589</v>
      </c>
      <c r="B590" s="14" t="str">
        <f>_xlfn.CONCAT(AE590,"-",VLOOKUP(AE590,t_objeto!B:D,3,FALSE),"-",A590)</f>
        <v>RMAT-PERCCO-589</v>
      </c>
      <c r="C590" s="22" t="str">
        <f t="shared" si="99"/>
        <v>PLACA__ACERO_ROLADA EN CALIENTE_5'X10'_7/8"</v>
      </c>
      <c r="D590" s="14" t="s">
        <v>7390</v>
      </c>
      <c r="E590" s="14" t="s">
        <v>7385</v>
      </c>
      <c r="F590" s="21" t="s">
        <v>7391</v>
      </c>
      <c r="G590" s="22" t="s">
        <v>7387</v>
      </c>
      <c r="H590" s="14" t="s">
        <v>7393</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7356</v>
      </c>
      <c r="AF590" s="1" t="str">
        <f>VLOOKUP(AE590,t_objeto!B:C,2,FALSE)</f>
        <v>RAW_MATERIAL</v>
      </c>
      <c r="AG590" s="1">
        <v>8</v>
      </c>
      <c r="AH590" s="1" t="str">
        <f>VLOOKUP(AG590,t_entry_status!A:AE,2,FALSE)</f>
        <v>PENDING</v>
      </c>
      <c r="AI590" s="7">
        <v>45560</v>
      </c>
      <c r="AJ590" s="1" t="s">
        <v>7455</v>
      </c>
      <c r="AK590" s="7">
        <v>45560</v>
      </c>
      <c r="AL590" s="1" t="s">
        <v>7455</v>
      </c>
    </row>
    <row r="591" spans="1:38" s="20" customFormat="1" x14ac:dyDescent="0.3">
      <c r="A591" s="14">
        <v>590</v>
      </c>
      <c r="B591" s="14" t="str">
        <f>_xlfn.CONCAT(AE591,"-",VLOOKUP(AE591,t_objeto!B:D,3,FALSE),"-",A591)</f>
        <v>RMAT-PERCCO-590</v>
      </c>
      <c r="C591" s="22" t="str">
        <f t="shared" si="99"/>
        <v>PLACA__ACERO_ROLADA EN CALIENTE_5'X10'_3/4"</v>
      </c>
      <c r="D591" s="14" t="s">
        <v>7390</v>
      </c>
      <c r="E591" s="14" t="s">
        <v>7385</v>
      </c>
      <c r="F591" s="21" t="s">
        <v>7391</v>
      </c>
      <c r="G591" s="22" t="s">
        <v>7387</v>
      </c>
      <c r="H591" s="14" t="s">
        <v>7394</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7356</v>
      </c>
      <c r="AF591" s="1" t="str">
        <f>VLOOKUP(AE591,t_objeto!B:C,2,FALSE)</f>
        <v>RAW_MATERIAL</v>
      </c>
      <c r="AG591" s="1">
        <v>8</v>
      </c>
      <c r="AH591" s="1" t="str">
        <f>VLOOKUP(AG591,t_entry_status!A:AE,2,FALSE)</f>
        <v>PENDING</v>
      </c>
      <c r="AI591" s="7">
        <v>45560</v>
      </c>
      <c r="AJ591" s="1" t="s">
        <v>7455</v>
      </c>
      <c r="AK591" s="7">
        <v>45560</v>
      </c>
      <c r="AL591" s="1" t="s">
        <v>7455</v>
      </c>
    </row>
    <row r="592" spans="1:38" s="20" customFormat="1" x14ac:dyDescent="0.3">
      <c r="A592" s="14">
        <v>591</v>
      </c>
      <c r="B592" s="14" t="str">
        <f>_xlfn.CONCAT(AE592,"-",VLOOKUP(AE592,t_objeto!B:D,3,FALSE),"-",A592)</f>
        <v>RMAT-PERCCO-591</v>
      </c>
      <c r="C592" s="22" t="str">
        <f t="shared" si="99"/>
        <v>PLACA__ACERO_ROLADA EN CALIENTE_5'X10'_11/16"</v>
      </c>
      <c r="D592" s="14" t="s">
        <v>7390</v>
      </c>
      <c r="E592" s="14" t="s">
        <v>7385</v>
      </c>
      <c r="F592" s="21" t="s">
        <v>7391</v>
      </c>
      <c r="G592" s="22" t="s">
        <v>7387</v>
      </c>
      <c r="H592" s="14" t="s">
        <v>7395</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7356</v>
      </c>
      <c r="AF592" s="1" t="str">
        <f>VLOOKUP(AE592,t_objeto!B:C,2,FALSE)</f>
        <v>RAW_MATERIAL</v>
      </c>
      <c r="AG592" s="1">
        <v>8</v>
      </c>
      <c r="AH592" s="1" t="str">
        <f>VLOOKUP(AG592,t_entry_status!A:AE,2,FALSE)</f>
        <v>PENDING</v>
      </c>
      <c r="AI592" s="7">
        <v>45560</v>
      </c>
      <c r="AJ592" s="1" t="s">
        <v>7455</v>
      </c>
      <c r="AK592" s="7">
        <v>45560</v>
      </c>
      <c r="AL592" s="1" t="s">
        <v>7455</v>
      </c>
    </row>
    <row r="593" spans="1:38" s="20" customFormat="1" x14ac:dyDescent="0.3">
      <c r="A593" s="14">
        <v>592</v>
      </c>
      <c r="B593" s="14" t="str">
        <f>_xlfn.CONCAT(AE593,"-",VLOOKUP(AE593,t_objeto!B:D,3,FALSE),"-",A593)</f>
        <v>RMAT-PERCCO-592</v>
      </c>
      <c r="C593" s="22" t="str">
        <f t="shared" si="99"/>
        <v>PLACA__ACERO_ROLADA EN CALIENTE_5'X10'_5/8"</v>
      </c>
      <c r="D593" s="14" t="s">
        <v>7390</v>
      </c>
      <c r="E593" s="14" t="s">
        <v>7385</v>
      </c>
      <c r="F593" s="21" t="s">
        <v>7391</v>
      </c>
      <c r="G593" s="22" t="s">
        <v>7387</v>
      </c>
      <c r="H593" s="14" t="s">
        <v>7396</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7356</v>
      </c>
      <c r="AF593" s="1" t="str">
        <f>VLOOKUP(AE593,t_objeto!B:C,2,FALSE)</f>
        <v>RAW_MATERIAL</v>
      </c>
      <c r="AG593" s="1">
        <v>8</v>
      </c>
      <c r="AH593" s="1" t="str">
        <f>VLOOKUP(AG593,t_entry_status!A:AE,2,FALSE)</f>
        <v>PENDING</v>
      </c>
      <c r="AI593" s="7">
        <v>45560</v>
      </c>
      <c r="AJ593" s="1" t="s">
        <v>7455</v>
      </c>
      <c r="AK593" s="7">
        <v>45560</v>
      </c>
      <c r="AL593" s="1" t="s">
        <v>7455</v>
      </c>
    </row>
    <row r="594" spans="1:38" s="20" customFormat="1" x14ac:dyDescent="0.3">
      <c r="A594" s="14">
        <v>593</v>
      </c>
      <c r="B594" s="14" t="str">
        <f>_xlfn.CONCAT(AE594,"-",VLOOKUP(AE594,t_objeto!B:D,3,FALSE),"-",A594)</f>
        <v>RMAT-PERCCO-593</v>
      </c>
      <c r="C594" s="22" t="str">
        <f t="shared" si="99"/>
        <v>PLACA__ACERO_ROLADA EN CALIENTE_5'X10'_9/16"</v>
      </c>
      <c r="D594" s="14" t="s">
        <v>7390</v>
      </c>
      <c r="E594" s="14" t="s">
        <v>7385</v>
      </c>
      <c r="F594" s="21" t="s">
        <v>7391</v>
      </c>
      <c r="G594" s="22" t="s">
        <v>7387</v>
      </c>
      <c r="H594" s="14" t="s">
        <v>7397</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7356</v>
      </c>
      <c r="AF594" s="1" t="str">
        <f>VLOOKUP(AE594,t_objeto!B:C,2,FALSE)</f>
        <v>RAW_MATERIAL</v>
      </c>
      <c r="AG594" s="1">
        <v>8</v>
      </c>
      <c r="AH594" s="1" t="str">
        <f>VLOOKUP(AG594,t_entry_status!A:AE,2,FALSE)</f>
        <v>PENDING</v>
      </c>
      <c r="AI594" s="7">
        <v>45560</v>
      </c>
      <c r="AJ594" s="1" t="s">
        <v>7455</v>
      </c>
      <c r="AK594" s="7">
        <v>45560</v>
      </c>
      <c r="AL594" s="1" t="s">
        <v>7455</v>
      </c>
    </row>
    <row r="595" spans="1:38" s="20" customFormat="1" x14ac:dyDescent="0.3">
      <c r="A595" s="14">
        <v>594</v>
      </c>
      <c r="B595" s="14" t="str">
        <f>_xlfn.CONCAT(AE595,"-",VLOOKUP(AE595,t_objeto!B:D,3,FALSE),"-",A595)</f>
        <v>RMAT-PERCCO-594</v>
      </c>
      <c r="C595" s="22" t="str">
        <f t="shared" si="99"/>
        <v>PLACA__ACERO_ROLADA EN CALIENTE_5'X10'_1/2"</v>
      </c>
      <c r="D595" s="14" t="s">
        <v>7390</v>
      </c>
      <c r="E595" s="14" t="s">
        <v>7385</v>
      </c>
      <c r="F595" s="21" t="s">
        <v>7391</v>
      </c>
      <c r="G595" s="22" t="s">
        <v>7387</v>
      </c>
      <c r="H595" s="14" t="s">
        <v>7398</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7356</v>
      </c>
      <c r="AF595" s="1" t="str">
        <f>VLOOKUP(AE595,t_objeto!B:C,2,FALSE)</f>
        <v>RAW_MATERIAL</v>
      </c>
      <c r="AG595" s="1">
        <v>8</v>
      </c>
      <c r="AH595" s="1" t="str">
        <f>VLOOKUP(AG595,t_entry_status!A:AE,2,FALSE)</f>
        <v>PENDING</v>
      </c>
      <c r="AI595" s="7">
        <v>45560</v>
      </c>
      <c r="AJ595" s="1" t="s">
        <v>7455</v>
      </c>
      <c r="AK595" s="7">
        <v>45560</v>
      </c>
      <c r="AL595" s="1" t="s">
        <v>7455</v>
      </c>
    </row>
    <row r="596" spans="1:38" s="20" customFormat="1" x14ac:dyDescent="0.3">
      <c r="A596" s="14">
        <v>595</v>
      </c>
      <c r="B596" s="14" t="str">
        <f>_xlfn.CONCAT(AE596,"-",VLOOKUP(AE596,t_objeto!B:D,3,FALSE),"-",A596)</f>
        <v>RMAT-PERCCO-595</v>
      </c>
      <c r="C596" s="22" t="str">
        <f t="shared" si="99"/>
        <v>PLACA__ACERO_ROLADA EN CALIENTE_5'X10'_7/16"</v>
      </c>
      <c r="D596" s="14" t="s">
        <v>7390</v>
      </c>
      <c r="E596" s="14" t="s">
        <v>7385</v>
      </c>
      <c r="F596" s="21" t="s">
        <v>7391</v>
      </c>
      <c r="G596" s="22" t="s">
        <v>7387</v>
      </c>
      <c r="H596" s="14" t="s">
        <v>7399</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7356</v>
      </c>
      <c r="AF596" s="1" t="str">
        <f>VLOOKUP(AE596,t_objeto!B:C,2,FALSE)</f>
        <v>RAW_MATERIAL</v>
      </c>
      <c r="AG596" s="1">
        <v>8</v>
      </c>
      <c r="AH596" s="1" t="str">
        <f>VLOOKUP(AG596,t_entry_status!A:AE,2,FALSE)</f>
        <v>PENDING</v>
      </c>
      <c r="AI596" s="7">
        <v>45560</v>
      </c>
      <c r="AJ596" s="1" t="s">
        <v>7455</v>
      </c>
      <c r="AK596" s="7">
        <v>45560</v>
      </c>
      <c r="AL596" s="1" t="s">
        <v>7455</v>
      </c>
    </row>
    <row r="597" spans="1:38" s="20" customFormat="1" x14ac:dyDescent="0.3">
      <c r="A597" s="14">
        <v>596</v>
      </c>
      <c r="B597" s="14" t="str">
        <f>_xlfn.CONCAT(AE597,"-",VLOOKUP(AE597,t_objeto!B:D,3,FALSE),"-",A597)</f>
        <v>RMAT-PERCCO-596</v>
      </c>
      <c r="C597" s="22" t="str">
        <f t="shared" si="99"/>
        <v>PLACA__ACERO_ROLADA EN CALIENTE_5'X10'_3/8"</v>
      </c>
      <c r="D597" s="14" t="s">
        <v>7390</v>
      </c>
      <c r="E597" s="14" t="s">
        <v>7385</v>
      </c>
      <c r="F597" s="21" t="s">
        <v>7391</v>
      </c>
      <c r="G597" s="22" t="s">
        <v>7387</v>
      </c>
      <c r="H597" s="14" t="s">
        <v>7400</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7356</v>
      </c>
      <c r="AF597" s="1" t="str">
        <f>VLOOKUP(AE597,t_objeto!B:C,2,FALSE)</f>
        <v>RAW_MATERIAL</v>
      </c>
      <c r="AG597" s="1">
        <v>8</v>
      </c>
      <c r="AH597" s="1" t="str">
        <f>VLOOKUP(AG597,t_entry_status!A:AE,2,FALSE)</f>
        <v>PENDING</v>
      </c>
      <c r="AI597" s="7">
        <v>45560</v>
      </c>
      <c r="AJ597" s="1" t="s">
        <v>7455</v>
      </c>
      <c r="AK597" s="7">
        <v>45560</v>
      </c>
      <c r="AL597" s="1" t="s">
        <v>7455</v>
      </c>
    </row>
    <row r="598" spans="1:38" s="20" customFormat="1" x14ac:dyDescent="0.3">
      <c r="A598" s="14">
        <v>597</v>
      </c>
      <c r="B598" s="14" t="str">
        <f>_xlfn.CONCAT(AE598,"-",VLOOKUP(AE598,t_objeto!B:D,3,FALSE),"-",A598)</f>
        <v>RMAT-PERCCO-597</v>
      </c>
      <c r="C598" s="22" t="str">
        <f t="shared" si="99"/>
        <v>PLACA__ACERO_ROLADA EN CALIENTE_5'X10'_5/16"</v>
      </c>
      <c r="D598" s="14" t="s">
        <v>7390</v>
      </c>
      <c r="E598" s="14" t="s">
        <v>7385</v>
      </c>
      <c r="F598" s="21" t="s">
        <v>7391</v>
      </c>
      <c r="G598" s="22" t="s">
        <v>7387</v>
      </c>
      <c r="H598" s="14" t="s">
        <v>7401</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7356</v>
      </c>
      <c r="AF598" s="1" t="str">
        <f>VLOOKUP(AE598,t_objeto!B:C,2,FALSE)</f>
        <v>RAW_MATERIAL</v>
      </c>
      <c r="AG598" s="1">
        <v>8</v>
      </c>
      <c r="AH598" s="1" t="str">
        <f>VLOOKUP(AG598,t_entry_status!A:AE,2,FALSE)</f>
        <v>PENDING</v>
      </c>
      <c r="AI598" s="7">
        <v>45560</v>
      </c>
      <c r="AJ598" s="1" t="s">
        <v>7455</v>
      </c>
      <c r="AK598" s="7">
        <v>45560</v>
      </c>
      <c r="AL598" s="1" t="s">
        <v>7455</v>
      </c>
    </row>
    <row r="599" spans="1:38" s="20" customFormat="1" x14ac:dyDescent="0.3">
      <c r="A599" s="14">
        <v>598</v>
      </c>
      <c r="B599" s="14" t="str">
        <f>_xlfn.CONCAT(AE599,"-",VLOOKUP(AE599,t_objeto!B:D,3,FALSE),"-",A599)</f>
        <v>RMAT-PERCCO-598</v>
      </c>
      <c r="C599" s="22" t="str">
        <f t="shared" si="99"/>
        <v>PLACA__ACERO_ROLADA EN CALIENTE_5'X10'_1/4"</v>
      </c>
      <c r="D599" s="14" t="s">
        <v>7390</v>
      </c>
      <c r="E599" s="14" t="s">
        <v>7385</v>
      </c>
      <c r="F599" s="21" t="s">
        <v>7391</v>
      </c>
      <c r="G599" s="22" t="s">
        <v>7387</v>
      </c>
      <c r="H599" s="14" t="s">
        <v>7402</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7356</v>
      </c>
      <c r="AF599" s="1" t="str">
        <f>VLOOKUP(AE599,t_objeto!B:C,2,FALSE)</f>
        <v>RAW_MATERIAL</v>
      </c>
      <c r="AG599" s="1">
        <v>8</v>
      </c>
      <c r="AH599" s="1" t="str">
        <f>VLOOKUP(AG599,t_entry_status!A:AE,2,FALSE)</f>
        <v>PENDING</v>
      </c>
      <c r="AI599" s="7">
        <v>45560</v>
      </c>
      <c r="AJ599" s="1" t="s">
        <v>7455</v>
      </c>
      <c r="AK599" s="7">
        <v>45560</v>
      </c>
      <c r="AL599" s="1" t="s">
        <v>7455</v>
      </c>
    </row>
    <row r="600" spans="1:38" s="20" customFormat="1" x14ac:dyDescent="0.3">
      <c r="A600" s="14">
        <v>599</v>
      </c>
      <c r="B600" s="14" t="str">
        <f>_xlfn.CONCAT(AE600,"-",VLOOKUP(AE600,t_objeto!B:D,3,FALSE),"-",A600)</f>
        <v>RMAT-PERCCO-599</v>
      </c>
      <c r="C600" s="22" t="str">
        <f t="shared" si="99"/>
        <v>PLACA__ACERO_ROLADA EN CALIENTE_5'X10'_3/16"</v>
      </c>
      <c r="D600" s="14" t="s">
        <v>7390</v>
      </c>
      <c r="E600" s="14" t="s">
        <v>7385</v>
      </c>
      <c r="F600" s="21" t="s">
        <v>7391</v>
      </c>
      <c r="G600" s="22" t="s">
        <v>7387</v>
      </c>
      <c r="H600" s="14" t="s">
        <v>7403</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7356</v>
      </c>
      <c r="AF600" s="1" t="str">
        <f>VLOOKUP(AE600,t_objeto!B:C,2,FALSE)</f>
        <v>RAW_MATERIAL</v>
      </c>
      <c r="AG600" s="1">
        <v>8</v>
      </c>
      <c r="AH600" s="1" t="str">
        <f>VLOOKUP(AG600,t_entry_status!A:AE,2,FALSE)</f>
        <v>PENDING</v>
      </c>
      <c r="AI600" s="7">
        <v>45560</v>
      </c>
      <c r="AJ600" s="1" t="s">
        <v>7455</v>
      </c>
      <c r="AK600" s="7">
        <v>45560</v>
      </c>
      <c r="AL600" s="1" t="s">
        <v>7455</v>
      </c>
    </row>
    <row r="601" spans="1:38" s="20" customFormat="1" x14ac:dyDescent="0.3">
      <c r="A601" s="14">
        <v>600</v>
      </c>
      <c r="B601" s="14" t="str">
        <f>_xlfn.CONCAT(AE601,"-",VLOOKUP(AE601,t_objeto!B:D,3,FALSE),"-",A601)</f>
        <v>RMAT-PERCCO-600</v>
      </c>
      <c r="C601" s="22" t="str">
        <f t="shared" si="99"/>
        <v>LAMINA_LISA__ACERO_ROLADA EN CALIENTE_5'X10'_4</v>
      </c>
      <c r="D601" s="14" t="s">
        <v>7412</v>
      </c>
      <c r="E601" s="14" t="s">
        <v>7385</v>
      </c>
      <c r="F601" s="21" t="s">
        <v>7391</v>
      </c>
      <c r="G601" s="22" t="s">
        <v>7387</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7356</v>
      </c>
      <c r="AF601" s="1" t="str">
        <f>VLOOKUP(AE601,t_objeto!B:C,2,FALSE)</f>
        <v>RAW_MATERIAL</v>
      </c>
      <c r="AG601" s="1">
        <v>8</v>
      </c>
      <c r="AH601" s="1" t="str">
        <f>VLOOKUP(AG601,t_entry_status!A:AE,2,FALSE)</f>
        <v>PENDING</v>
      </c>
      <c r="AI601" s="7">
        <v>45560</v>
      </c>
      <c r="AJ601" s="1" t="s">
        <v>7455</v>
      </c>
      <c r="AK601" s="7">
        <v>45560</v>
      </c>
      <c r="AL601" s="1" t="s">
        <v>7455</v>
      </c>
    </row>
    <row r="602" spans="1:38" s="20" customFormat="1" x14ac:dyDescent="0.3">
      <c r="A602" s="14">
        <v>601</v>
      </c>
      <c r="B602" s="14" t="str">
        <f>_xlfn.CONCAT(AE602,"-",VLOOKUP(AE602,t_objeto!B:D,3,FALSE),"-",A602)</f>
        <v>RMAT-PERCCO-601</v>
      </c>
      <c r="C602" s="22" t="str">
        <f t="shared" si="99"/>
        <v>LAMINA_LISA__ACERO_ROLADA EN CALIENTE_5'X10'_5</v>
      </c>
      <c r="D602" s="14" t="s">
        <v>7412</v>
      </c>
      <c r="E602" s="14" t="s">
        <v>7385</v>
      </c>
      <c r="F602" s="21" t="s">
        <v>7391</v>
      </c>
      <c r="G602" s="22" t="s">
        <v>7387</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7356</v>
      </c>
      <c r="AF602" s="1" t="str">
        <f>VLOOKUP(AE602,t_objeto!B:C,2,FALSE)</f>
        <v>RAW_MATERIAL</v>
      </c>
      <c r="AG602" s="1">
        <v>8</v>
      </c>
      <c r="AH602" s="1" t="str">
        <f>VLOOKUP(AG602,t_entry_status!A:AE,2,FALSE)</f>
        <v>PENDING</v>
      </c>
      <c r="AI602" s="7">
        <v>45560</v>
      </c>
      <c r="AJ602" s="1" t="s">
        <v>7455</v>
      </c>
      <c r="AK602" s="7">
        <v>45560</v>
      </c>
      <c r="AL602" s="1" t="s">
        <v>7455</v>
      </c>
    </row>
    <row r="603" spans="1:38" s="20" customFormat="1" x14ac:dyDescent="0.3">
      <c r="A603" s="14">
        <v>602</v>
      </c>
      <c r="B603" s="14" t="str">
        <f>_xlfn.CONCAT(AE603,"-",VLOOKUP(AE603,t_objeto!B:D,3,FALSE),"-",A603)</f>
        <v>RMAT-PERCCO-602</v>
      </c>
      <c r="C603" s="22" t="str">
        <f t="shared" si="99"/>
        <v>LAMINA_LISA__ACERO_ROLADA EN CALIENTE_5'X10'_6</v>
      </c>
      <c r="D603" s="14" t="s">
        <v>7412</v>
      </c>
      <c r="E603" s="14" t="s">
        <v>7385</v>
      </c>
      <c r="F603" s="21" t="s">
        <v>7391</v>
      </c>
      <c r="G603" s="22" t="s">
        <v>7387</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7356</v>
      </c>
      <c r="AF603" s="1" t="str">
        <f>VLOOKUP(AE603,t_objeto!B:C,2,FALSE)</f>
        <v>RAW_MATERIAL</v>
      </c>
      <c r="AG603" s="1">
        <v>8</v>
      </c>
      <c r="AH603" s="1" t="str">
        <f>VLOOKUP(AG603,t_entry_status!A:AE,2,FALSE)</f>
        <v>PENDING</v>
      </c>
      <c r="AI603" s="7">
        <v>45560</v>
      </c>
      <c r="AJ603" s="1" t="s">
        <v>7455</v>
      </c>
      <c r="AK603" s="7">
        <v>45560</v>
      </c>
      <c r="AL603" s="1" t="s">
        <v>7455</v>
      </c>
    </row>
    <row r="604" spans="1:38" s="20" customFormat="1" x14ac:dyDescent="0.3">
      <c r="A604" s="14">
        <v>603</v>
      </c>
      <c r="B604" s="14" t="str">
        <f>_xlfn.CONCAT(AE604,"-",VLOOKUP(AE604,t_objeto!B:D,3,FALSE),"-",A604)</f>
        <v>RMAT-PERCCO-603</v>
      </c>
      <c r="C604" s="22" t="str">
        <f t="shared" si="99"/>
        <v>LAMINA_LISA__ACERO_ROLADA EN CALIENTE_5'X10'_7</v>
      </c>
      <c r="D604" s="14" t="s">
        <v>7412</v>
      </c>
      <c r="E604" s="14" t="s">
        <v>7385</v>
      </c>
      <c r="F604" s="21" t="s">
        <v>7391</v>
      </c>
      <c r="G604" s="22" t="s">
        <v>7387</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7356</v>
      </c>
      <c r="AF604" s="1" t="str">
        <f>VLOOKUP(AE604,t_objeto!B:C,2,FALSE)</f>
        <v>RAW_MATERIAL</v>
      </c>
      <c r="AG604" s="1">
        <v>8</v>
      </c>
      <c r="AH604" s="1" t="str">
        <f>VLOOKUP(AG604,t_entry_status!A:AE,2,FALSE)</f>
        <v>PENDING</v>
      </c>
      <c r="AI604" s="7">
        <v>45560</v>
      </c>
      <c r="AJ604" s="1" t="s">
        <v>7455</v>
      </c>
      <c r="AK604" s="7">
        <v>45560</v>
      </c>
      <c r="AL604" s="1" t="s">
        <v>7455</v>
      </c>
    </row>
    <row r="605" spans="1:38" s="20" customFormat="1" x14ac:dyDescent="0.3">
      <c r="A605" s="14">
        <v>604</v>
      </c>
      <c r="B605" s="14" t="str">
        <f>_xlfn.CONCAT(AE605,"-",VLOOKUP(AE605,t_objeto!B:D,3,FALSE),"-",A605)</f>
        <v>RMAT-PERCCO-604</v>
      </c>
      <c r="C605" s="22" t="str">
        <f t="shared" si="99"/>
        <v>LAMINA_LISA__ACERO_ROLADA EN CALIENTE_5'X10'_8</v>
      </c>
      <c r="D605" s="14" t="s">
        <v>7412</v>
      </c>
      <c r="E605" s="14" t="s">
        <v>7385</v>
      </c>
      <c r="F605" s="21" t="s">
        <v>7391</v>
      </c>
      <c r="G605" s="22" t="s">
        <v>7387</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7356</v>
      </c>
      <c r="AF605" s="1" t="str">
        <f>VLOOKUP(AE605,t_objeto!B:C,2,FALSE)</f>
        <v>RAW_MATERIAL</v>
      </c>
      <c r="AG605" s="1">
        <v>8</v>
      </c>
      <c r="AH605" s="1" t="str">
        <f>VLOOKUP(AG605,t_entry_status!A:AE,2,FALSE)</f>
        <v>PENDING</v>
      </c>
      <c r="AI605" s="7">
        <v>45560</v>
      </c>
      <c r="AJ605" s="1" t="s">
        <v>7455</v>
      </c>
      <c r="AK605" s="7">
        <v>45560</v>
      </c>
      <c r="AL605" s="1" t="s">
        <v>7455</v>
      </c>
    </row>
    <row r="606" spans="1:38" s="20" customFormat="1" x14ac:dyDescent="0.3">
      <c r="A606" s="14">
        <v>605</v>
      </c>
      <c r="B606" s="14" t="str">
        <f>_xlfn.CONCAT(AE606,"-",VLOOKUP(AE606,t_objeto!B:D,3,FALSE),"-",A606)</f>
        <v>RMAT-PERCCO-605</v>
      </c>
      <c r="C606" s="22" t="str">
        <f t="shared" si="99"/>
        <v>LAMINA_LISA__ACERO_ROLADA EN CALIENTE_5'X10'_9</v>
      </c>
      <c r="D606" s="14" t="s">
        <v>7412</v>
      </c>
      <c r="E606" s="14" t="s">
        <v>7385</v>
      </c>
      <c r="F606" s="21" t="s">
        <v>7391</v>
      </c>
      <c r="G606" s="22" t="s">
        <v>7387</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7356</v>
      </c>
      <c r="AF606" s="1" t="str">
        <f>VLOOKUP(AE606,t_objeto!B:C,2,FALSE)</f>
        <v>RAW_MATERIAL</v>
      </c>
      <c r="AG606" s="1">
        <v>8</v>
      </c>
      <c r="AH606" s="1" t="str">
        <f>VLOOKUP(AG606,t_entry_status!A:AE,2,FALSE)</f>
        <v>PENDING</v>
      </c>
      <c r="AI606" s="7">
        <v>45560</v>
      </c>
      <c r="AJ606" s="1" t="s">
        <v>7455</v>
      </c>
      <c r="AK606" s="7">
        <v>45560</v>
      </c>
      <c r="AL606" s="1" t="s">
        <v>7455</v>
      </c>
    </row>
    <row r="607" spans="1:38" s="20" customFormat="1" x14ac:dyDescent="0.3">
      <c r="A607" s="14">
        <v>606</v>
      </c>
      <c r="B607" s="14" t="str">
        <f>_xlfn.CONCAT(AE607,"-",VLOOKUP(AE607,t_objeto!B:D,3,FALSE),"-",A607)</f>
        <v>RMAT-PERCCO-606</v>
      </c>
      <c r="C607" s="22" t="str">
        <f t="shared" si="99"/>
        <v>LAMINA_LISA__ACERO_ROLADA EN CALIENTE_5'X10'_10</v>
      </c>
      <c r="D607" s="14" t="s">
        <v>7412</v>
      </c>
      <c r="E607" s="14" t="s">
        <v>7385</v>
      </c>
      <c r="F607" s="21" t="s">
        <v>7391</v>
      </c>
      <c r="G607" s="22" t="s">
        <v>7387</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7356</v>
      </c>
      <c r="AF607" s="1" t="str">
        <f>VLOOKUP(AE607,t_objeto!B:C,2,FALSE)</f>
        <v>RAW_MATERIAL</v>
      </c>
      <c r="AG607" s="1">
        <v>8</v>
      </c>
      <c r="AH607" s="1" t="str">
        <f>VLOOKUP(AG607,t_entry_status!A:AE,2,FALSE)</f>
        <v>PENDING</v>
      </c>
      <c r="AI607" s="7">
        <v>45560</v>
      </c>
      <c r="AJ607" s="1" t="s">
        <v>7455</v>
      </c>
      <c r="AK607" s="7">
        <v>45560</v>
      </c>
      <c r="AL607" s="1" t="s">
        <v>7455</v>
      </c>
    </row>
    <row r="608" spans="1:38" s="20" customFormat="1" x14ac:dyDescent="0.3">
      <c r="A608" s="14">
        <v>607</v>
      </c>
      <c r="B608" s="14" t="str">
        <f>_xlfn.CONCAT(AE608,"-",VLOOKUP(AE608,t_objeto!B:D,3,FALSE),"-",A608)</f>
        <v>RMAT-PERCCO-607</v>
      </c>
      <c r="C608" s="22" t="str">
        <f t="shared" si="99"/>
        <v>LAMINA_LISA__ACERO_ROLADA EN CALIENTE_5'X10'_1/8"</v>
      </c>
      <c r="D608" s="14" t="s">
        <v>7412</v>
      </c>
      <c r="E608" s="14" t="s">
        <v>7385</v>
      </c>
      <c r="F608" s="21" t="s">
        <v>7391</v>
      </c>
      <c r="G608" s="22" t="s">
        <v>7387</v>
      </c>
      <c r="H608" s="14" t="s">
        <v>7404</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7356</v>
      </c>
      <c r="AF608" s="1" t="str">
        <f>VLOOKUP(AE608,t_objeto!B:C,2,FALSE)</f>
        <v>RAW_MATERIAL</v>
      </c>
      <c r="AG608" s="1">
        <v>8</v>
      </c>
      <c r="AH608" s="1" t="str">
        <f>VLOOKUP(AG608,t_entry_status!A:AE,2,FALSE)</f>
        <v>PENDING</v>
      </c>
      <c r="AI608" s="7">
        <v>45560</v>
      </c>
      <c r="AJ608" s="1" t="s">
        <v>7455</v>
      </c>
      <c r="AK608" s="7">
        <v>45560</v>
      </c>
      <c r="AL608" s="1" t="s">
        <v>7455</v>
      </c>
    </row>
    <row r="609" spans="1:38" s="20" customFormat="1" x14ac:dyDescent="0.3">
      <c r="A609" s="14">
        <v>608</v>
      </c>
      <c r="B609" s="14" t="str">
        <f>_xlfn.CONCAT(AE609,"-",VLOOKUP(AE609,t_objeto!B:D,3,FALSE),"-",A609)</f>
        <v>RMAT-PERCCO-608</v>
      </c>
      <c r="C609" s="22" t="str">
        <f t="shared" si="99"/>
        <v>LAMINA_LISA__ACERO_ROLADA EN CALIENTE_5'X10'_11</v>
      </c>
      <c r="D609" s="14" t="s">
        <v>7412</v>
      </c>
      <c r="E609" s="14" t="s">
        <v>7385</v>
      </c>
      <c r="F609" s="21" t="s">
        <v>7391</v>
      </c>
      <c r="G609" s="22" t="s">
        <v>7387</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7356</v>
      </c>
      <c r="AF609" s="1" t="str">
        <f>VLOOKUP(AE609,t_objeto!B:C,2,FALSE)</f>
        <v>RAW_MATERIAL</v>
      </c>
      <c r="AG609" s="1">
        <v>8</v>
      </c>
      <c r="AH609" s="1" t="str">
        <f>VLOOKUP(AG609,t_entry_status!A:AE,2,FALSE)</f>
        <v>PENDING</v>
      </c>
      <c r="AI609" s="7">
        <v>45560</v>
      </c>
      <c r="AJ609" s="1" t="s">
        <v>7455</v>
      </c>
      <c r="AK609" s="7">
        <v>45560</v>
      </c>
      <c r="AL609" s="1" t="s">
        <v>7455</v>
      </c>
    </row>
    <row r="610" spans="1:38" s="20" customFormat="1" x14ac:dyDescent="0.3">
      <c r="A610" s="14">
        <v>609</v>
      </c>
      <c r="B610" s="14" t="str">
        <f>_xlfn.CONCAT(AE610,"-",VLOOKUP(AE610,t_objeto!B:D,3,FALSE),"-",A610)</f>
        <v>RMAT-PERCCO-609</v>
      </c>
      <c r="C610" s="22" t="str">
        <f t="shared" si="99"/>
        <v>LAMINA_LISA__ACERO_ROLADA EN CALIENTE_5'X10'_12</v>
      </c>
      <c r="D610" s="14" t="s">
        <v>7412</v>
      </c>
      <c r="E610" s="14" t="s">
        <v>7385</v>
      </c>
      <c r="F610" s="21" t="s">
        <v>7391</v>
      </c>
      <c r="G610" s="22" t="s">
        <v>7387</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7356</v>
      </c>
      <c r="AF610" s="1" t="str">
        <f>VLOOKUP(AE610,t_objeto!B:C,2,FALSE)</f>
        <v>RAW_MATERIAL</v>
      </c>
      <c r="AG610" s="1">
        <v>8</v>
      </c>
      <c r="AH610" s="1" t="str">
        <f>VLOOKUP(AG610,t_entry_status!A:AE,2,FALSE)</f>
        <v>PENDING</v>
      </c>
      <c r="AI610" s="7">
        <v>45560</v>
      </c>
      <c r="AJ610" s="1" t="s">
        <v>7455</v>
      </c>
      <c r="AK610" s="7">
        <v>45560</v>
      </c>
      <c r="AL610" s="1" t="s">
        <v>7455</v>
      </c>
    </row>
    <row r="611" spans="1:38" s="20" customFormat="1" x14ac:dyDescent="0.3">
      <c r="A611" s="14">
        <v>610</v>
      </c>
      <c r="B611" s="14" t="str">
        <f>_xlfn.CONCAT(AE611,"-",VLOOKUP(AE611,t_objeto!B:D,3,FALSE),"-",A611)</f>
        <v>RMAT-PERCCO-610</v>
      </c>
      <c r="C611" s="22" t="str">
        <f t="shared" si="99"/>
        <v>LAMINA_LISA__ACERO_ROLADA EN CALIENTE_5'X10'_13</v>
      </c>
      <c r="D611" s="14" t="s">
        <v>7412</v>
      </c>
      <c r="E611" s="14" t="s">
        <v>7385</v>
      </c>
      <c r="F611" s="21" t="s">
        <v>7391</v>
      </c>
      <c r="G611" s="22" t="s">
        <v>7387</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7356</v>
      </c>
      <c r="AF611" s="1" t="str">
        <f>VLOOKUP(AE611,t_objeto!B:C,2,FALSE)</f>
        <v>RAW_MATERIAL</v>
      </c>
      <c r="AG611" s="1">
        <v>8</v>
      </c>
      <c r="AH611" s="1" t="str">
        <f>VLOOKUP(AG611,t_entry_status!A:AE,2,FALSE)</f>
        <v>PENDING</v>
      </c>
      <c r="AI611" s="7">
        <v>45560</v>
      </c>
      <c r="AJ611" s="1" t="s">
        <v>7455</v>
      </c>
      <c r="AK611" s="7">
        <v>45560</v>
      </c>
      <c r="AL611" s="1" t="s">
        <v>7455</v>
      </c>
    </row>
    <row r="612" spans="1:38" s="20" customFormat="1" x14ac:dyDescent="0.3">
      <c r="A612" s="14">
        <v>611</v>
      </c>
      <c r="B612" s="14" t="str">
        <f>_xlfn.CONCAT(AE612,"-",VLOOKUP(AE612,t_objeto!B:D,3,FALSE),"-",A612)</f>
        <v>RMAT-PERCCO-611</v>
      </c>
      <c r="C612" s="22" t="str">
        <f t="shared" si="99"/>
        <v>LAMINA_LISA__ACERO_ROLADA EN CALIENTE_5'X10'_14</v>
      </c>
      <c r="D612" s="14" t="s">
        <v>7412</v>
      </c>
      <c r="E612" s="14" t="s">
        <v>7385</v>
      </c>
      <c r="F612" s="21" t="s">
        <v>7391</v>
      </c>
      <c r="G612" s="22" t="s">
        <v>7387</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7356</v>
      </c>
      <c r="AF612" s="1" t="str">
        <f>VLOOKUP(AE612,t_objeto!B:C,2,FALSE)</f>
        <v>RAW_MATERIAL</v>
      </c>
      <c r="AG612" s="1">
        <v>8</v>
      </c>
      <c r="AH612" s="1" t="str">
        <f>VLOOKUP(AG612,t_entry_status!A:AE,2,FALSE)</f>
        <v>PENDING</v>
      </c>
      <c r="AI612" s="7">
        <v>45560</v>
      </c>
      <c r="AJ612" s="1" t="s">
        <v>7455</v>
      </c>
      <c r="AK612" s="7">
        <v>45560</v>
      </c>
      <c r="AL612" s="1" t="s">
        <v>7455</v>
      </c>
    </row>
    <row r="613" spans="1:38" s="20" customFormat="1" x14ac:dyDescent="0.3">
      <c r="A613" s="14">
        <v>612</v>
      </c>
      <c r="B613" s="14" t="str">
        <f>_xlfn.CONCAT(AE613,"-",VLOOKUP(AE613,t_objeto!B:D,3,FALSE),"-",A613)</f>
        <v>RMAT-PERCCO-612</v>
      </c>
      <c r="C613" s="22" t="str">
        <f t="shared" si="99"/>
        <v>LAMINA_LISA__ACERO_ROLADA EN CALIENTE_5'X10'_15</v>
      </c>
      <c r="D613" s="14" t="s">
        <v>7412</v>
      </c>
      <c r="E613" s="14" t="s">
        <v>7385</v>
      </c>
      <c r="F613" s="21" t="s">
        <v>7391</v>
      </c>
      <c r="G613" s="22" t="s">
        <v>7387</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7356</v>
      </c>
      <c r="AF613" s="1" t="str">
        <f>VLOOKUP(AE613,t_objeto!B:C,2,FALSE)</f>
        <v>RAW_MATERIAL</v>
      </c>
      <c r="AG613" s="1">
        <v>8</v>
      </c>
      <c r="AH613" s="1" t="str">
        <f>VLOOKUP(AG613,t_entry_status!A:AE,2,FALSE)</f>
        <v>PENDING</v>
      </c>
      <c r="AI613" s="7">
        <v>45560</v>
      </c>
      <c r="AJ613" s="1" t="s">
        <v>7455</v>
      </c>
      <c r="AK613" s="7">
        <v>45560</v>
      </c>
      <c r="AL613" s="1" t="s">
        <v>7455</v>
      </c>
    </row>
    <row r="614" spans="1:38" s="20" customFormat="1" x14ac:dyDescent="0.3">
      <c r="A614" s="14">
        <v>613</v>
      </c>
      <c r="B614" s="14" t="str">
        <f>_xlfn.CONCAT(AE614,"-",VLOOKUP(AE614,t_objeto!B:D,3,FALSE),"-",A614)</f>
        <v>RMAT-PERCCO-613</v>
      </c>
      <c r="C614" s="22" t="str">
        <f t="shared" si="99"/>
        <v>LAMINA_LISA__ACERO_ROLADA EN CALIENTE_5'X10'_16</v>
      </c>
      <c r="D614" s="14" t="s">
        <v>7412</v>
      </c>
      <c r="E614" s="14" t="s">
        <v>7385</v>
      </c>
      <c r="F614" s="21" t="s">
        <v>7391</v>
      </c>
      <c r="G614" s="22" t="s">
        <v>7387</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7356</v>
      </c>
      <c r="AF614" s="1" t="str">
        <f>VLOOKUP(AE614,t_objeto!B:C,2,FALSE)</f>
        <v>RAW_MATERIAL</v>
      </c>
      <c r="AG614" s="1">
        <v>8</v>
      </c>
      <c r="AH614" s="1" t="str">
        <f>VLOOKUP(AG614,t_entry_status!A:AE,2,FALSE)</f>
        <v>PENDING</v>
      </c>
      <c r="AI614" s="7">
        <v>45560</v>
      </c>
      <c r="AJ614" s="1" t="s">
        <v>7455</v>
      </c>
      <c r="AK614" s="7">
        <v>45560</v>
      </c>
      <c r="AL614" s="1" t="s">
        <v>7455</v>
      </c>
    </row>
    <row r="615" spans="1:38" s="20" customFormat="1" x14ac:dyDescent="0.3">
      <c r="A615" s="14">
        <v>614</v>
      </c>
      <c r="B615" s="14" t="str">
        <f>_xlfn.CONCAT(AE615,"-",VLOOKUP(AE615,t_objeto!B:D,3,FALSE),"-",A615)</f>
        <v>RMAT-PERCCO-614</v>
      </c>
      <c r="C615" s="22" t="str">
        <f t="shared" si="99"/>
        <v>LAMINA_LISA__ACERO_ROLADA EN CALIENTE_5'X10'_17</v>
      </c>
      <c r="D615" s="14" t="s">
        <v>7412</v>
      </c>
      <c r="E615" s="14" t="s">
        <v>7385</v>
      </c>
      <c r="F615" s="21" t="s">
        <v>7391</v>
      </c>
      <c r="G615" s="22" t="s">
        <v>7387</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7356</v>
      </c>
      <c r="AF615" s="1" t="str">
        <f>VLOOKUP(AE615,t_objeto!B:C,2,FALSE)</f>
        <v>RAW_MATERIAL</v>
      </c>
      <c r="AG615" s="1">
        <v>8</v>
      </c>
      <c r="AH615" s="1" t="str">
        <f>VLOOKUP(AG615,t_entry_status!A:AE,2,FALSE)</f>
        <v>PENDING</v>
      </c>
      <c r="AI615" s="7">
        <v>45560</v>
      </c>
      <c r="AJ615" s="1" t="s">
        <v>7455</v>
      </c>
      <c r="AK615" s="7">
        <v>45560</v>
      </c>
      <c r="AL615" s="1" t="s">
        <v>7455</v>
      </c>
    </row>
    <row r="616" spans="1:38" s="20" customFormat="1" x14ac:dyDescent="0.3">
      <c r="A616" s="14">
        <v>615</v>
      </c>
      <c r="B616" s="14" t="str">
        <f>_xlfn.CONCAT(AE616,"-",VLOOKUP(AE616,t_objeto!B:D,3,FALSE),"-",A616)</f>
        <v>RMAT-PERCCO-615</v>
      </c>
      <c r="C616" s="22" t="str">
        <f t="shared" si="99"/>
        <v>LAMINA_LISA__ACERO_ROLADA EN CALIENTE_5'X10'_18</v>
      </c>
      <c r="D616" s="14" t="s">
        <v>7412</v>
      </c>
      <c r="E616" s="14" t="s">
        <v>7385</v>
      </c>
      <c r="F616" s="21" t="s">
        <v>7391</v>
      </c>
      <c r="G616" s="22" t="s">
        <v>7387</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7356</v>
      </c>
      <c r="AF616" s="1" t="str">
        <f>VLOOKUP(AE616,t_objeto!B:C,2,FALSE)</f>
        <v>RAW_MATERIAL</v>
      </c>
      <c r="AG616" s="1">
        <v>8</v>
      </c>
      <c r="AH616" s="1" t="str">
        <f>VLOOKUP(AG616,t_entry_status!A:AE,2,FALSE)</f>
        <v>PENDING</v>
      </c>
      <c r="AI616" s="7">
        <v>45560</v>
      </c>
      <c r="AJ616" s="1" t="s">
        <v>7455</v>
      </c>
      <c r="AK616" s="7">
        <v>45560</v>
      </c>
      <c r="AL616" s="1" t="s">
        <v>7455</v>
      </c>
    </row>
    <row r="617" spans="1:38" s="20" customFormat="1" x14ac:dyDescent="0.3">
      <c r="A617" s="14">
        <v>616</v>
      </c>
      <c r="B617" s="14" t="str">
        <f>_xlfn.CONCAT(AE617,"-",VLOOKUP(AE617,t_objeto!B:D,3,FALSE),"-",A617)</f>
        <v>RMAT-PERCCO-616</v>
      </c>
      <c r="C617" s="22" t="str">
        <f t="shared" si="99"/>
        <v>LAMINA_LISA__ACERO_ROLADA EN CALIENTE_5'X10'_19</v>
      </c>
      <c r="D617" s="14" t="s">
        <v>7412</v>
      </c>
      <c r="E617" s="14" t="s">
        <v>7385</v>
      </c>
      <c r="F617" s="21" t="s">
        <v>7391</v>
      </c>
      <c r="G617" s="22" t="s">
        <v>7387</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7356</v>
      </c>
      <c r="AF617" s="1" t="str">
        <f>VLOOKUP(AE617,t_objeto!B:C,2,FALSE)</f>
        <v>RAW_MATERIAL</v>
      </c>
      <c r="AG617" s="1">
        <v>8</v>
      </c>
      <c r="AH617" s="1" t="str">
        <f>VLOOKUP(AG617,t_entry_status!A:AE,2,FALSE)</f>
        <v>PENDING</v>
      </c>
      <c r="AI617" s="7">
        <v>45560</v>
      </c>
      <c r="AJ617" s="1" t="s">
        <v>7455</v>
      </c>
      <c r="AK617" s="7">
        <v>45560</v>
      </c>
      <c r="AL617" s="1" t="s">
        <v>7455</v>
      </c>
    </row>
    <row r="618" spans="1:38" s="20" customFormat="1" x14ac:dyDescent="0.3">
      <c r="A618" s="14">
        <v>617</v>
      </c>
      <c r="B618" s="14" t="str">
        <f>_xlfn.CONCAT(AE618,"-",VLOOKUP(AE618,t_objeto!B:D,3,FALSE),"-",A618)</f>
        <v>RMAT-PERCCO-617</v>
      </c>
      <c r="C618" s="22" t="str">
        <f t="shared" si="99"/>
        <v>LAMINA_LISA__ACERO_ROLADA EN CALIENTE_5'X10'_20</v>
      </c>
      <c r="D618" s="14" t="s">
        <v>7412</v>
      </c>
      <c r="E618" s="14" t="s">
        <v>7385</v>
      </c>
      <c r="F618" s="21" t="s">
        <v>7391</v>
      </c>
      <c r="G618" s="22" t="s">
        <v>7387</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7356</v>
      </c>
      <c r="AF618" s="1" t="str">
        <f>VLOOKUP(AE618,t_objeto!B:C,2,FALSE)</f>
        <v>RAW_MATERIAL</v>
      </c>
      <c r="AG618" s="1">
        <v>8</v>
      </c>
      <c r="AH618" s="1" t="str">
        <f>VLOOKUP(AG618,t_entry_status!A:AE,2,FALSE)</f>
        <v>PENDING</v>
      </c>
      <c r="AI618" s="7">
        <v>45560</v>
      </c>
      <c r="AJ618" s="1" t="s">
        <v>7455</v>
      </c>
      <c r="AK618" s="7">
        <v>45560</v>
      </c>
      <c r="AL618" s="1" t="s">
        <v>7455</v>
      </c>
    </row>
    <row r="619" spans="1:38" s="20" customFormat="1" x14ac:dyDescent="0.3">
      <c r="A619" s="14">
        <v>618</v>
      </c>
      <c r="B619" s="14" t="str">
        <f>_xlfn.CONCAT(AE619,"-",VLOOKUP(AE619,t_objeto!B:D,3,FALSE),"-",A619)</f>
        <v>RMAT-PERCCO-618</v>
      </c>
      <c r="C619" s="22" t="str">
        <f t="shared" si="99"/>
        <v>LAMINA_LISA__ACERO_ROLADA EN CALIENTE_5'X10'_21</v>
      </c>
      <c r="D619" s="14" t="s">
        <v>7412</v>
      </c>
      <c r="E619" s="14" t="s">
        <v>7385</v>
      </c>
      <c r="F619" s="21" t="s">
        <v>7391</v>
      </c>
      <c r="G619" s="22" t="s">
        <v>7387</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7356</v>
      </c>
      <c r="AF619" s="1" t="str">
        <f>VLOOKUP(AE619,t_objeto!B:C,2,FALSE)</f>
        <v>RAW_MATERIAL</v>
      </c>
      <c r="AG619" s="1">
        <v>8</v>
      </c>
      <c r="AH619" s="1" t="str">
        <f>VLOOKUP(AG619,t_entry_status!A:AE,2,FALSE)</f>
        <v>PENDING</v>
      </c>
      <c r="AI619" s="7">
        <v>45560</v>
      </c>
      <c r="AJ619" s="1" t="s">
        <v>7455</v>
      </c>
      <c r="AK619" s="7">
        <v>45560</v>
      </c>
      <c r="AL619" s="1" t="s">
        <v>7455</v>
      </c>
    </row>
    <row r="620" spans="1:38" s="20" customFormat="1" x14ac:dyDescent="0.3">
      <c r="A620" s="14">
        <v>619</v>
      </c>
      <c r="B620" s="14" t="str">
        <f>_xlfn.CONCAT(AE620,"-",VLOOKUP(AE620,t_objeto!B:D,3,FALSE),"-",A620)</f>
        <v>RMAT-PERCCO-619</v>
      </c>
      <c r="C620" s="22" t="str">
        <f t="shared" si="99"/>
        <v>LAMINA_LISA__ACERO_ROLADA EN CALIENTE_5'X10'_22</v>
      </c>
      <c r="D620" s="14" t="s">
        <v>7412</v>
      </c>
      <c r="E620" s="14" t="s">
        <v>7385</v>
      </c>
      <c r="F620" s="21" t="s">
        <v>7391</v>
      </c>
      <c r="G620" s="22" t="s">
        <v>7387</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7356</v>
      </c>
      <c r="AF620" s="1" t="str">
        <f>VLOOKUP(AE620,t_objeto!B:C,2,FALSE)</f>
        <v>RAW_MATERIAL</v>
      </c>
      <c r="AG620" s="1">
        <v>8</v>
      </c>
      <c r="AH620" s="1" t="str">
        <f>VLOOKUP(AG620,t_entry_status!A:AE,2,FALSE)</f>
        <v>PENDING</v>
      </c>
      <c r="AI620" s="7">
        <v>45560</v>
      </c>
      <c r="AJ620" s="1" t="s">
        <v>7455</v>
      </c>
      <c r="AK620" s="7">
        <v>45560</v>
      </c>
      <c r="AL620" s="1" t="s">
        <v>7455</v>
      </c>
    </row>
    <row r="621" spans="1:38" s="20" customFormat="1" x14ac:dyDescent="0.3">
      <c r="A621" s="14">
        <v>620</v>
      </c>
      <c r="B621" s="14" t="str">
        <f>_xlfn.CONCAT(AE621,"-",VLOOKUP(AE621,t_objeto!B:D,3,FALSE),"-",A621)</f>
        <v>RMAT-PERCCO-620</v>
      </c>
      <c r="C621" s="22" t="str">
        <f t="shared" si="99"/>
        <v>LAMINA_LISA__ACERO_ROLADA EN CALIENTE_5'X10'_23</v>
      </c>
      <c r="D621" s="14" t="s">
        <v>7412</v>
      </c>
      <c r="E621" s="14" t="s">
        <v>7385</v>
      </c>
      <c r="F621" s="21" t="s">
        <v>7391</v>
      </c>
      <c r="G621" s="22" t="s">
        <v>7387</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7356</v>
      </c>
      <c r="AF621" s="1" t="str">
        <f>VLOOKUP(AE621,t_objeto!B:C,2,FALSE)</f>
        <v>RAW_MATERIAL</v>
      </c>
      <c r="AG621" s="1">
        <v>8</v>
      </c>
      <c r="AH621" s="1" t="str">
        <f>VLOOKUP(AG621,t_entry_status!A:AE,2,FALSE)</f>
        <v>PENDING</v>
      </c>
      <c r="AI621" s="7">
        <v>45560</v>
      </c>
      <c r="AJ621" s="1" t="s">
        <v>7455</v>
      </c>
      <c r="AK621" s="7">
        <v>45560</v>
      </c>
      <c r="AL621" s="1" t="s">
        <v>7455</v>
      </c>
    </row>
    <row r="622" spans="1:38" s="20" customFormat="1" x14ac:dyDescent="0.3">
      <c r="A622" s="14">
        <v>621</v>
      </c>
      <c r="B622" s="14" t="str">
        <f>_xlfn.CONCAT(AE622,"-",VLOOKUP(AE622,t_objeto!B:D,3,FALSE),"-",A622)</f>
        <v>RMAT-PERCCO-621</v>
      </c>
      <c r="C622" s="22" t="str">
        <f t="shared" si="99"/>
        <v>LAMINA_LISA__ACERO_ROLADA EN CALIENTE_5'X10'_24</v>
      </c>
      <c r="D622" s="14" t="s">
        <v>7412</v>
      </c>
      <c r="E622" s="14" t="s">
        <v>7385</v>
      </c>
      <c r="F622" s="21" t="s">
        <v>7391</v>
      </c>
      <c r="G622" s="22" t="s">
        <v>7387</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7356</v>
      </c>
      <c r="AF622" s="1" t="str">
        <f>VLOOKUP(AE622,t_objeto!B:C,2,FALSE)</f>
        <v>RAW_MATERIAL</v>
      </c>
      <c r="AG622" s="1">
        <v>8</v>
      </c>
      <c r="AH622" s="1" t="str">
        <f>VLOOKUP(AG622,t_entry_status!A:AE,2,FALSE)</f>
        <v>PENDING</v>
      </c>
      <c r="AI622" s="7">
        <v>45560</v>
      </c>
      <c r="AJ622" s="1" t="s">
        <v>7455</v>
      </c>
      <c r="AK622" s="7">
        <v>45560</v>
      </c>
      <c r="AL622" s="1" t="s">
        <v>7455</v>
      </c>
    </row>
    <row r="623" spans="1:38" s="20" customFormat="1" x14ac:dyDescent="0.3">
      <c r="A623" s="14">
        <v>622</v>
      </c>
      <c r="B623" s="14" t="str">
        <f>_xlfn.CONCAT(AE623,"-",VLOOKUP(AE623,t_objeto!B:D,3,FALSE),"-",A623)</f>
        <v>RMAT-PERCCO-622</v>
      </c>
      <c r="C623" s="22" t="str">
        <f t="shared" si="99"/>
        <v>LAMINA_LISA__ACERO_ROLADA EN CALIENTE_5'X10'_25</v>
      </c>
      <c r="D623" s="14" t="s">
        <v>7412</v>
      </c>
      <c r="E623" s="14" t="s">
        <v>7385</v>
      </c>
      <c r="F623" s="21" t="s">
        <v>7391</v>
      </c>
      <c r="G623" s="22" t="s">
        <v>7387</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7356</v>
      </c>
      <c r="AF623" s="1" t="str">
        <f>VLOOKUP(AE623,t_objeto!B:C,2,FALSE)</f>
        <v>RAW_MATERIAL</v>
      </c>
      <c r="AG623" s="1">
        <v>8</v>
      </c>
      <c r="AH623" s="1" t="str">
        <f>VLOOKUP(AG623,t_entry_status!A:AE,2,FALSE)</f>
        <v>PENDING</v>
      </c>
      <c r="AI623" s="7">
        <v>45560</v>
      </c>
      <c r="AJ623" s="1" t="s">
        <v>7455</v>
      </c>
      <c r="AK623" s="7">
        <v>45560</v>
      </c>
      <c r="AL623" s="1" t="s">
        <v>7455</v>
      </c>
    </row>
    <row r="624" spans="1:38" s="20" customFormat="1" x14ac:dyDescent="0.3">
      <c r="A624" s="14">
        <v>623</v>
      </c>
      <c r="B624" s="14" t="str">
        <f>_xlfn.CONCAT(AE624,"-",VLOOKUP(AE624,t_objeto!B:D,3,FALSE),"-",A624)</f>
        <v>RMAT-PERCCO-623</v>
      </c>
      <c r="C624" s="22" t="str">
        <f t="shared" si="99"/>
        <v>LAMINA_LISA__ACERO_ROLADA EN CALIENTE_5'X10'_26</v>
      </c>
      <c r="D624" s="14" t="s">
        <v>7412</v>
      </c>
      <c r="E624" s="14" t="s">
        <v>7385</v>
      </c>
      <c r="F624" s="21" t="s">
        <v>7391</v>
      </c>
      <c r="G624" s="22" t="s">
        <v>7387</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7356</v>
      </c>
      <c r="AF624" s="1" t="str">
        <f>VLOOKUP(AE624,t_objeto!B:C,2,FALSE)</f>
        <v>RAW_MATERIAL</v>
      </c>
      <c r="AG624" s="1">
        <v>8</v>
      </c>
      <c r="AH624" s="1" t="str">
        <f>VLOOKUP(AG624,t_entry_status!A:AE,2,FALSE)</f>
        <v>PENDING</v>
      </c>
      <c r="AI624" s="7">
        <v>45560</v>
      </c>
      <c r="AJ624" s="1" t="s">
        <v>7455</v>
      </c>
      <c r="AK624" s="7">
        <v>45560</v>
      </c>
      <c r="AL624" s="1" t="s">
        <v>7455</v>
      </c>
    </row>
    <row r="625" spans="1:38" s="20" customFormat="1" x14ac:dyDescent="0.3">
      <c r="A625" s="14">
        <v>624</v>
      </c>
      <c r="B625" s="14" t="str">
        <f>_xlfn.CONCAT(AE625,"-",VLOOKUP(AE625,t_objeto!B:D,3,FALSE),"-",A625)</f>
        <v>RMAT-PERCCO-624</v>
      </c>
      <c r="C625" s="22" t="str">
        <f t="shared" si="99"/>
        <v>LAMINA_LISA__ACERO_ROLADA EN CALIENTE_5'X10'_27</v>
      </c>
      <c r="D625" s="14" t="s">
        <v>7412</v>
      </c>
      <c r="E625" s="14" t="s">
        <v>7385</v>
      </c>
      <c r="F625" s="21" t="s">
        <v>7391</v>
      </c>
      <c r="G625" s="22" t="s">
        <v>7387</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7356</v>
      </c>
      <c r="AF625" s="1" t="str">
        <f>VLOOKUP(AE625,t_objeto!B:C,2,FALSE)</f>
        <v>RAW_MATERIAL</v>
      </c>
      <c r="AG625" s="1">
        <v>8</v>
      </c>
      <c r="AH625" s="1" t="str">
        <f>VLOOKUP(AG625,t_entry_status!A:AE,2,FALSE)</f>
        <v>PENDING</v>
      </c>
      <c r="AI625" s="7">
        <v>45560</v>
      </c>
      <c r="AJ625" s="1" t="s">
        <v>7455</v>
      </c>
      <c r="AK625" s="7">
        <v>45560</v>
      </c>
      <c r="AL625" s="1" t="s">
        <v>7455</v>
      </c>
    </row>
    <row r="626" spans="1:38" s="20" customFormat="1" x14ac:dyDescent="0.3">
      <c r="A626" s="14">
        <v>625</v>
      </c>
      <c r="B626" s="14" t="str">
        <f>_xlfn.CONCAT(AE626,"-",VLOOKUP(AE626,t_objeto!B:D,3,FALSE),"-",A626)</f>
        <v>RMAT-PERCCO-625</v>
      </c>
      <c r="C626" s="22" t="str">
        <f t="shared" si="99"/>
        <v>LAMINA_LISA__ACERO_ROLADA EN CALIENTE_5'X10'_28</v>
      </c>
      <c r="D626" s="14" t="s">
        <v>7412</v>
      </c>
      <c r="E626" s="14" t="s">
        <v>7385</v>
      </c>
      <c r="F626" s="21" t="s">
        <v>7391</v>
      </c>
      <c r="G626" s="22" t="s">
        <v>7387</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7356</v>
      </c>
      <c r="AF626" s="1" t="str">
        <f>VLOOKUP(AE626,t_objeto!B:C,2,FALSE)</f>
        <v>RAW_MATERIAL</v>
      </c>
      <c r="AG626" s="1">
        <v>8</v>
      </c>
      <c r="AH626" s="1" t="str">
        <f>VLOOKUP(AG626,t_entry_status!A:AE,2,FALSE)</f>
        <v>PENDING</v>
      </c>
      <c r="AI626" s="7">
        <v>45560</v>
      </c>
      <c r="AJ626" s="1" t="s">
        <v>7455</v>
      </c>
      <c r="AK626" s="7">
        <v>45560</v>
      </c>
      <c r="AL626" s="1" t="s">
        <v>7455</v>
      </c>
    </row>
    <row r="627" spans="1:38" s="20" customFormat="1" x14ac:dyDescent="0.3">
      <c r="A627" s="14">
        <v>626</v>
      </c>
      <c r="B627" s="14" t="str">
        <f>_xlfn.CONCAT(AE627,"-",VLOOKUP(AE627,t_objeto!B:D,3,FALSE),"-",A627)</f>
        <v>RMAT-PERCCO-626</v>
      </c>
      <c r="C627" s="22" t="str">
        <f t="shared" si="99"/>
        <v>LAMINA_LISA__ACERO_ROLADA EN CALIENTE_5'X10'_29</v>
      </c>
      <c r="D627" s="14" t="s">
        <v>7412</v>
      </c>
      <c r="E627" s="14" t="s">
        <v>7385</v>
      </c>
      <c r="F627" s="21" t="s">
        <v>7391</v>
      </c>
      <c r="G627" s="22" t="s">
        <v>7387</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7356</v>
      </c>
      <c r="AF627" s="1" t="str">
        <f>VLOOKUP(AE627,t_objeto!B:C,2,FALSE)</f>
        <v>RAW_MATERIAL</v>
      </c>
      <c r="AG627" s="1">
        <v>8</v>
      </c>
      <c r="AH627" s="1" t="str">
        <f>VLOOKUP(AG627,t_entry_status!A:AE,2,FALSE)</f>
        <v>PENDING</v>
      </c>
      <c r="AI627" s="7">
        <v>45560</v>
      </c>
      <c r="AJ627" s="1" t="s">
        <v>7455</v>
      </c>
      <c r="AK627" s="7">
        <v>45560</v>
      </c>
      <c r="AL627" s="1" t="s">
        <v>7455</v>
      </c>
    </row>
    <row r="628" spans="1:38" s="20" customFormat="1" x14ac:dyDescent="0.3">
      <c r="A628" s="14">
        <v>627</v>
      </c>
      <c r="B628" s="14" t="str">
        <f>_xlfn.CONCAT(AE628,"-",VLOOKUP(AE628,t_objeto!B:D,3,FALSE),"-",A628)</f>
        <v>RMAT-PERCCO-627</v>
      </c>
      <c r="C628" s="22" t="str">
        <f t="shared" si="99"/>
        <v>LAMINA_LISA__ACERO_ROLADA EN CALIENTE_5'X10'_30</v>
      </c>
      <c r="D628" s="14" t="s">
        <v>7412</v>
      </c>
      <c r="E628" s="14" t="s">
        <v>7385</v>
      </c>
      <c r="F628" s="21" t="s">
        <v>7391</v>
      </c>
      <c r="G628" s="22" t="s">
        <v>7387</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7356</v>
      </c>
      <c r="AF628" s="1" t="str">
        <f>VLOOKUP(AE628,t_objeto!B:C,2,FALSE)</f>
        <v>RAW_MATERIAL</v>
      </c>
      <c r="AG628" s="1">
        <v>8</v>
      </c>
      <c r="AH628" s="1" t="str">
        <f>VLOOKUP(AG628,t_entry_status!A:AE,2,FALSE)</f>
        <v>PENDING</v>
      </c>
      <c r="AI628" s="7">
        <v>45560</v>
      </c>
      <c r="AJ628" s="1" t="s">
        <v>7455</v>
      </c>
      <c r="AK628" s="7">
        <v>45560</v>
      </c>
      <c r="AL628" s="1" t="s">
        <v>7455</v>
      </c>
    </row>
    <row r="629" spans="1:38" s="20" customFormat="1" x14ac:dyDescent="0.3">
      <c r="A629" s="14">
        <v>628</v>
      </c>
      <c r="B629" s="14" t="str">
        <f>_xlfn.CONCAT(AE629,"-",VLOOKUP(AE629,t_objeto!B:D,3,FALSE),"-",A629)</f>
        <v>RMAT-PERCCO-628</v>
      </c>
      <c r="C629" s="22" t="str">
        <f t="shared" si="99"/>
        <v>PLACA__ACERO_ROLADA EN FRIO_5'X10'_1"</v>
      </c>
      <c r="D629" s="14" t="s">
        <v>7390</v>
      </c>
      <c r="E629" s="14" t="s">
        <v>7385</v>
      </c>
      <c r="F629" s="21" t="s">
        <v>7405</v>
      </c>
      <c r="G629" s="22" t="s">
        <v>7387</v>
      </c>
      <c r="H629" s="14" t="s">
        <v>7392</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7356</v>
      </c>
      <c r="AF629" s="1" t="str">
        <f>VLOOKUP(AE629,t_objeto!B:C,2,FALSE)</f>
        <v>RAW_MATERIAL</v>
      </c>
      <c r="AG629" s="1">
        <v>8</v>
      </c>
      <c r="AH629" s="1" t="str">
        <f>VLOOKUP(AG629,t_entry_status!A:AE,2,FALSE)</f>
        <v>PENDING</v>
      </c>
      <c r="AI629" s="7">
        <v>45560</v>
      </c>
      <c r="AJ629" s="1" t="s">
        <v>7455</v>
      </c>
      <c r="AK629" s="7">
        <v>45560</v>
      </c>
      <c r="AL629" s="1" t="s">
        <v>7455</v>
      </c>
    </row>
    <row r="630" spans="1:38" s="20" customFormat="1" x14ac:dyDescent="0.3">
      <c r="A630" s="14">
        <v>629</v>
      </c>
      <c r="B630" s="14" t="str">
        <f>_xlfn.CONCAT(AE630,"-",VLOOKUP(AE630,t_objeto!B:D,3,FALSE),"-",A630)</f>
        <v>RMAT-PERCCO-629</v>
      </c>
      <c r="C630" s="22" t="str">
        <f t="shared" si="99"/>
        <v>PLACA__ACERO_ROLADA EN FRIO_5'X10'_7/8"</v>
      </c>
      <c r="D630" s="14" t="s">
        <v>7390</v>
      </c>
      <c r="E630" s="14" t="s">
        <v>7385</v>
      </c>
      <c r="F630" s="21" t="s">
        <v>7405</v>
      </c>
      <c r="G630" s="22" t="s">
        <v>7387</v>
      </c>
      <c r="H630" s="14" t="s">
        <v>7393</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7356</v>
      </c>
      <c r="AF630" s="1" t="str">
        <f>VLOOKUP(AE630,t_objeto!B:C,2,FALSE)</f>
        <v>RAW_MATERIAL</v>
      </c>
      <c r="AG630" s="1">
        <v>8</v>
      </c>
      <c r="AH630" s="1" t="str">
        <f>VLOOKUP(AG630,t_entry_status!A:AE,2,FALSE)</f>
        <v>PENDING</v>
      </c>
      <c r="AI630" s="7">
        <v>45560</v>
      </c>
      <c r="AJ630" s="1" t="s">
        <v>7455</v>
      </c>
      <c r="AK630" s="7">
        <v>45560</v>
      </c>
      <c r="AL630" s="1" t="s">
        <v>7455</v>
      </c>
    </row>
    <row r="631" spans="1:38" s="20" customFormat="1" x14ac:dyDescent="0.3">
      <c r="A631" s="14">
        <v>630</v>
      </c>
      <c r="B631" s="14" t="str">
        <f>_xlfn.CONCAT(AE631,"-",VLOOKUP(AE631,t_objeto!B:D,3,FALSE),"-",A631)</f>
        <v>RMAT-PERCCO-630</v>
      </c>
      <c r="C631" s="22" t="str">
        <f t="shared" si="99"/>
        <v>PLACA__ACERO_ROLADA EN FRIO_5'X10'_3/4"</v>
      </c>
      <c r="D631" s="14" t="s">
        <v>7390</v>
      </c>
      <c r="E631" s="14" t="s">
        <v>7385</v>
      </c>
      <c r="F631" s="21" t="s">
        <v>7405</v>
      </c>
      <c r="G631" s="22" t="s">
        <v>7387</v>
      </c>
      <c r="H631" s="14" t="s">
        <v>7394</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7356</v>
      </c>
      <c r="AF631" s="1" t="str">
        <f>VLOOKUP(AE631,t_objeto!B:C,2,FALSE)</f>
        <v>RAW_MATERIAL</v>
      </c>
      <c r="AG631" s="1">
        <v>8</v>
      </c>
      <c r="AH631" s="1" t="str">
        <f>VLOOKUP(AG631,t_entry_status!A:AE,2,FALSE)</f>
        <v>PENDING</v>
      </c>
      <c r="AI631" s="7">
        <v>45560</v>
      </c>
      <c r="AJ631" s="1" t="s">
        <v>7455</v>
      </c>
      <c r="AK631" s="7">
        <v>45560</v>
      </c>
      <c r="AL631" s="1" t="s">
        <v>7455</v>
      </c>
    </row>
    <row r="632" spans="1:38" s="20" customFormat="1" x14ac:dyDescent="0.3">
      <c r="A632" s="14">
        <v>631</v>
      </c>
      <c r="B632" s="14" t="str">
        <f>_xlfn.CONCAT(AE632,"-",VLOOKUP(AE632,t_objeto!B:D,3,FALSE),"-",A632)</f>
        <v>RMAT-PERCCO-631</v>
      </c>
      <c r="C632" s="22" t="str">
        <f t="shared" si="99"/>
        <v>PLACA__ACERO_ROLADA EN FRIO_5'X10'_11/16"</v>
      </c>
      <c r="D632" s="14" t="s">
        <v>7390</v>
      </c>
      <c r="E632" s="14" t="s">
        <v>7385</v>
      </c>
      <c r="F632" s="21" t="s">
        <v>7405</v>
      </c>
      <c r="G632" s="22" t="s">
        <v>7387</v>
      </c>
      <c r="H632" s="14" t="s">
        <v>7395</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7356</v>
      </c>
      <c r="AF632" s="1" t="str">
        <f>VLOOKUP(AE632,t_objeto!B:C,2,FALSE)</f>
        <v>RAW_MATERIAL</v>
      </c>
      <c r="AG632" s="1">
        <v>8</v>
      </c>
      <c r="AH632" s="1" t="str">
        <f>VLOOKUP(AG632,t_entry_status!A:AE,2,FALSE)</f>
        <v>PENDING</v>
      </c>
      <c r="AI632" s="7">
        <v>45560</v>
      </c>
      <c r="AJ632" s="1" t="s">
        <v>7455</v>
      </c>
      <c r="AK632" s="7">
        <v>45560</v>
      </c>
      <c r="AL632" s="1" t="s">
        <v>7455</v>
      </c>
    </row>
    <row r="633" spans="1:38" s="20" customFormat="1" x14ac:dyDescent="0.3">
      <c r="A633" s="14">
        <v>632</v>
      </c>
      <c r="B633" s="14" t="str">
        <f>_xlfn.CONCAT(AE633,"-",VLOOKUP(AE633,t_objeto!B:D,3,FALSE),"-",A633)</f>
        <v>RMAT-PERCCO-632</v>
      </c>
      <c r="C633" s="22" t="str">
        <f t="shared" si="99"/>
        <v>PLACA__ACERO_ROLADA EN FRIO_5'X10'_5/8"</v>
      </c>
      <c r="D633" s="14" t="s">
        <v>7390</v>
      </c>
      <c r="E633" s="14" t="s">
        <v>7385</v>
      </c>
      <c r="F633" s="21" t="s">
        <v>7405</v>
      </c>
      <c r="G633" s="22" t="s">
        <v>7387</v>
      </c>
      <c r="H633" s="14" t="s">
        <v>7396</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7356</v>
      </c>
      <c r="AF633" s="1" t="str">
        <f>VLOOKUP(AE633,t_objeto!B:C,2,FALSE)</f>
        <v>RAW_MATERIAL</v>
      </c>
      <c r="AG633" s="1">
        <v>8</v>
      </c>
      <c r="AH633" s="1" t="str">
        <f>VLOOKUP(AG633,t_entry_status!A:AE,2,FALSE)</f>
        <v>PENDING</v>
      </c>
      <c r="AI633" s="7">
        <v>45560</v>
      </c>
      <c r="AJ633" s="1" t="s">
        <v>7455</v>
      </c>
      <c r="AK633" s="7">
        <v>45560</v>
      </c>
      <c r="AL633" s="1" t="s">
        <v>7455</v>
      </c>
    </row>
    <row r="634" spans="1:38" s="20" customFormat="1" x14ac:dyDescent="0.3">
      <c r="A634" s="14">
        <v>633</v>
      </c>
      <c r="B634" s="14" t="str">
        <f>_xlfn.CONCAT(AE634,"-",VLOOKUP(AE634,t_objeto!B:D,3,FALSE),"-",A634)</f>
        <v>RMAT-PERCCO-633</v>
      </c>
      <c r="C634" s="22" t="str">
        <f t="shared" si="99"/>
        <v>PLACA__ACERO_ROLADA EN FRIO_5'X10'_9/16"</v>
      </c>
      <c r="D634" s="14" t="s">
        <v>7390</v>
      </c>
      <c r="E634" s="14" t="s">
        <v>7385</v>
      </c>
      <c r="F634" s="21" t="s">
        <v>7405</v>
      </c>
      <c r="G634" s="22" t="s">
        <v>7387</v>
      </c>
      <c r="H634" s="14" t="s">
        <v>7397</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7356</v>
      </c>
      <c r="AF634" s="1" t="str">
        <f>VLOOKUP(AE634,t_objeto!B:C,2,FALSE)</f>
        <v>RAW_MATERIAL</v>
      </c>
      <c r="AG634" s="1">
        <v>8</v>
      </c>
      <c r="AH634" s="1" t="str">
        <f>VLOOKUP(AG634,t_entry_status!A:AE,2,FALSE)</f>
        <v>PENDING</v>
      </c>
      <c r="AI634" s="7">
        <v>45560</v>
      </c>
      <c r="AJ634" s="1" t="s">
        <v>7455</v>
      </c>
      <c r="AK634" s="7">
        <v>45560</v>
      </c>
      <c r="AL634" s="1" t="s">
        <v>7455</v>
      </c>
    </row>
    <row r="635" spans="1:38" s="20" customFormat="1" x14ac:dyDescent="0.3">
      <c r="A635" s="14">
        <v>634</v>
      </c>
      <c r="B635" s="14" t="str">
        <f>_xlfn.CONCAT(AE635,"-",VLOOKUP(AE635,t_objeto!B:D,3,FALSE),"-",A635)</f>
        <v>RMAT-PERCCO-634</v>
      </c>
      <c r="C635" s="22" t="str">
        <f t="shared" si="99"/>
        <v>PLACA__ACERO_ROLADA EN FRIO_5'X10'_1/2"</v>
      </c>
      <c r="D635" s="14" t="s">
        <v>7390</v>
      </c>
      <c r="E635" s="14" t="s">
        <v>7385</v>
      </c>
      <c r="F635" s="21" t="s">
        <v>7405</v>
      </c>
      <c r="G635" s="22" t="s">
        <v>7387</v>
      </c>
      <c r="H635" s="14" t="s">
        <v>7398</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7356</v>
      </c>
      <c r="AF635" s="1" t="str">
        <f>VLOOKUP(AE635,t_objeto!B:C,2,FALSE)</f>
        <v>RAW_MATERIAL</v>
      </c>
      <c r="AG635" s="1">
        <v>8</v>
      </c>
      <c r="AH635" s="1" t="str">
        <f>VLOOKUP(AG635,t_entry_status!A:AE,2,FALSE)</f>
        <v>PENDING</v>
      </c>
      <c r="AI635" s="7">
        <v>45560</v>
      </c>
      <c r="AJ635" s="1" t="s">
        <v>7455</v>
      </c>
      <c r="AK635" s="7">
        <v>45560</v>
      </c>
      <c r="AL635" s="1" t="s">
        <v>7455</v>
      </c>
    </row>
    <row r="636" spans="1:38" s="20" customFormat="1" x14ac:dyDescent="0.3">
      <c r="A636" s="14">
        <v>635</v>
      </c>
      <c r="B636" s="14" t="str">
        <f>_xlfn.CONCAT(AE636,"-",VLOOKUP(AE636,t_objeto!B:D,3,FALSE),"-",A636)</f>
        <v>RMAT-PERCCO-635</v>
      </c>
      <c r="C636" s="22" t="str">
        <f t="shared" si="99"/>
        <v>PLACA__ACERO_ROLADA EN FRIO_5'X10'_7/16"</v>
      </c>
      <c r="D636" s="14" t="s">
        <v>7390</v>
      </c>
      <c r="E636" s="14" t="s">
        <v>7385</v>
      </c>
      <c r="F636" s="21" t="s">
        <v>7405</v>
      </c>
      <c r="G636" s="22" t="s">
        <v>7387</v>
      </c>
      <c r="H636" s="14" t="s">
        <v>7399</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7356</v>
      </c>
      <c r="AF636" s="1" t="str">
        <f>VLOOKUP(AE636,t_objeto!B:C,2,FALSE)</f>
        <v>RAW_MATERIAL</v>
      </c>
      <c r="AG636" s="1">
        <v>8</v>
      </c>
      <c r="AH636" s="1" t="str">
        <f>VLOOKUP(AG636,t_entry_status!A:AE,2,FALSE)</f>
        <v>PENDING</v>
      </c>
      <c r="AI636" s="7">
        <v>45560</v>
      </c>
      <c r="AJ636" s="1" t="s">
        <v>7455</v>
      </c>
      <c r="AK636" s="7">
        <v>45560</v>
      </c>
      <c r="AL636" s="1" t="s">
        <v>7455</v>
      </c>
    </row>
    <row r="637" spans="1:38" s="20" customFormat="1" x14ac:dyDescent="0.3">
      <c r="A637" s="14">
        <v>636</v>
      </c>
      <c r="B637" s="14" t="str">
        <f>_xlfn.CONCAT(AE637,"-",VLOOKUP(AE637,t_objeto!B:D,3,FALSE),"-",A637)</f>
        <v>RMAT-PERCCO-636</v>
      </c>
      <c r="C637" s="22" t="str">
        <f t="shared" si="99"/>
        <v>PLACA__ACERO_ROLADA EN FRIO_5'X10'_3/8"</v>
      </c>
      <c r="D637" s="14" t="s">
        <v>7390</v>
      </c>
      <c r="E637" s="14" t="s">
        <v>7385</v>
      </c>
      <c r="F637" s="21" t="s">
        <v>7405</v>
      </c>
      <c r="G637" s="22" t="s">
        <v>7387</v>
      </c>
      <c r="H637" s="14" t="s">
        <v>7400</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7356</v>
      </c>
      <c r="AF637" s="1" t="str">
        <f>VLOOKUP(AE637,t_objeto!B:C,2,FALSE)</f>
        <v>RAW_MATERIAL</v>
      </c>
      <c r="AG637" s="1">
        <v>8</v>
      </c>
      <c r="AH637" s="1" t="str">
        <f>VLOOKUP(AG637,t_entry_status!A:AE,2,FALSE)</f>
        <v>PENDING</v>
      </c>
      <c r="AI637" s="7">
        <v>45560</v>
      </c>
      <c r="AJ637" s="1" t="s">
        <v>7455</v>
      </c>
      <c r="AK637" s="7">
        <v>45560</v>
      </c>
      <c r="AL637" s="1" t="s">
        <v>7455</v>
      </c>
    </row>
    <row r="638" spans="1:38" s="20" customFormat="1" x14ac:dyDescent="0.3">
      <c r="A638" s="14">
        <v>637</v>
      </c>
      <c r="B638" s="14" t="str">
        <f>_xlfn.CONCAT(AE638,"-",VLOOKUP(AE638,t_objeto!B:D,3,FALSE),"-",A638)</f>
        <v>RMAT-PERCCO-637</v>
      </c>
      <c r="C638" s="22" t="str">
        <f t="shared" si="99"/>
        <v>PLACA__ACERO_ROLADA EN FRIO_5'X10'_5/16"</v>
      </c>
      <c r="D638" s="14" t="s">
        <v>7390</v>
      </c>
      <c r="E638" s="14" t="s">
        <v>7385</v>
      </c>
      <c r="F638" s="21" t="s">
        <v>7405</v>
      </c>
      <c r="G638" s="22" t="s">
        <v>7387</v>
      </c>
      <c r="H638" s="14" t="s">
        <v>7401</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7356</v>
      </c>
      <c r="AF638" s="1" t="str">
        <f>VLOOKUP(AE638,t_objeto!B:C,2,FALSE)</f>
        <v>RAW_MATERIAL</v>
      </c>
      <c r="AG638" s="1">
        <v>8</v>
      </c>
      <c r="AH638" s="1" t="str">
        <f>VLOOKUP(AG638,t_entry_status!A:AE,2,FALSE)</f>
        <v>PENDING</v>
      </c>
      <c r="AI638" s="7">
        <v>45560</v>
      </c>
      <c r="AJ638" s="1" t="s">
        <v>7455</v>
      </c>
      <c r="AK638" s="7">
        <v>45560</v>
      </c>
      <c r="AL638" s="1" t="s">
        <v>7455</v>
      </c>
    </row>
    <row r="639" spans="1:38" s="20" customFormat="1" x14ac:dyDescent="0.3">
      <c r="A639" s="14">
        <v>638</v>
      </c>
      <c r="B639" s="14" t="str">
        <f>_xlfn.CONCAT(AE639,"-",VLOOKUP(AE639,t_objeto!B:D,3,FALSE),"-",A639)</f>
        <v>RMAT-PERCCO-638</v>
      </c>
      <c r="C639" s="22" t="str">
        <f t="shared" si="99"/>
        <v>PLACA__ACERO_ROLADA EN FRIO_5'X10'_1/4"</v>
      </c>
      <c r="D639" s="14" t="s">
        <v>7390</v>
      </c>
      <c r="E639" s="14" t="s">
        <v>7385</v>
      </c>
      <c r="F639" s="21" t="s">
        <v>7405</v>
      </c>
      <c r="G639" s="22" t="s">
        <v>7387</v>
      </c>
      <c r="H639" s="14" t="s">
        <v>7402</v>
      </c>
      <c r="I639" s="16">
        <v>6.35</v>
      </c>
      <c r="J639" s="16">
        <f t="shared" si="101"/>
        <v>0.25</v>
      </c>
      <c r="K639" s="16">
        <v>49.847999999999999</v>
      </c>
      <c r="L639" s="23">
        <v>1.2</v>
      </c>
      <c r="M639" s="23">
        <v>0.6</v>
      </c>
      <c r="N639" s="23"/>
      <c r="O639" s="23"/>
      <c r="P639" s="23"/>
      <c r="Q639" s="19" t="s">
        <v>7406</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7356</v>
      </c>
      <c r="AF639" s="1" t="str">
        <f>VLOOKUP(AE639,t_objeto!B:C,2,FALSE)</f>
        <v>RAW_MATERIAL</v>
      </c>
      <c r="AG639" s="1">
        <v>8</v>
      </c>
      <c r="AH639" s="1" t="str">
        <f>VLOOKUP(AG639,t_entry_status!A:AE,2,FALSE)</f>
        <v>PENDING</v>
      </c>
      <c r="AI639" s="7">
        <v>45560</v>
      </c>
      <c r="AJ639" s="1" t="s">
        <v>7455</v>
      </c>
      <c r="AK639" s="7">
        <v>45560</v>
      </c>
      <c r="AL639" s="1" t="s">
        <v>7455</v>
      </c>
    </row>
    <row r="640" spans="1:38" s="20" customFormat="1" x14ac:dyDescent="0.3">
      <c r="A640" s="14">
        <v>639</v>
      </c>
      <c r="B640" s="14" t="str">
        <f>_xlfn.CONCAT(AE640,"-",VLOOKUP(AE640,t_objeto!B:D,3,FALSE),"-",A640)</f>
        <v>RMAT-PERCCO-639</v>
      </c>
      <c r="C640" s="22" t="str">
        <f t="shared" si="99"/>
        <v>PLACA__ACERO_ROLADA EN FRIO_5'X10'_3/16"</v>
      </c>
      <c r="D640" s="14" t="s">
        <v>7390</v>
      </c>
      <c r="E640" s="14" t="s">
        <v>7385</v>
      </c>
      <c r="F640" s="21" t="s">
        <v>7405</v>
      </c>
      <c r="G640" s="22" t="s">
        <v>7387</v>
      </c>
      <c r="H640" s="14" t="s">
        <v>7403</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7356</v>
      </c>
      <c r="AF640" s="1" t="str">
        <f>VLOOKUP(AE640,t_objeto!B:C,2,FALSE)</f>
        <v>RAW_MATERIAL</v>
      </c>
      <c r="AG640" s="1">
        <v>8</v>
      </c>
      <c r="AH640" s="1" t="str">
        <f>VLOOKUP(AG640,t_entry_status!A:AE,2,FALSE)</f>
        <v>PENDING</v>
      </c>
      <c r="AI640" s="7">
        <v>45560</v>
      </c>
      <c r="AJ640" s="1" t="s">
        <v>7455</v>
      </c>
      <c r="AK640" s="7">
        <v>45560</v>
      </c>
      <c r="AL640" s="1" t="s">
        <v>7455</v>
      </c>
    </row>
    <row r="641" spans="1:38" s="20" customFormat="1" x14ac:dyDescent="0.3">
      <c r="A641" s="14">
        <v>640</v>
      </c>
      <c r="B641" s="14" t="str">
        <f>_xlfn.CONCAT(AE641,"-",VLOOKUP(AE641,t_objeto!B:D,3,FALSE),"-",A641)</f>
        <v>RMAT-PERCCO-640</v>
      </c>
      <c r="C641" s="22" t="str">
        <f t="shared" si="99"/>
        <v>LAMINA_LISA__ACERO_ROLADA EN FRIO_5'X10'_4</v>
      </c>
      <c r="D641" s="14" t="s">
        <v>7412</v>
      </c>
      <c r="E641" s="14" t="s">
        <v>7385</v>
      </c>
      <c r="F641" s="21" t="s">
        <v>7405</v>
      </c>
      <c r="G641" s="22" t="s">
        <v>7387</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7356</v>
      </c>
      <c r="AF641" s="1" t="str">
        <f>VLOOKUP(AE641,t_objeto!B:C,2,FALSE)</f>
        <v>RAW_MATERIAL</v>
      </c>
      <c r="AG641" s="1">
        <v>8</v>
      </c>
      <c r="AH641" s="1" t="str">
        <f>VLOOKUP(AG641,t_entry_status!A:AE,2,FALSE)</f>
        <v>PENDING</v>
      </c>
      <c r="AI641" s="7">
        <v>45560</v>
      </c>
      <c r="AJ641" s="1" t="s">
        <v>7455</v>
      </c>
      <c r="AK641" s="7">
        <v>45560</v>
      </c>
      <c r="AL641" s="1" t="s">
        <v>7455</v>
      </c>
    </row>
    <row r="642" spans="1:38" s="20" customFormat="1" x14ac:dyDescent="0.3">
      <c r="A642" s="14">
        <v>641</v>
      </c>
      <c r="B642" s="14" t="str">
        <f>_xlfn.CONCAT(AE642,"-",VLOOKUP(AE642,t_objeto!B:D,3,FALSE),"-",A642)</f>
        <v>RMAT-PERCCO-641</v>
      </c>
      <c r="C642" s="22" t="str">
        <f t="shared" si="99"/>
        <v>LAMINA_LISA__ACERO_ROLADA EN FRIO_5'X10'_5</v>
      </c>
      <c r="D642" s="14" t="s">
        <v>7412</v>
      </c>
      <c r="E642" s="14" t="s">
        <v>7385</v>
      </c>
      <c r="F642" s="21" t="s">
        <v>7405</v>
      </c>
      <c r="G642" s="22" t="s">
        <v>7387</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7356</v>
      </c>
      <c r="AF642" s="1" t="str">
        <f>VLOOKUP(AE642,t_objeto!B:C,2,FALSE)</f>
        <v>RAW_MATERIAL</v>
      </c>
      <c r="AG642" s="1">
        <v>8</v>
      </c>
      <c r="AH642" s="1" t="str">
        <f>VLOOKUP(AG642,t_entry_status!A:AE,2,FALSE)</f>
        <v>PENDING</v>
      </c>
      <c r="AI642" s="7">
        <v>45560</v>
      </c>
      <c r="AJ642" s="1" t="s">
        <v>7455</v>
      </c>
      <c r="AK642" s="7">
        <v>45560</v>
      </c>
      <c r="AL642" s="1" t="s">
        <v>7455</v>
      </c>
    </row>
    <row r="643" spans="1:38" s="20" customFormat="1" x14ac:dyDescent="0.3">
      <c r="A643" s="14">
        <v>642</v>
      </c>
      <c r="B643" s="14" t="str">
        <f>_xlfn.CONCAT(AE643,"-",VLOOKUP(AE643,t_objeto!B:D,3,FALSE),"-",A643)</f>
        <v>RMAT-PERCCO-642</v>
      </c>
      <c r="C643" s="22" t="str">
        <f t="shared" ref="C643:C685" si="110">_xlfn.CONCAT(D643,"_","_",E643,"_",F643,"_",R643,"'","X",S643,"'","_",H643)</f>
        <v>LAMINA_LISA__ACERO_ROLADA EN FRIO_5'X10'_6</v>
      </c>
      <c r="D643" s="14" t="s">
        <v>7412</v>
      </c>
      <c r="E643" s="14" t="s">
        <v>7385</v>
      </c>
      <c r="F643" s="21" t="s">
        <v>7405</v>
      </c>
      <c r="G643" s="22" t="s">
        <v>7387</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7356</v>
      </c>
      <c r="AF643" s="1" t="str">
        <f>VLOOKUP(AE643,t_objeto!B:C,2,FALSE)</f>
        <v>RAW_MATERIAL</v>
      </c>
      <c r="AG643" s="1">
        <v>8</v>
      </c>
      <c r="AH643" s="1" t="str">
        <f>VLOOKUP(AG643,t_entry_status!A:AE,2,FALSE)</f>
        <v>PENDING</v>
      </c>
      <c r="AI643" s="7">
        <v>45560</v>
      </c>
      <c r="AJ643" s="1" t="s">
        <v>7455</v>
      </c>
      <c r="AK643" s="7">
        <v>45560</v>
      </c>
      <c r="AL643" s="1" t="s">
        <v>7455</v>
      </c>
    </row>
    <row r="644" spans="1:38" s="20" customFormat="1" x14ac:dyDescent="0.3">
      <c r="A644" s="14">
        <v>643</v>
      </c>
      <c r="B644" s="14" t="str">
        <f>_xlfn.CONCAT(AE644,"-",VLOOKUP(AE644,t_objeto!B:D,3,FALSE),"-",A644)</f>
        <v>RMAT-PERCCO-643</v>
      </c>
      <c r="C644" s="22" t="str">
        <f t="shared" si="110"/>
        <v>LAMINA_LISA__ACERO_ROLADA EN FRIO_5'X10'_7</v>
      </c>
      <c r="D644" s="14" t="s">
        <v>7412</v>
      </c>
      <c r="E644" s="14" t="s">
        <v>7385</v>
      </c>
      <c r="F644" s="21" t="s">
        <v>7405</v>
      </c>
      <c r="G644" s="22" t="s">
        <v>7387</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7356</v>
      </c>
      <c r="AF644" s="1" t="str">
        <f>VLOOKUP(AE644,t_objeto!B:C,2,FALSE)</f>
        <v>RAW_MATERIAL</v>
      </c>
      <c r="AG644" s="1">
        <v>8</v>
      </c>
      <c r="AH644" s="1" t="str">
        <f>VLOOKUP(AG644,t_entry_status!A:AE,2,FALSE)</f>
        <v>PENDING</v>
      </c>
      <c r="AI644" s="7">
        <v>45560</v>
      </c>
      <c r="AJ644" s="1" t="s">
        <v>7455</v>
      </c>
      <c r="AK644" s="7">
        <v>45560</v>
      </c>
      <c r="AL644" s="1" t="s">
        <v>7455</v>
      </c>
    </row>
    <row r="645" spans="1:38" s="20" customFormat="1" x14ac:dyDescent="0.3">
      <c r="A645" s="14">
        <v>644</v>
      </c>
      <c r="B645" s="14" t="str">
        <f>_xlfn.CONCAT(AE645,"-",VLOOKUP(AE645,t_objeto!B:D,3,FALSE),"-",A645)</f>
        <v>RMAT-PERCCO-644</v>
      </c>
      <c r="C645" s="22" t="str">
        <f t="shared" si="110"/>
        <v>LAMINA_LISA__ACERO_ROLADA EN FRIO_5'X10'_8</v>
      </c>
      <c r="D645" s="14" t="s">
        <v>7412</v>
      </c>
      <c r="E645" s="14" t="s">
        <v>7385</v>
      </c>
      <c r="F645" s="21" t="s">
        <v>7405</v>
      </c>
      <c r="G645" s="22" t="s">
        <v>7387</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7356</v>
      </c>
      <c r="AF645" s="1" t="str">
        <f>VLOOKUP(AE645,t_objeto!B:C,2,FALSE)</f>
        <v>RAW_MATERIAL</v>
      </c>
      <c r="AG645" s="1">
        <v>8</v>
      </c>
      <c r="AH645" s="1" t="str">
        <f>VLOOKUP(AG645,t_entry_status!A:AE,2,FALSE)</f>
        <v>PENDING</v>
      </c>
      <c r="AI645" s="7">
        <v>45560</v>
      </c>
      <c r="AJ645" s="1" t="s">
        <v>7455</v>
      </c>
      <c r="AK645" s="7">
        <v>45560</v>
      </c>
      <c r="AL645" s="1" t="s">
        <v>7455</v>
      </c>
    </row>
    <row r="646" spans="1:38" s="20" customFormat="1" x14ac:dyDescent="0.3">
      <c r="A646" s="14">
        <v>645</v>
      </c>
      <c r="B646" s="14" t="str">
        <f>_xlfn.CONCAT(AE646,"-",VLOOKUP(AE646,t_objeto!B:D,3,FALSE),"-",A646)</f>
        <v>RMAT-PERCCO-645</v>
      </c>
      <c r="C646" s="22" t="str">
        <f t="shared" si="110"/>
        <v>LAMINA_LISA__ACERO_ROLADA EN FRIO_5'X10'_9</v>
      </c>
      <c r="D646" s="14" t="s">
        <v>7412</v>
      </c>
      <c r="E646" s="14" t="s">
        <v>7385</v>
      </c>
      <c r="F646" s="21" t="s">
        <v>7405</v>
      </c>
      <c r="G646" s="22" t="s">
        <v>7387</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7356</v>
      </c>
      <c r="AF646" s="1" t="str">
        <f>VLOOKUP(AE646,t_objeto!B:C,2,FALSE)</f>
        <v>RAW_MATERIAL</v>
      </c>
      <c r="AG646" s="1">
        <v>8</v>
      </c>
      <c r="AH646" s="1" t="str">
        <f>VLOOKUP(AG646,t_entry_status!A:AE,2,FALSE)</f>
        <v>PENDING</v>
      </c>
      <c r="AI646" s="7">
        <v>45560</v>
      </c>
      <c r="AJ646" s="1" t="s">
        <v>7455</v>
      </c>
      <c r="AK646" s="7">
        <v>45560</v>
      </c>
      <c r="AL646" s="1" t="s">
        <v>7455</v>
      </c>
    </row>
    <row r="647" spans="1:38" s="20" customFormat="1" x14ac:dyDescent="0.3">
      <c r="A647" s="14">
        <v>646</v>
      </c>
      <c r="B647" s="14" t="str">
        <f>_xlfn.CONCAT(AE647,"-",VLOOKUP(AE647,t_objeto!B:D,3,FALSE),"-",A647)</f>
        <v>RMAT-PERCCO-646</v>
      </c>
      <c r="C647" s="22" t="str">
        <f t="shared" si="110"/>
        <v>LAMINA_LISA__ACERO_ROLADA EN FRIO_5'X10'_10</v>
      </c>
      <c r="D647" s="14" t="s">
        <v>7412</v>
      </c>
      <c r="E647" s="14" t="s">
        <v>7385</v>
      </c>
      <c r="F647" s="21" t="s">
        <v>7405</v>
      </c>
      <c r="G647" s="22" t="s">
        <v>7387</v>
      </c>
      <c r="H647" s="14">
        <v>10</v>
      </c>
      <c r="I647" s="16">
        <v>3.42</v>
      </c>
      <c r="J647" s="16">
        <f t="shared" si="101"/>
        <v>0.13464566929133859</v>
      </c>
      <c r="K647" s="16">
        <v>26.847000000000001</v>
      </c>
      <c r="L647" s="23">
        <v>2</v>
      </c>
      <c r="M647" s="23">
        <v>1</v>
      </c>
      <c r="N647" s="23">
        <v>10</v>
      </c>
      <c r="O647" s="23"/>
      <c r="P647" s="23"/>
      <c r="Q647" s="19" t="s">
        <v>7407</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7356</v>
      </c>
      <c r="AF647" s="1" t="str">
        <f>VLOOKUP(AE647,t_objeto!B:C,2,FALSE)</f>
        <v>RAW_MATERIAL</v>
      </c>
      <c r="AG647" s="1">
        <v>8</v>
      </c>
      <c r="AH647" s="1" t="str">
        <f>VLOOKUP(AG647,t_entry_status!A:AE,2,FALSE)</f>
        <v>PENDING</v>
      </c>
      <c r="AI647" s="7">
        <v>45560</v>
      </c>
      <c r="AJ647" s="1" t="s">
        <v>7455</v>
      </c>
      <c r="AK647" s="7">
        <v>45560</v>
      </c>
      <c r="AL647" s="1" t="s">
        <v>7455</v>
      </c>
    </row>
    <row r="648" spans="1:38" s="20" customFormat="1" x14ac:dyDescent="0.3">
      <c r="A648" s="14">
        <v>647</v>
      </c>
      <c r="B648" s="14" t="str">
        <f>_xlfn.CONCAT(AE648,"-",VLOOKUP(AE648,t_objeto!B:D,3,FALSE),"-",A648)</f>
        <v>RMAT-PERCCO-647</v>
      </c>
      <c r="C648" s="22" t="str">
        <f t="shared" si="110"/>
        <v>LAMINA_LISA__ACERO_ROLADA EN FRIO_5'X10'_1/8"</v>
      </c>
      <c r="D648" s="14" t="s">
        <v>7412</v>
      </c>
      <c r="E648" s="14" t="s">
        <v>7385</v>
      </c>
      <c r="F648" s="21" t="s">
        <v>7405</v>
      </c>
      <c r="G648" s="22" t="s">
        <v>7387</v>
      </c>
      <c r="H648" s="14" t="s">
        <v>7404</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7356</v>
      </c>
      <c r="AF648" s="1" t="str">
        <f>VLOOKUP(AE648,t_objeto!B:C,2,FALSE)</f>
        <v>RAW_MATERIAL</v>
      </c>
      <c r="AG648" s="1">
        <v>8</v>
      </c>
      <c r="AH648" s="1" t="str">
        <f>VLOOKUP(AG648,t_entry_status!A:AE,2,FALSE)</f>
        <v>PENDING</v>
      </c>
      <c r="AI648" s="7">
        <v>45560</v>
      </c>
      <c r="AJ648" s="1" t="s">
        <v>7455</v>
      </c>
      <c r="AK648" s="7">
        <v>45560</v>
      </c>
      <c r="AL648" s="1" t="s">
        <v>7455</v>
      </c>
    </row>
    <row r="649" spans="1:38" s="20" customFormat="1" x14ac:dyDescent="0.3">
      <c r="A649" s="14">
        <v>648</v>
      </c>
      <c r="B649" s="14" t="str">
        <f>_xlfn.CONCAT(AE649,"-",VLOOKUP(AE649,t_objeto!B:D,3,FALSE),"-",A649)</f>
        <v>RMAT-PERCCO-648</v>
      </c>
      <c r="C649" s="22" t="str">
        <f t="shared" si="110"/>
        <v>LAMINA_LISA__ACERO_ROLADA EN FRIO_5'X10'_11</v>
      </c>
      <c r="D649" s="14" t="s">
        <v>7412</v>
      </c>
      <c r="E649" s="14" t="s">
        <v>7385</v>
      </c>
      <c r="F649" s="21" t="s">
        <v>7405</v>
      </c>
      <c r="G649" s="22" t="s">
        <v>7387</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7356</v>
      </c>
      <c r="AF649" s="1" t="str">
        <f>VLOOKUP(AE649,t_objeto!B:C,2,FALSE)</f>
        <v>RAW_MATERIAL</v>
      </c>
      <c r="AG649" s="1">
        <v>8</v>
      </c>
      <c r="AH649" s="1" t="str">
        <f>VLOOKUP(AG649,t_entry_status!A:AE,2,FALSE)</f>
        <v>PENDING</v>
      </c>
      <c r="AI649" s="7">
        <v>45560</v>
      </c>
      <c r="AJ649" s="1" t="s">
        <v>7455</v>
      </c>
      <c r="AK649" s="7">
        <v>45560</v>
      </c>
      <c r="AL649" s="1" t="s">
        <v>7455</v>
      </c>
    </row>
    <row r="650" spans="1:38" s="20" customFormat="1" x14ac:dyDescent="0.3">
      <c r="A650" s="14">
        <v>649</v>
      </c>
      <c r="B650" s="14" t="str">
        <f>_xlfn.CONCAT(AE650,"-",VLOOKUP(AE650,t_objeto!B:D,3,FALSE),"-",A650)</f>
        <v>RMAT-PERCCO-649</v>
      </c>
      <c r="C650" s="22" t="str">
        <f t="shared" si="110"/>
        <v>LAMINA_LISA__ACERO_ROLADA EN FRIO_5'X10'_12</v>
      </c>
      <c r="D650" s="14" t="s">
        <v>7412</v>
      </c>
      <c r="E650" s="14" t="s">
        <v>7385</v>
      </c>
      <c r="F650" s="21" t="s">
        <v>7405</v>
      </c>
      <c r="G650" s="22" t="s">
        <v>7387</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7356</v>
      </c>
      <c r="AF650" s="1" t="str">
        <f>VLOOKUP(AE650,t_objeto!B:C,2,FALSE)</f>
        <v>RAW_MATERIAL</v>
      </c>
      <c r="AG650" s="1">
        <v>8</v>
      </c>
      <c r="AH650" s="1" t="str">
        <f>VLOOKUP(AG650,t_entry_status!A:AE,2,FALSE)</f>
        <v>PENDING</v>
      </c>
      <c r="AI650" s="7">
        <v>45560</v>
      </c>
      <c r="AJ650" s="1" t="s">
        <v>7455</v>
      </c>
      <c r="AK650" s="7">
        <v>45560</v>
      </c>
      <c r="AL650" s="1" t="s">
        <v>7455</v>
      </c>
    </row>
    <row r="651" spans="1:38" s="20" customFormat="1" x14ac:dyDescent="0.3">
      <c r="A651" s="14">
        <v>650</v>
      </c>
      <c r="B651" s="14" t="str">
        <f>_xlfn.CONCAT(AE651,"-",VLOOKUP(AE651,t_objeto!B:D,3,FALSE),"-",A651)</f>
        <v>RMAT-PERCCO-650</v>
      </c>
      <c r="C651" s="22" t="str">
        <f t="shared" si="110"/>
        <v>LAMINA_LISA__ACERO_ROLADA EN FRIO_5'X10'_13</v>
      </c>
      <c r="D651" s="14" t="s">
        <v>7412</v>
      </c>
      <c r="E651" s="14" t="s">
        <v>7385</v>
      </c>
      <c r="F651" s="21" t="s">
        <v>7405</v>
      </c>
      <c r="G651" s="22" t="s">
        <v>7387</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7356</v>
      </c>
      <c r="AF651" s="1" t="str">
        <f>VLOOKUP(AE651,t_objeto!B:C,2,FALSE)</f>
        <v>RAW_MATERIAL</v>
      </c>
      <c r="AG651" s="1">
        <v>8</v>
      </c>
      <c r="AH651" s="1" t="str">
        <f>VLOOKUP(AG651,t_entry_status!A:AE,2,FALSE)</f>
        <v>PENDING</v>
      </c>
      <c r="AI651" s="7">
        <v>45560</v>
      </c>
      <c r="AJ651" s="1" t="s">
        <v>7455</v>
      </c>
      <c r="AK651" s="7">
        <v>45560</v>
      </c>
      <c r="AL651" s="1" t="s">
        <v>7455</v>
      </c>
    </row>
    <row r="652" spans="1:38" s="20" customFormat="1" x14ac:dyDescent="0.3">
      <c r="A652" s="14">
        <v>651</v>
      </c>
      <c r="B652" s="14" t="str">
        <f>_xlfn.CONCAT(AE652,"-",VLOOKUP(AE652,t_objeto!B:D,3,FALSE),"-",A652)</f>
        <v>RMAT-PERCCO-651</v>
      </c>
      <c r="C652" s="22" t="str">
        <f t="shared" si="110"/>
        <v>LAMINA_LISA__ACERO_ROLADA EN FRIO_5'X10'_14</v>
      </c>
      <c r="D652" s="14" t="s">
        <v>7412</v>
      </c>
      <c r="E652" s="14" t="s">
        <v>7385</v>
      </c>
      <c r="F652" s="21" t="s">
        <v>7405</v>
      </c>
      <c r="G652" s="22" t="s">
        <v>7387</v>
      </c>
      <c r="H652" s="14">
        <v>14</v>
      </c>
      <c r="I652" s="16">
        <v>1.9</v>
      </c>
      <c r="J652" s="16">
        <f t="shared" si="101"/>
        <v>7.4803149606299218E-2</v>
      </c>
      <c r="K652" s="16">
        <v>14.914999999999999</v>
      </c>
      <c r="L652" s="23">
        <v>5</v>
      </c>
      <c r="M652" s="23">
        <v>1</v>
      </c>
      <c r="N652" s="23">
        <v>10</v>
      </c>
      <c r="O652" s="23"/>
      <c r="P652" s="23"/>
      <c r="Q652" s="19" t="s">
        <v>7407</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7356</v>
      </c>
      <c r="AF652" s="1" t="str">
        <f>VLOOKUP(AE652,t_objeto!B:C,2,FALSE)</f>
        <v>RAW_MATERIAL</v>
      </c>
      <c r="AG652" s="1">
        <v>8</v>
      </c>
      <c r="AH652" s="1" t="str">
        <f>VLOOKUP(AG652,t_entry_status!A:AE,2,FALSE)</f>
        <v>PENDING</v>
      </c>
      <c r="AI652" s="7">
        <v>45560</v>
      </c>
      <c r="AJ652" s="1" t="s">
        <v>7455</v>
      </c>
      <c r="AK652" s="7">
        <v>45560</v>
      </c>
      <c r="AL652" s="1" t="s">
        <v>7455</v>
      </c>
    </row>
    <row r="653" spans="1:38" s="20" customFormat="1" x14ac:dyDescent="0.3">
      <c r="A653" s="14">
        <v>652</v>
      </c>
      <c r="B653" s="14" t="str">
        <f>_xlfn.CONCAT(AE653,"-",VLOOKUP(AE653,t_objeto!B:D,3,FALSE),"-",A653)</f>
        <v>RMAT-PERCCO-652</v>
      </c>
      <c r="C653" s="22" t="str">
        <f t="shared" si="110"/>
        <v>LAMINA_LISA__ACERO_ROLADA EN FRIO_5'X10'_15</v>
      </c>
      <c r="D653" s="14" t="s">
        <v>7412</v>
      </c>
      <c r="E653" s="14" t="s">
        <v>7385</v>
      </c>
      <c r="F653" s="21" t="s">
        <v>7405</v>
      </c>
      <c r="G653" s="22" t="s">
        <v>7387</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7356</v>
      </c>
      <c r="AF653" s="1" t="str">
        <f>VLOOKUP(AE653,t_objeto!B:C,2,FALSE)</f>
        <v>RAW_MATERIAL</v>
      </c>
      <c r="AG653" s="1">
        <v>8</v>
      </c>
      <c r="AH653" s="1" t="str">
        <f>VLOOKUP(AG653,t_entry_status!A:AE,2,FALSE)</f>
        <v>PENDING</v>
      </c>
      <c r="AI653" s="7">
        <v>45560</v>
      </c>
      <c r="AJ653" s="1" t="s">
        <v>7455</v>
      </c>
      <c r="AK653" s="7">
        <v>45560</v>
      </c>
      <c r="AL653" s="1" t="s">
        <v>7455</v>
      </c>
    </row>
    <row r="654" spans="1:38" s="20" customFormat="1" x14ac:dyDescent="0.3">
      <c r="A654" s="14">
        <v>653</v>
      </c>
      <c r="B654" s="14" t="str">
        <f>_xlfn.CONCAT(AE654,"-",VLOOKUP(AE654,t_objeto!B:D,3,FALSE),"-",A654)</f>
        <v>RMAT-PERCCO-653</v>
      </c>
      <c r="C654" s="22" t="str">
        <f t="shared" si="110"/>
        <v>LAMINA_LISA__ACERO_ROLADA EN FRIO_5'X10'_16</v>
      </c>
      <c r="D654" s="14" t="s">
        <v>7412</v>
      </c>
      <c r="E654" s="14" t="s">
        <v>7385</v>
      </c>
      <c r="F654" s="21" t="s">
        <v>7405</v>
      </c>
      <c r="G654" s="22" t="s">
        <v>7387</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7356</v>
      </c>
      <c r="AF654" s="1" t="str">
        <f>VLOOKUP(AE654,t_objeto!B:C,2,FALSE)</f>
        <v>RAW_MATERIAL</v>
      </c>
      <c r="AG654" s="1">
        <v>8</v>
      </c>
      <c r="AH654" s="1" t="str">
        <f>VLOOKUP(AG654,t_entry_status!A:AE,2,FALSE)</f>
        <v>PENDING</v>
      </c>
      <c r="AI654" s="7">
        <v>45560</v>
      </c>
      <c r="AJ654" s="1" t="s">
        <v>7455</v>
      </c>
      <c r="AK654" s="7">
        <v>45560</v>
      </c>
      <c r="AL654" s="1" t="s">
        <v>7455</v>
      </c>
    </row>
    <row r="655" spans="1:38" s="20" customFormat="1" x14ac:dyDescent="0.3">
      <c r="A655" s="14">
        <v>654</v>
      </c>
      <c r="B655" s="14" t="str">
        <f>_xlfn.CONCAT(AE655,"-",VLOOKUP(AE655,t_objeto!B:D,3,FALSE),"-",A655)</f>
        <v>RMAT-PERCCO-654</v>
      </c>
      <c r="C655" s="22" t="str">
        <f t="shared" si="110"/>
        <v>LAMINA_LISA__ACERO_ROLADA EN FRIO_5'X10'_17</v>
      </c>
      <c r="D655" s="14" t="s">
        <v>7412</v>
      </c>
      <c r="E655" s="14" t="s">
        <v>7385</v>
      </c>
      <c r="F655" s="21" t="s">
        <v>7405</v>
      </c>
      <c r="G655" s="22" t="s">
        <v>7387</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7356</v>
      </c>
      <c r="AF655" s="1" t="str">
        <f>VLOOKUP(AE655,t_objeto!B:C,2,FALSE)</f>
        <v>RAW_MATERIAL</v>
      </c>
      <c r="AG655" s="1">
        <v>8</v>
      </c>
      <c r="AH655" s="1" t="str">
        <f>VLOOKUP(AG655,t_entry_status!A:AE,2,FALSE)</f>
        <v>PENDING</v>
      </c>
      <c r="AI655" s="7">
        <v>45560</v>
      </c>
      <c r="AJ655" s="1" t="s">
        <v>7455</v>
      </c>
      <c r="AK655" s="7">
        <v>45560</v>
      </c>
      <c r="AL655" s="1" t="s">
        <v>7455</v>
      </c>
    </row>
    <row r="656" spans="1:38" s="20" customFormat="1" x14ac:dyDescent="0.3">
      <c r="A656" s="14">
        <v>655</v>
      </c>
      <c r="B656" s="14" t="str">
        <f>_xlfn.CONCAT(AE656,"-",VLOOKUP(AE656,t_objeto!B:D,3,FALSE),"-",A656)</f>
        <v>RMAT-PERCCO-655</v>
      </c>
      <c r="C656" s="22" t="str">
        <f t="shared" si="110"/>
        <v>LAMINA_LISA__ACERO_ROLADA EN FRIO_5'X10'_18</v>
      </c>
      <c r="D656" s="14" t="s">
        <v>7412</v>
      </c>
      <c r="E656" s="14" t="s">
        <v>7385</v>
      </c>
      <c r="F656" s="21" t="s">
        <v>7405</v>
      </c>
      <c r="G656" s="22" t="s">
        <v>7387</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7356</v>
      </c>
      <c r="AF656" s="1" t="str">
        <f>VLOOKUP(AE656,t_objeto!B:C,2,FALSE)</f>
        <v>RAW_MATERIAL</v>
      </c>
      <c r="AG656" s="1">
        <v>8</v>
      </c>
      <c r="AH656" s="1" t="str">
        <f>VLOOKUP(AG656,t_entry_status!A:AE,2,FALSE)</f>
        <v>PENDING</v>
      </c>
      <c r="AI656" s="7">
        <v>45560</v>
      </c>
      <c r="AJ656" s="1" t="s">
        <v>7455</v>
      </c>
      <c r="AK656" s="7">
        <v>45560</v>
      </c>
      <c r="AL656" s="1" t="s">
        <v>7455</v>
      </c>
    </row>
    <row r="657" spans="1:38" s="20" customFormat="1" x14ac:dyDescent="0.3">
      <c r="A657" s="14">
        <v>656</v>
      </c>
      <c r="B657" s="14" t="str">
        <f>_xlfn.CONCAT(AE657,"-",VLOOKUP(AE657,t_objeto!B:D,3,FALSE),"-",A657)</f>
        <v>RMAT-PERCCO-656</v>
      </c>
      <c r="C657" s="22" t="str">
        <f t="shared" si="110"/>
        <v>LAMINA_LISA__ACERO_ROLADA EN FRIO_5'X10'_19</v>
      </c>
      <c r="D657" s="14" t="s">
        <v>7412</v>
      </c>
      <c r="E657" s="14" t="s">
        <v>7385</v>
      </c>
      <c r="F657" s="21" t="s">
        <v>7405</v>
      </c>
      <c r="G657" s="22" t="s">
        <v>7387</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7356</v>
      </c>
      <c r="AF657" s="1" t="str">
        <f>VLOOKUP(AE657,t_objeto!B:C,2,FALSE)</f>
        <v>RAW_MATERIAL</v>
      </c>
      <c r="AG657" s="1">
        <v>8</v>
      </c>
      <c r="AH657" s="1" t="str">
        <f>VLOOKUP(AG657,t_entry_status!A:AE,2,FALSE)</f>
        <v>PENDING</v>
      </c>
      <c r="AI657" s="7">
        <v>45560</v>
      </c>
      <c r="AJ657" s="1" t="s">
        <v>7455</v>
      </c>
      <c r="AK657" s="7">
        <v>45560</v>
      </c>
      <c r="AL657" s="1" t="s">
        <v>7455</v>
      </c>
    </row>
    <row r="658" spans="1:38" s="20" customFormat="1" x14ac:dyDescent="0.3">
      <c r="A658" s="14">
        <v>657</v>
      </c>
      <c r="B658" s="14" t="str">
        <f>_xlfn.CONCAT(AE658,"-",VLOOKUP(AE658,t_objeto!B:D,3,FALSE),"-",A658)</f>
        <v>RMAT-PERCCO-657</v>
      </c>
      <c r="C658" s="22" t="str">
        <f t="shared" si="110"/>
        <v>LAMINA_LISA__ACERO_ROLADA EN FRIO_5'X10'_20</v>
      </c>
      <c r="D658" s="14" t="s">
        <v>7412</v>
      </c>
      <c r="E658" s="14" t="s">
        <v>7385</v>
      </c>
      <c r="F658" s="21" t="s">
        <v>7405</v>
      </c>
      <c r="G658" s="22" t="s">
        <v>7387</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7356</v>
      </c>
      <c r="AF658" s="1" t="str">
        <f>VLOOKUP(AE658,t_objeto!B:C,2,FALSE)</f>
        <v>RAW_MATERIAL</v>
      </c>
      <c r="AG658" s="1">
        <v>8</v>
      </c>
      <c r="AH658" s="1" t="str">
        <f>VLOOKUP(AG658,t_entry_status!A:AE,2,FALSE)</f>
        <v>PENDING</v>
      </c>
      <c r="AI658" s="7">
        <v>45560</v>
      </c>
      <c r="AJ658" s="1" t="s">
        <v>7455</v>
      </c>
      <c r="AK658" s="7">
        <v>45560</v>
      </c>
      <c r="AL658" s="1" t="s">
        <v>7455</v>
      </c>
    </row>
    <row r="659" spans="1:38" s="20" customFormat="1" x14ac:dyDescent="0.3">
      <c r="A659" s="14">
        <v>658</v>
      </c>
      <c r="B659" s="14" t="str">
        <f>_xlfn.CONCAT(AE659,"-",VLOOKUP(AE659,t_objeto!B:D,3,FALSE),"-",A659)</f>
        <v>RMAT-PERCCO-658</v>
      </c>
      <c r="C659" s="22" t="str">
        <f t="shared" si="110"/>
        <v>LAMINA_LISA__ACERO_ROLADA EN FRIO_5'X10'_21</v>
      </c>
      <c r="D659" s="14" t="s">
        <v>7412</v>
      </c>
      <c r="E659" s="14" t="s">
        <v>7385</v>
      </c>
      <c r="F659" s="21" t="s">
        <v>7405</v>
      </c>
      <c r="G659" s="22" t="s">
        <v>7387</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7356</v>
      </c>
      <c r="AF659" s="1" t="str">
        <f>VLOOKUP(AE659,t_objeto!B:C,2,FALSE)</f>
        <v>RAW_MATERIAL</v>
      </c>
      <c r="AG659" s="1">
        <v>8</v>
      </c>
      <c r="AH659" s="1" t="str">
        <f>VLOOKUP(AG659,t_entry_status!A:AE,2,FALSE)</f>
        <v>PENDING</v>
      </c>
      <c r="AI659" s="7">
        <v>45560</v>
      </c>
      <c r="AJ659" s="1" t="s">
        <v>7455</v>
      </c>
      <c r="AK659" s="7">
        <v>45560</v>
      </c>
      <c r="AL659" s="1" t="s">
        <v>7455</v>
      </c>
    </row>
    <row r="660" spans="1:38" s="20" customFormat="1" x14ac:dyDescent="0.3">
      <c r="A660" s="14">
        <v>659</v>
      </c>
      <c r="B660" s="14" t="str">
        <f>_xlfn.CONCAT(AE660,"-",VLOOKUP(AE660,t_objeto!B:D,3,FALSE),"-",A660)</f>
        <v>RMAT-PERCCO-659</v>
      </c>
      <c r="C660" s="22" t="str">
        <f t="shared" si="110"/>
        <v>LAMINA_LISA__ACERO_ROLADA EN FRIO_5'X10'_22</v>
      </c>
      <c r="D660" s="14" t="s">
        <v>7412</v>
      </c>
      <c r="E660" s="14" t="s">
        <v>7385</v>
      </c>
      <c r="F660" s="21" t="s">
        <v>7405</v>
      </c>
      <c r="G660" s="22" t="s">
        <v>7387</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7356</v>
      </c>
      <c r="AF660" s="1" t="str">
        <f>VLOOKUP(AE660,t_objeto!B:C,2,FALSE)</f>
        <v>RAW_MATERIAL</v>
      </c>
      <c r="AG660" s="1">
        <v>8</v>
      </c>
      <c r="AH660" s="1" t="str">
        <f>VLOOKUP(AG660,t_entry_status!A:AE,2,FALSE)</f>
        <v>PENDING</v>
      </c>
      <c r="AI660" s="7">
        <v>45560</v>
      </c>
      <c r="AJ660" s="1" t="s">
        <v>7455</v>
      </c>
      <c r="AK660" s="7">
        <v>45560</v>
      </c>
      <c r="AL660" s="1" t="s">
        <v>7455</v>
      </c>
    </row>
    <row r="661" spans="1:38" s="20" customFormat="1" x14ac:dyDescent="0.3">
      <c r="A661" s="14">
        <v>660</v>
      </c>
      <c r="B661" s="14" t="str">
        <f>_xlfn.CONCAT(AE661,"-",VLOOKUP(AE661,t_objeto!B:D,3,FALSE),"-",A661)</f>
        <v>RMAT-PERCCO-660</v>
      </c>
      <c r="C661" s="22" t="str">
        <f t="shared" si="110"/>
        <v>LAMINA_LISA__ACERO_ROLADA EN FRIO_5'X10'_23</v>
      </c>
      <c r="D661" s="14" t="s">
        <v>7412</v>
      </c>
      <c r="E661" s="14" t="s">
        <v>7385</v>
      </c>
      <c r="F661" s="21" t="s">
        <v>7405</v>
      </c>
      <c r="G661" s="22" t="s">
        <v>7387</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7356</v>
      </c>
      <c r="AF661" s="1" t="str">
        <f>VLOOKUP(AE661,t_objeto!B:C,2,FALSE)</f>
        <v>RAW_MATERIAL</v>
      </c>
      <c r="AG661" s="1">
        <v>8</v>
      </c>
      <c r="AH661" s="1" t="str">
        <f>VLOOKUP(AG661,t_entry_status!A:AE,2,FALSE)</f>
        <v>PENDING</v>
      </c>
      <c r="AI661" s="7">
        <v>45560</v>
      </c>
      <c r="AJ661" s="1" t="s">
        <v>7455</v>
      </c>
      <c r="AK661" s="7">
        <v>45560</v>
      </c>
      <c r="AL661" s="1" t="s">
        <v>7455</v>
      </c>
    </row>
    <row r="662" spans="1:38" s="20" customFormat="1" x14ac:dyDescent="0.3">
      <c r="A662" s="14">
        <v>661</v>
      </c>
      <c r="B662" s="14" t="str">
        <f>_xlfn.CONCAT(AE662,"-",VLOOKUP(AE662,t_objeto!B:D,3,FALSE),"-",A662)</f>
        <v>RMAT-PERCCO-661</v>
      </c>
      <c r="C662" s="22" t="str">
        <f t="shared" si="110"/>
        <v>LAMINA_LISA__ACERO_ROLADA EN FRIO_5'X10'_24</v>
      </c>
      <c r="D662" s="14" t="s">
        <v>7412</v>
      </c>
      <c r="E662" s="14" t="s">
        <v>7385</v>
      </c>
      <c r="F662" s="21" t="s">
        <v>7405</v>
      </c>
      <c r="G662" s="22" t="s">
        <v>7387</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7356</v>
      </c>
      <c r="AF662" s="1" t="str">
        <f>VLOOKUP(AE662,t_objeto!B:C,2,FALSE)</f>
        <v>RAW_MATERIAL</v>
      </c>
      <c r="AG662" s="1">
        <v>8</v>
      </c>
      <c r="AH662" s="1" t="str">
        <f>VLOOKUP(AG662,t_entry_status!A:AE,2,FALSE)</f>
        <v>PENDING</v>
      </c>
      <c r="AI662" s="7">
        <v>45560</v>
      </c>
      <c r="AJ662" s="1" t="s">
        <v>7455</v>
      </c>
      <c r="AK662" s="7">
        <v>45560</v>
      </c>
      <c r="AL662" s="1" t="s">
        <v>7455</v>
      </c>
    </row>
    <row r="663" spans="1:38" s="20" customFormat="1" x14ac:dyDescent="0.3">
      <c r="A663" s="14">
        <v>662</v>
      </c>
      <c r="B663" s="14" t="str">
        <f>_xlfn.CONCAT(AE663,"-",VLOOKUP(AE663,t_objeto!B:D,3,FALSE),"-",A663)</f>
        <v>RMAT-PERCCO-662</v>
      </c>
      <c r="C663" s="22" t="str">
        <f t="shared" si="110"/>
        <v>LAMINA_LISA__ACERO_ROLADA EN FRIO_5'X10'_25</v>
      </c>
      <c r="D663" s="14" t="s">
        <v>7412</v>
      </c>
      <c r="E663" s="14" t="s">
        <v>7385</v>
      </c>
      <c r="F663" s="21" t="s">
        <v>7405</v>
      </c>
      <c r="G663" s="22" t="s">
        <v>7387</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7356</v>
      </c>
      <c r="AF663" s="1" t="str">
        <f>VLOOKUP(AE663,t_objeto!B:C,2,FALSE)</f>
        <v>RAW_MATERIAL</v>
      </c>
      <c r="AG663" s="1">
        <v>8</v>
      </c>
      <c r="AH663" s="1" t="str">
        <f>VLOOKUP(AG663,t_entry_status!A:AE,2,FALSE)</f>
        <v>PENDING</v>
      </c>
      <c r="AI663" s="7">
        <v>45560</v>
      </c>
      <c r="AJ663" s="1" t="s">
        <v>7455</v>
      </c>
      <c r="AK663" s="7">
        <v>45560</v>
      </c>
      <c r="AL663" s="1" t="s">
        <v>7455</v>
      </c>
    </row>
    <row r="664" spans="1:38" s="20" customFormat="1" x14ac:dyDescent="0.3">
      <c r="A664" s="14">
        <v>663</v>
      </c>
      <c r="B664" s="14" t="str">
        <f>_xlfn.CONCAT(AE664,"-",VLOOKUP(AE664,t_objeto!B:D,3,FALSE),"-",A664)</f>
        <v>RMAT-PERCCO-663</v>
      </c>
      <c r="C664" s="22" t="str">
        <f t="shared" si="110"/>
        <v>LAMINA_LISA__ACERO_ROLADA EN FRIO_5'X10'_26</v>
      </c>
      <c r="D664" s="14" t="s">
        <v>7412</v>
      </c>
      <c r="E664" s="14" t="s">
        <v>7385</v>
      </c>
      <c r="F664" s="21" t="s">
        <v>7405</v>
      </c>
      <c r="G664" s="22" t="s">
        <v>7387</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7356</v>
      </c>
      <c r="AF664" s="1" t="str">
        <f>VLOOKUP(AE664,t_objeto!B:C,2,FALSE)</f>
        <v>RAW_MATERIAL</v>
      </c>
      <c r="AG664" s="1">
        <v>8</v>
      </c>
      <c r="AH664" s="1" t="str">
        <f>VLOOKUP(AG664,t_entry_status!A:AE,2,FALSE)</f>
        <v>PENDING</v>
      </c>
      <c r="AI664" s="7">
        <v>45560</v>
      </c>
      <c r="AJ664" s="1" t="s">
        <v>7455</v>
      </c>
      <c r="AK664" s="7">
        <v>45560</v>
      </c>
      <c r="AL664" s="1" t="s">
        <v>7455</v>
      </c>
    </row>
    <row r="665" spans="1:38" s="20" customFormat="1" x14ac:dyDescent="0.3">
      <c r="A665" s="14">
        <v>664</v>
      </c>
      <c r="B665" s="14" t="str">
        <f>_xlfn.CONCAT(AE665,"-",VLOOKUP(AE665,t_objeto!B:D,3,FALSE),"-",A665)</f>
        <v>RMAT-PERCCO-664</v>
      </c>
      <c r="C665" s="22" t="str">
        <f t="shared" si="110"/>
        <v>LAMINA_LISA__ACERO_ROLADA EN FRIO_5'X10'_27</v>
      </c>
      <c r="D665" s="14" t="s">
        <v>7412</v>
      </c>
      <c r="E665" s="14" t="s">
        <v>7385</v>
      </c>
      <c r="F665" s="21" t="s">
        <v>7405</v>
      </c>
      <c r="G665" s="22" t="s">
        <v>7387</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7356</v>
      </c>
      <c r="AF665" s="1" t="str">
        <f>VLOOKUP(AE665,t_objeto!B:C,2,FALSE)</f>
        <v>RAW_MATERIAL</v>
      </c>
      <c r="AG665" s="1">
        <v>8</v>
      </c>
      <c r="AH665" s="1" t="str">
        <f>VLOOKUP(AG665,t_entry_status!A:AE,2,FALSE)</f>
        <v>PENDING</v>
      </c>
      <c r="AI665" s="7">
        <v>45560</v>
      </c>
      <c r="AJ665" s="1" t="s">
        <v>7455</v>
      </c>
      <c r="AK665" s="7">
        <v>45560</v>
      </c>
      <c r="AL665" s="1" t="s">
        <v>7455</v>
      </c>
    </row>
    <row r="666" spans="1:38" s="20" customFormat="1" x14ac:dyDescent="0.3">
      <c r="A666" s="14">
        <v>665</v>
      </c>
      <c r="B666" s="14" t="str">
        <f>_xlfn.CONCAT(AE666,"-",VLOOKUP(AE666,t_objeto!B:D,3,FALSE),"-",A666)</f>
        <v>RMAT-PERCCO-665</v>
      </c>
      <c r="C666" s="22" t="str">
        <f t="shared" si="110"/>
        <v>LAMINA_LISA__ACERO_ROLADA EN FRIO_5'X10'_28</v>
      </c>
      <c r="D666" s="14" t="s">
        <v>7412</v>
      </c>
      <c r="E666" s="14" t="s">
        <v>7385</v>
      </c>
      <c r="F666" s="21" t="s">
        <v>7405</v>
      </c>
      <c r="G666" s="22" t="s">
        <v>7387</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7356</v>
      </c>
      <c r="AF666" s="1" t="str">
        <f>VLOOKUP(AE666,t_objeto!B:C,2,FALSE)</f>
        <v>RAW_MATERIAL</v>
      </c>
      <c r="AG666" s="1">
        <v>8</v>
      </c>
      <c r="AH666" s="1" t="str">
        <f>VLOOKUP(AG666,t_entry_status!A:AE,2,FALSE)</f>
        <v>PENDING</v>
      </c>
      <c r="AI666" s="7">
        <v>45560</v>
      </c>
      <c r="AJ666" s="1" t="s">
        <v>7455</v>
      </c>
      <c r="AK666" s="7">
        <v>45560</v>
      </c>
      <c r="AL666" s="1" t="s">
        <v>7455</v>
      </c>
    </row>
    <row r="667" spans="1:38" s="20" customFormat="1" x14ac:dyDescent="0.3">
      <c r="A667" s="14">
        <v>666</v>
      </c>
      <c r="B667" s="14" t="str">
        <f>_xlfn.CONCAT(AE667,"-",VLOOKUP(AE667,t_objeto!B:D,3,FALSE),"-",A667)</f>
        <v>RMAT-PERCCO-666</v>
      </c>
      <c r="C667" s="22" t="str">
        <f t="shared" si="110"/>
        <v>LAMINA_LISA__ACERO_ROLADA EN FRIO_5'X10'_29</v>
      </c>
      <c r="D667" s="14" t="s">
        <v>7412</v>
      </c>
      <c r="E667" s="14" t="s">
        <v>7385</v>
      </c>
      <c r="F667" s="21" t="s">
        <v>7405</v>
      </c>
      <c r="G667" s="22" t="s">
        <v>7387</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7356</v>
      </c>
      <c r="AF667" s="1" t="str">
        <f>VLOOKUP(AE667,t_objeto!B:C,2,FALSE)</f>
        <v>RAW_MATERIAL</v>
      </c>
      <c r="AG667" s="1">
        <v>8</v>
      </c>
      <c r="AH667" s="1" t="str">
        <f>VLOOKUP(AG667,t_entry_status!A:AE,2,FALSE)</f>
        <v>PENDING</v>
      </c>
      <c r="AI667" s="7">
        <v>45560</v>
      </c>
      <c r="AJ667" s="1" t="s">
        <v>7455</v>
      </c>
      <c r="AK667" s="7">
        <v>45560</v>
      </c>
      <c r="AL667" s="1" t="s">
        <v>7455</v>
      </c>
    </row>
    <row r="668" spans="1:38" s="20" customFormat="1" x14ac:dyDescent="0.3">
      <c r="A668" s="14">
        <v>667</v>
      </c>
      <c r="B668" s="14" t="str">
        <f>_xlfn.CONCAT(AE668,"-",VLOOKUP(AE668,t_objeto!B:D,3,FALSE),"-",A668)</f>
        <v>RMAT-PERCCO-667</v>
      </c>
      <c r="C668" s="22" t="str">
        <f t="shared" si="110"/>
        <v>LAMINA_LISA__ACERO_ROLADA EN FRIO_5'X10'_30</v>
      </c>
      <c r="D668" s="14" t="s">
        <v>7412</v>
      </c>
      <c r="E668" s="14" t="s">
        <v>7385</v>
      </c>
      <c r="F668" s="21" t="s">
        <v>7405</v>
      </c>
      <c r="G668" s="22" t="s">
        <v>7387</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7356</v>
      </c>
      <c r="AF668" s="1" t="str">
        <f>VLOOKUP(AE668,t_objeto!B:C,2,FALSE)</f>
        <v>RAW_MATERIAL</v>
      </c>
      <c r="AG668" s="1">
        <v>8</v>
      </c>
      <c r="AH668" s="1" t="str">
        <f>VLOOKUP(AG668,t_entry_status!A:AE,2,FALSE)</f>
        <v>PENDING</v>
      </c>
      <c r="AI668" s="7">
        <v>45560</v>
      </c>
      <c r="AJ668" s="1" t="s">
        <v>7455</v>
      </c>
      <c r="AK668" s="7">
        <v>45560</v>
      </c>
      <c r="AL668" s="1" t="s">
        <v>7455</v>
      </c>
    </row>
    <row r="669" spans="1:38" s="20" customFormat="1" x14ac:dyDescent="0.3">
      <c r="A669" s="14">
        <v>668</v>
      </c>
      <c r="B669" s="14" t="str">
        <f>_xlfn.CONCAT(AE669,"-",VLOOKUP(AE669,t_objeto!B:D,3,FALSE),"-",A669)</f>
        <v>RMAT-PERCCO-668</v>
      </c>
      <c r="C669" s="22" t="str">
        <f t="shared" si="110"/>
        <v>LAMINA_LISA__INOX_304/316 L_5'X10'_10</v>
      </c>
      <c r="D669" s="14" t="s">
        <v>7412</v>
      </c>
      <c r="E669" s="14" t="s">
        <v>7408</v>
      </c>
      <c r="F669" s="21" t="s">
        <v>7409</v>
      </c>
      <c r="G669" s="22" t="s">
        <v>7387</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7356</v>
      </c>
      <c r="AF669" s="1" t="str">
        <f>VLOOKUP(AE669,t_objeto!B:C,2,FALSE)</f>
        <v>RAW_MATERIAL</v>
      </c>
      <c r="AG669" s="1">
        <v>8</v>
      </c>
      <c r="AH669" s="1" t="str">
        <f>VLOOKUP(AG669,t_entry_status!A:AE,2,FALSE)</f>
        <v>PENDING</v>
      </c>
      <c r="AI669" s="7">
        <v>45560</v>
      </c>
      <c r="AJ669" s="1" t="s">
        <v>7455</v>
      </c>
      <c r="AK669" s="7">
        <v>45560</v>
      </c>
      <c r="AL669" s="1" t="s">
        <v>7455</v>
      </c>
    </row>
    <row r="670" spans="1:38" s="20" customFormat="1" x14ac:dyDescent="0.3">
      <c r="A670" s="14">
        <v>669</v>
      </c>
      <c r="B670" s="14" t="str">
        <f>_xlfn.CONCAT(AE670,"-",VLOOKUP(AE670,t_objeto!B:D,3,FALSE),"-",A670)</f>
        <v>RMAT-PERCCO-669</v>
      </c>
      <c r="C670" s="22" t="str">
        <f t="shared" si="110"/>
        <v>LAMINA_LISA__INOX_304/316 L_5'X10'_11</v>
      </c>
      <c r="D670" s="14" t="s">
        <v>7412</v>
      </c>
      <c r="E670" s="14" t="s">
        <v>7408</v>
      </c>
      <c r="F670" s="21" t="s">
        <v>7409</v>
      </c>
      <c r="G670" s="22" t="s">
        <v>7387</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7356</v>
      </c>
      <c r="AF670" s="1" t="str">
        <f>VLOOKUP(AE670,t_objeto!B:C,2,FALSE)</f>
        <v>RAW_MATERIAL</v>
      </c>
      <c r="AG670" s="1">
        <v>8</v>
      </c>
      <c r="AH670" s="1" t="str">
        <f>VLOOKUP(AG670,t_entry_status!A:AE,2,FALSE)</f>
        <v>PENDING</v>
      </c>
      <c r="AI670" s="7">
        <v>45560</v>
      </c>
      <c r="AJ670" s="1" t="s">
        <v>7455</v>
      </c>
      <c r="AK670" s="7">
        <v>45560</v>
      </c>
      <c r="AL670" s="1" t="s">
        <v>7455</v>
      </c>
    </row>
    <row r="671" spans="1:38" s="20" customFormat="1" x14ac:dyDescent="0.3">
      <c r="A671" s="14">
        <v>670</v>
      </c>
      <c r="B671" s="14" t="str">
        <f>_xlfn.CONCAT(AE671,"-",VLOOKUP(AE671,t_objeto!B:D,3,FALSE),"-",A671)</f>
        <v>RMAT-PERCCO-670</v>
      </c>
      <c r="C671" s="22" t="str">
        <f t="shared" si="110"/>
        <v>LAMINA_LISA__INOX_304/316 L_5'X10'_12</v>
      </c>
      <c r="D671" s="14" t="s">
        <v>7412</v>
      </c>
      <c r="E671" s="14" t="s">
        <v>7408</v>
      </c>
      <c r="F671" s="21" t="s">
        <v>7409</v>
      </c>
      <c r="G671" s="22" t="s">
        <v>7387</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7356</v>
      </c>
      <c r="AF671" s="1" t="str">
        <f>VLOOKUP(AE671,t_objeto!B:C,2,FALSE)</f>
        <v>RAW_MATERIAL</v>
      </c>
      <c r="AG671" s="1">
        <v>8</v>
      </c>
      <c r="AH671" s="1" t="str">
        <f>VLOOKUP(AG671,t_entry_status!A:AE,2,FALSE)</f>
        <v>PENDING</v>
      </c>
      <c r="AI671" s="7">
        <v>45560</v>
      </c>
      <c r="AJ671" s="1" t="s">
        <v>7455</v>
      </c>
      <c r="AK671" s="7">
        <v>45560</v>
      </c>
      <c r="AL671" s="1" t="s">
        <v>7455</v>
      </c>
    </row>
    <row r="672" spans="1:38" s="20" customFormat="1" x14ac:dyDescent="0.3">
      <c r="A672" s="14">
        <v>671</v>
      </c>
      <c r="B672" s="14" t="str">
        <f>_xlfn.CONCAT(AE672,"-",VLOOKUP(AE672,t_objeto!B:D,3,FALSE),"-",A672)</f>
        <v>RMAT-PERCCO-671</v>
      </c>
      <c r="C672" s="22" t="str">
        <f t="shared" si="110"/>
        <v>LAMINA_LISA__INOX_304/316 L_5'X10'_13</v>
      </c>
      <c r="D672" s="14" t="s">
        <v>7412</v>
      </c>
      <c r="E672" s="14" t="s">
        <v>7408</v>
      </c>
      <c r="F672" s="21" t="s">
        <v>7409</v>
      </c>
      <c r="G672" s="22" t="s">
        <v>7387</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7356</v>
      </c>
      <c r="AF672" s="1" t="str">
        <f>VLOOKUP(AE672,t_objeto!B:C,2,FALSE)</f>
        <v>RAW_MATERIAL</v>
      </c>
      <c r="AG672" s="1">
        <v>8</v>
      </c>
      <c r="AH672" s="1" t="str">
        <f>VLOOKUP(AG672,t_entry_status!A:AE,2,FALSE)</f>
        <v>PENDING</v>
      </c>
      <c r="AI672" s="7">
        <v>45560</v>
      </c>
      <c r="AJ672" s="1" t="s">
        <v>7455</v>
      </c>
      <c r="AK672" s="7">
        <v>45560</v>
      </c>
      <c r="AL672" s="1" t="s">
        <v>7455</v>
      </c>
    </row>
    <row r="673" spans="1:38" s="20" customFormat="1" x14ac:dyDescent="0.3">
      <c r="A673" s="14">
        <v>672</v>
      </c>
      <c r="B673" s="14" t="str">
        <f>_xlfn.CONCAT(AE673,"-",VLOOKUP(AE673,t_objeto!B:D,3,FALSE),"-",A673)</f>
        <v>RMAT-PERCCO-672</v>
      </c>
      <c r="C673" s="22" t="str">
        <f t="shared" si="110"/>
        <v>LAMINA_LISA__INOX_304/316 L_5'X10'_14</v>
      </c>
      <c r="D673" s="14" t="s">
        <v>7412</v>
      </c>
      <c r="E673" s="14" t="s">
        <v>7408</v>
      </c>
      <c r="F673" s="21" t="s">
        <v>7409</v>
      </c>
      <c r="G673" s="22" t="s">
        <v>7387</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7356</v>
      </c>
      <c r="AF673" s="1" t="str">
        <f>VLOOKUP(AE673,t_objeto!B:C,2,FALSE)</f>
        <v>RAW_MATERIAL</v>
      </c>
      <c r="AG673" s="1">
        <v>8</v>
      </c>
      <c r="AH673" s="1" t="str">
        <f>VLOOKUP(AG673,t_entry_status!A:AE,2,FALSE)</f>
        <v>PENDING</v>
      </c>
      <c r="AI673" s="7">
        <v>45560</v>
      </c>
      <c r="AJ673" s="1" t="s">
        <v>7455</v>
      </c>
      <c r="AK673" s="7">
        <v>45560</v>
      </c>
      <c r="AL673" s="1" t="s">
        <v>7455</v>
      </c>
    </row>
    <row r="674" spans="1:38" s="20" customFormat="1" x14ac:dyDescent="0.3">
      <c r="A674" s="14">
        <v>673</v>
      </c>
      <c r="B674" s="14" t="str">
        <f>_xlfn.CONCAT(AE674,"-",VLOOKUP(AE674,t_objeto!B:D,3,FALSE),"-",A674)</f>
        <v>RMAT-PERCCO-673</v>
      </c>
      <c r="C674" s="22" t="str">
        <f t="shared" si="110"/>
        <v>LAMINA_LISA__INOX_304/316 L_5'X10'_15</v>
      </c>
      <c r="D674" s="14" t="s">
        <v>7412</v>
      </c>
      <c r="E674" s="14" t="s">
        <v>7408</v>
      </c>
      <c r="F674" s="21" t="s">
        <v>7409</v>
      </c>
      <c r="G674" s="22" t="s">
        <v>7387</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7356</v>
      </c>
      <c r="AF674" s="1" t="str">
        <f>VLOOKUP(AE674,t_objeto!B:C,2,FALSE)</f>
        <v>RAW_MATERIAL</v>
      </c>
      <c r="AG674" s="1">
        <v>8</v>
      </c>
      <c r="AH674" s="1" t="str">
        <f>VLOOKUP(AG674,t_entry_status!A:AE,2,FALSE)</f>
        <v>PENDING</v>
      </c>
      <c r="AI674" s="7">
        <v>45560</v>
      </c>
      <c r="AJ674" s="1" t="s">
        <v>7455</v>
      </c>
      <c r="AK674" s="7">
        <v>45560</v>
      </c>
      <c r="AL674" s="1" t="s">
        <v>7455</v>
      </c>
    </row>
    <row r="675" spans="1:38" s="20" customFormat="1" x14ac:dyDescent="0.3">
      <c r="A675" s="14">
        <v>674</v>
      </c>
      <c r="B675" s="14" t="str">
        <f>_xlfn.CONCAT(AE675,"-",VLOOKUP(AE675,t_objeto!B:D,3,FALSE),"-",A675)</f>
        <v>RMAT-PERCCO-674</v>
      </c>
      <c r="C675" s="22" t="str">
        <f t="shared" si="110"/>
        <v>LAMINA_LISA__INOX_304/316 L_5'X10'_16</v>
      </c>
      <c r="D675" s="14" t="s">
        <v>7412</v>
      </c>
      <c r="E675" s="14" t="s">
        <v>7408</v>
      </c>
      <c r="F675" s="21" t="s">
        <v>7409</v>
      </c>
      <c r="G675" s="22" t="s">
        <v>7387</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7356</v>
      </c>
      <c r="AF675" s="1" t="str">
        <f>VLOOKUP(AE675,t_objeto!B:C,2,FALSE)</f>
        <v>RAW_MATERIAL</v>
      </c>
      <c r="AG675" s="1">
        <v>8</v>
      </c>
      <c r="AH675" s="1" t="str">
        <f>VLOOKUP(AG675,t_entry_status!A:AE,2,FALSE)</f>
        <v>PENDING</v>
      </c>
      <c r="AI675" s="7">
        <v>45560</v>
      </c>
      <c r="AJ675" s="1" t="s">
        <v>7455</v>
      </c>
      <c r="AK675" s="7">
        <v>45560</v>
      </c>
      <c r="AL675" s="1" t="s">
        <v>7455</v>
      </c>
    </row>
    <row r="676" spans="1:38" s="20" customFormat="1" x14ac:dyDescent="0.3">
      <c r="A676" s="14">
        <v>675</v>
      </c>
      <c r="B676" s="14" t="str">
        <f>_xlfn.CONCAT(AE676,"-",VLOOKUP(AE676,t_objeto!B:D,3,FALSE),"-",A676)</f>
        <v>RMAT-PERCCO-675</v>
      </c>
      <c r="C676" s="22" t="str">
        <f t="shared" si="110"/>
        <v>LAMINA_LISA__INOX_304/316 L_5'X10'_17</v>
      </c>
      <c r="D676" s="14" t="s">
        <v>7412</v>
      </c>
      <c r="E676" s="14" t="s">
        <v>7408</v>
      </c>
      <c r="F676" s="21" t="s">
        <v>7409</v>
      </c>
      <c r="G676" s="22" t="s">
        <v>7387</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7356</v>
      </c>
      <c r="AF676" s="1" t="str">
        <f>VLOOKUP(AE676,t_objeto!B:C,2,FALSE)</f>
        <v>RAW_MATERIAL</v>
      </c>
      <c r="AG676" s="1">
        <v>8</v>
      </c>
      <c r="AH676" s="1" t="str">
        <f>VLOOKUP(AG676,t_entry_status!A:AE,2,FALSE)</f>
        <v>PENDING</v>
      </c>
      <c r="AI676" s="7">
        <v>45560</v>
      </c>
      <c r="AJ676" s="1" t="s">
        <v>7455</v>
      </c>
      <c r="AK676" s="7">
        <v>45560</v>
      </c>
      <c r="AL676" s="1" t="s">
        <v>7455</v>
      </c>
    </row>
    <row r="677" spans="1:38" s="20" customFormat="1" x14ac:dyDescent="0.3">
      <c r="A677" s="14">
        <v>676</v>
      </c>
      <c r="B677" s="14" t="str">
        <f>_xlfn.CONCAT(AE677,"-",VLOOKUP(AE677,t_objeto!B:D,3,FALSE),"-",A677)</f>
        <v>RMAT-PERCCO-676</v>
      </c>
      <c r="C677" s="22" t="str">
        <f t="shared" si="110"/>
        <v>LAMINA_LISA__INOX_304/316 L_5'X10'_18</v>
      </c>
      <c r="D677" s="14" t="s">
        <v>7412</v>
      </c>
      <c r="E677" s="14" t="s">
        <v>7408</v>
      </c>
      <c r="F677" s="21" t="s">
        <v>7409</v>
      </c>
      <c r="G677" s="22" t="s">
        <v>7387</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7356</v>
      </c>
      <c r="AF677" s="1" t="str">
        <f>VLOOKUP(AE677,t_objeto!B:C,2,FALSE)</f>
        <v>RAW_MATERIAL</v>
      </c>
      <c r="AG677" s="1">
        <v>8</v>
      </c>
      <c r="AH677" s="1" t="str">
        <f>VLOOKUP(AG677,t_entry_status!A:AE,2,FALSE)</f>
        <v>PENDING</v>
      </c>
      <c r="AI677" s="7">
        <v>45560</v>
      </c>
      <c r="AJ677" s="1" t="s">
        <v>7455</v>
      </c>
      <c r="AK677" s="7">
        <v>45560</v>
      </c>
      <c r="AL677" s="1" t="s">
        <v>7455</v>
      </c>
    </row>
    <row r="678" spans="1:38" s="20" customFormat="1" x14ac:dyDescent="0.3">
      <c r="A678" s="14">
        <v>677</v>
      </c>
      <c r="B678" s="14" t="str">
        <f>_xlfn.CONCAT(AE678,"-",VLOOKUP(AE678,t_objeto!B:D,3,FALSE),"-",A678)</f>
        <v>RMAT-PERCCO-677</v>
      </c>
      <c r="C678" s="22" t="str">
        <f t="shared" si="110"/>
        <v>LAMINA_LISA__INOX_304/316 L_5'X10'_19</v>
      </c>
      <c r="D678" s="14" t="s">
        <v>7412</v>
      </c>
      <c r="E678" s="14" t="s">
        <v>7408</v>
      </c>
      <c r="F678" s="21" t="s">
        <v>7409</v>
      </c>
      <c r="G678" s="22" t="s">
        <v>7387</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7356</v>
      </c>
      <c r="AF678" s="1" t="str">
        <f>VLOOKUP(AE678,t_objeto!B:C,2,FALSE)</f>
        <v>RAW_MATERIAL</v>
      </c>
      <c r="AG678" s="1">
        <v>8</v>
      </c>
      <c r="AH678" s="1" t="str">
        <f>VLOOKUP(AG678,t_entry_status!A:AE,2,FALSE)</f>
        <v>PENDING</v>
      </c>
      <c r="AI678" s="7">
        <v>45560</v>
      </c>
      <c r="AJ678" s="1" t="s">
        <v>7455</v>
      </c>
      <c r="AK678" s="7">
        <v>45560</v>
      </c>
      <c r="AL678" s="1" t="s">
        <v>7455</v>
      </c>
    </row>
    <row r="679" spans="1:38" s="20" customFormat="1" x14ac:dyDescent="0.3">
      <c r="A679" s="14">
        <v>678</v>
      </c>
      <c r="B679" s="14" t="str">
        <f>_xlfn.CONCAT(AE679,"-",VLOOKUP(AE679,t_objeto!B:D,3,FALSE),"-",A679)</f>
        <v>RMAT-PERCCO-678</v>
      </c>
      <c r="C679" s="22" t="str">
        <f t="shared" si="110"/>
        <v>LAMINA_LISA__INOX_304/316 L_5'X10'_20</v>
      </c>
      <c r="D679" s="14" t="s">
        <v>7412</v>
      </c>
      <c r="E679" s="14" t="s">
        <v>7408</v>
      </c>
      <c r="F679" s="21" t="s">
        <v>7409</v>
      </c>
      <c r="G679" s="22" t="s">
        <v>7387</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7356</v>
      </c>
      <c r="AF679" s="1" t="str">
        <f>VLOOKUP(AE679,t_objeto!B:C,2,FALSE)</f>
        <v>RAW_MATERIAL</v>
      </c>
      <c r="AG679" s="1">
        <v>8</v>
      </c>
      <c r="AH679" s="1" t="str">
        <f>VLOOKUP(AG679,t_entry_status!A:AE,2,FALSE)</f>
        <v>PENDING</v>
      </c>
      <c r="AI679" s="7">
        <v>45560</v>
      </c>
      <c r="AJ679" s="1" t="s">
        <v>7455</v>
      </c>
      <c r="AK679" s="7">
        <v>45560</v>
      </c>
      <c r="AL679" s="1" t="s">
        <v>7455</v>
      </c>
    </row>
    <row r="680" spans="1:38" s="20" customFormat="1" x14ac:dyDescent="0.3">
      <c r="A680" s="14">
        <v>679</v>
      </c>
      <c r="B680" s="14" t="str">
        <f>_xlfn.CONCAT(AE680,"-",VLOOKUP(AE680,t_objeto!B:D,3,FALSE),"-",A680)</f>
        <v>RMAT-PERCCO-679</v>
      </c>
      <c r="C680" s="22" t="str">
        <f t="shared" si="110"/>
        <v>LAMINA_LISA__INOX_304/316 L_5'X10'_21</v>
      </c>
      <c r="D680" s="14" t="s">
        <v>7412</v>
      </c>
      <c r="E680" s="14" t="s">
        <v>7408</v>
      </c>
      <c r="F680" s="21" t="s">
        <v>7409</v>
      </c>
      <c r="G680" s="22" t="s">
        <v>7387</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7356</v>
      </c>
      <c r="AF680" s="1" t="str">
        <f>VLOOKUP(AE680,t_objeto!B:C,2,FALSE)</f>
        <v>RAW_MATERIAL</v>
      </c>
      <c r="AG680" s="1">
        <v>8</v>
      </c>
      <c r="AH680" s="1" t="str">
        <f>VLOOKUP(AG680,t_entry_status!A:AE,2,FALSE)</f>
        <v>PENDING</v>
      </c>
      <c r="AI680" s="7">
        <v>45560</v>
      </c>
      <c r="AJ680" s="1" t="s">
        <v>7455</v>
      </c>
      <c r="AK680" s="7">
        <v>45560</v>
      </c>
      <c r="AL680" s="1" t="s">
        <v>7455</v>
      </c>
    </row>
    <row r="681" spans="1:38" s="20" customFormat="1" x14ac:dyDescent="0.3">
      <c r="A681" s="14">
        <v>680</v>
      </c>
      <c r="B681" s="14" t="str">
        <f>_xlfn.CONCAT(AE681,"-",VLOOKUP(AE681,t_objeto!B:D,3,FALSE),"-",A681)</f>
        <v>RMAT-PERCCO-680</v>
      </c>
      <c r="C681" s="22" t="str">
        <f t="shared" si="110"/>
        <v>LAMINA_LISA__INOX_304/316 L_5'X10'_22</v>
      </c>
      <c r="D681" s="14" t="s">
        <v>7412</v>
      </c>
      <c r="E681" s="14" t="s">
        <v>7408</v>
      </c>
      <c r="F681" s="21" t="s">
        <v>7409</v>
      </c>
      <c r="G681" s="22" t="s">
        <v>7387</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7356</v>
      </c>
      <c r="AF681" s="1" t="str">
        <f>VLOOKUP(AE681,t_objeto!B:C,2,FALSE)</f>
        <v>RAW_MATERIAL</v>
      </c>
      <c r="AG681" s="1">
        <v>8</v>
      </c>
      <c r="AH681" s="1" t="str">
        <f>VLOOKUP(AG681,t_entry_status!A:AE,2,FALSE)</f>
        <v>PENDING</v>
      </c>
      <c r="AI681" s="7">
        <v>45560</v>
      </c>
      <c r="AJ681" s="1" t="s">
        <v>7455</v>
      </c>
      <c r="AK681" s="7">
        <v>45560</v>
      </c>
      <c r="AL681" s="1" t="s">
        <v>7455</v>
      </c>
    </row>
    <row r="682" spans="1:38" s="20" customFormat="1" x14ac:dyDescent="0.3">
      <c r="A682" s="14">
        <v>681</v>
      </c>
      <c r="B682" s="14" t="str">
        <f>_xlfn.CONCAT(AE682,"-",VLOOKUP(AE682,t_objeto!B:D,3,FALSE),"-",A682)</f>
        <v>RMAT-PERCCO-681</v>
      </c>
      <c r="C682" s="22" t="str">
        <f t="shared" si="110"/>
        <v>LAMINA_LISA__INOX_304/316 L_5'X10'_23</v>
      </c>
      <c r="D682" s="14" t="s">
        <v>7412</v>
      </c>
      <c r="E682" s="14" t="s">
        <v>7408</v>
      </c>
      <c r="F682" s="21" t="s">
        <v>7409</v>
      </c>
      <c r="G682" s="22" t="s">
        <v>7387</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7356</v>
      </c>
      <c r="AF682" s="1" t="str">
        <f>VLOOKUP(AE682,t_objeto!B:C,2,FALSE)</f>
        <v>RAW_MATERIAL</v>
      </c>
      <c r="AG682" s="1">
        <v>8</v>
      </c>
      <c r="AH682" s="1" t="str">
        <f>VLOOKUP(AG682,t_entry_status!A:AE,2,FALSE)</f>
        <v>PENDING</v>
      </c>
      <c r="AI682" s="7">
        <v>45560</v>
      </c>
      <c r="AJ682" s="1" t="s">
        <v>7455</v>
      </c>
      <c r="AK682" s="7">
        <v>45560</v>
      </c>
      <c r="AL682" s="1" t="s">
        <v>7455</v>
      </c>
    </row>
    <row r="683" spans="1:38" s="20" customFormat="1" x14ac:dyDescent="0.3">
      <c r="A683" s="14">
        <v>682</v>
      </c>
      <c r="B683" s="14" t="str">
        <f>_xlfn.CONCAT(AE683,"-",VLOOKUP(AE683,t_objeto!B:D,3,FALSE),"-",A683)</f>
        <v>RMAT-PERCCO-682</v>
      </c>
      <c r="C683" s="22" t="str">
        <f t="shared" si="110"/>
        <v>LAMINA_LISA__INOX_304/316 L_5'X10'_24</v>
      </c>
      <c r="D683" s="14" t="s">
        <v>7412</v>
      </c>
      <c r="E683" s="14" t="s">
        <v>7408</v>
      </c>
      <c r="F683" s="21" t="s">
        <v>7409</v>
      </c>
      <c r="G683" s="22" t="s">
        <v>7387</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7356</v>
      </c>
      <c r="AF683" s="1" t="str">
        <f>VLOOKUP(AE683,t_objeto!B:C,2,FALSE)</f>
        <v>RAW_MATERIAL</v>
      </c>
      <c r="AG683" s="1">
        <v>8</v>
      </c>
      <c r="AH683" s="1" t="str">
        <f>VLOOKUP(AG683,t_entry_status!A:AE,2,FALSE)</f>
        <v>PENDING</v>
      </c>
      <c r="AI683" s="7">
        <v>45560</v>
      </c>
      <c r="AJ683" s="1" t="s">
        <v>7455</v>
      </c>
      <c r="AK683" s="7">
        <v>45560</v>
      </c>
      <c r="AL683" s="1" t="s">
        <v>7455</v>
      </c>
    </row>
    <row r="684" spans="1:38" s="20" customFormat="1" x14ac:dyDescent="0.3">
      <c r="A684" s="14">
        <v>683</v>
      </c>
      <c r="B684" s="14" t="str">
        <f>_xlfn.CONCAT(AE684,"-",VLOOKUP(AE684,t_objeto!B:D,3,FALSE),"-",A684)</f>
        <v>RMAT-PERCCO-683</v>
      </c>
      <c r="C684" s="22" t="str">
        <f t="shared" si="110"/>
        <v>LAMINA_LISA__INOX_304/316 L_5'X10'_25</v>
      </c>
      <c r="D684" s="14" t="s">
        <v>7412</v>
      </c>
      <c r="E684" s="14" t="s">
        <v>7408</v>
      </c>
      <c r="F684" s="21" t="s">
        <v>7409</v>
      </c>
      <c r="G684" s="22" t="s">
        <v>7387</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7356</v>
      </c>
      <c r="AF684" s="1" t="str">
        <f>VLOOKUP(AE684,t_objeto!B:C,2,FALSE)</f>
        <v>RAW_MATERIAL</v>
      </c>
      <c r="AG684" s="1">
        <v>8</v>
      </c>
      <c r="AH684" s="1" t="str">
        <f>VLOOKUP(AG684,t_entry_status!A:AE,2,FALSE)</f>
        <v>PENDING</v>
      </c>
      <c r="AI684" s="7">
        <v>45560</v>
      </c>
      <c r="AJ684" s="1" t="s">
        <v>7455</v>
      </c>
      <c r="AK684" s="7">
        <v>45560</v>
      </c>
      <c r="AL684" s="1" t="s">
        <v>7455</v>
      </c>
    </row>
    <row r="685" spans="1:38" s="20" customFormat="1" x14ac:dyDescent="0.3">
      <c r="A685" s="14">
        <v>684</v>
      </c>
      <c r="B685" s="14" t="str">
        <f>_xlfn.CONCAT(AE685,"-",VLOOKUP(AE685,t_objeto!B:D,3,FALSE),"-",A685)</f>
        <v>RMAT-PERCCO-684</v>
      </c>
      <c r="C685" s="22" t="str">
        <f t="shared" si="110"/>
        <v>LAMINA_LISA__INOX_304/316 L_5'X10'_26</v>
      </c>
      <c r="D685" s="14" t="s">
        <v>7412</v>
      </c>
      <c r="E685" s="14" t="s">
        <v>7408</v>
      </c>
      <c r="F685" s="21" t="s">
        <v>7409</v>
      </c>
      <c r="G685" s="22" t="s">
        <v>7387</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7356</v>
      </c>
      <c r="AF685" s="1" t="str">
        <f>VLOOKUP(AE685,t_objeto!B:C,2,FALSE)</f>
        <v>RAW_MATERIAL</v>
      </c>
      <c r="AG685" s="1">
        <v>8</v>
      </c>
      <c r="AH685" s="1" t="str">
        <f>VLOOKUP(AG685,t_entry_status!A:AE,2,FALSE)</f>
        <v>PENDING</v>
      </c>
      <c r="AI685" s="7">
        <v>45560</v>
      </c>
      <c r="AJ685" s="1" t="s">
        <v>7455</v>
      </c>
      <c r="AK685" s="7">
        <v>45560</v>
      </c>
      <c r="AL685" s="1" t="s">
        <v>7455</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691ED58-9316-459F-BE25-299F596A05F8}">
          <x14:formula1>
            <xm:f>t_objeto!$B:$B</xm:f>
          </x14:formula1>
          <xm:sqref>AE2:AE685</xm:sqref>
        </x14:dataValidation>
        <x14:dataValidation type="list" allowBlank="1" showInputMessage="1" showErrorMessage="1" xr:uid="{B0905A39-9729-4272-A308-A1B09D9297C7}">
          <x14:formula1>
            <xm:f>t_entry_status!$A:$A</xm:f>
          </x14:formula1>
          <xm:sqref>AG2:AG685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RowHeight="14.4" x14ac:dyDescent="0.3"/>
  <cols>
    <col min="1" max="4" width="11.5546875" style="1"/>
    <col min="5" max="5" width="13" style="1" bestFit="1" customWidth="1"/>
    <col min="6" max="6" width="19.44140625" style="1" bestFit="1" customWidth="1"/>
    <col min="7" max="7" width="20" style="1" bestFit="1" customWidth="1"/>
    <col min="8" max="8" width="23.33203125" style="1" bestFit="1" customWidth="1"/>
    <col min="9" max="9" width="13.21875" style="1" bestFit="1" customWidth="1"/>
    <col min="10" max="16384" width="11.5546875" style="1"/>
  </cols>
  <sheetData>
    <row r="1" spans="1:9" s="5" customFormat="1" x14ac:dyDescent="0.3">
      <c r="A1" s="5" t="s">
        <v>7427</v>
      </c>
      <c r="B1" s="5" t="s">
        <v>7428</v>
      </c>
      <c r="C1" s="5" t="s">
        <v>7429</v>
      </c>
      <c r="D1" s="5" t="s">
        <v>7430</v>
      </c>
      <c r="E1" s="5" t="s">
        <v>7431</v>
      </c>
      <c r="F1" s="5" t="s">
        <v>7440</v>
      </c>
      <c r="G1" s="5" t="s">
        <v>7417</v>
      </c>
      <c r="H1" s="5" t="s">
        <v>7418</v>
      </c>
      <c r="I1" s="5" t="s">
        <v>7419</v>
      </c>
    </row>
    <row r="2" spans="1:9" x14ac:dyDescent="0.3">
      <c r="A2" s="26">
        <v>45292</v>
      </c>
      <c r="B2" s="27">
        <f>YEAR(A2)</f>
        <v>2024</v>
      </c>
      <c r="C2" s="27">
        <f>MONTH(A2)</f>
        <v>1</v>
      </c>
      <c r="D2" s="27">
        <f>DAY(A2)</f>
        <v>1</v>
      </c>
      <c r="E2" s="27">
        <f>WEEKDAY(A2)</f>
        <v>2</v>
      </c>
      <c r="F2" s="27">
        <f>VLOOKUP(E2,[1]t_calendarioPolitica!A:C,3,FALSE)</f>
        <v>1</v>
      </c>
      <c r="G2" s="1">
        <v>0</v>
      </c>
      <c r="H2" s="1">
        <v>1</v>
      </c>
      <c r="I2" s="1">
        <f>IF(AND(F2&lt;&gt;0, H2&lt;&gt;0,G2&lt;&gt;0), 1, 0)</f>
        <v>0</v>
      </c>
    </row>
    <row r="3" spans="1:9" x14ac:dyDescent="0.3">
      <c r="A3" s="26">
        <v>45293</v>
      </c>
      <c r="B3" s="27">
        <f t="shared" ref="B3:B66" si="0">YEAR(A3)</f>
        <v>2024</v>
      </c>
      <c r="C3" s="27">
        <f t="shared" ref="C3:C66" si="1">MONTH(A3)</f>
        <v>1</v>
      </c>
      <c r="D3" s="27">
        <f t="shared" ref="D3:D66" si="2">DAY(A3)</f>
        <v>2</v>
      </c>
      <c r="E3" s="27">
        <f t="shared" ref="E3:E66" si="3">WEEKDAY(A3)</f>
        <v>3</v>
      </c>
      <c r="F3" s="27">
        <f>VLOOKUP(E3,[1]t_calendarioPolitica!A:C,3,FALSE)</f>
        <v>1</v>
      </c>
      <c r="G3" s="1">
        <v>1</v>
      </c>
      <c r="H3" s="1">
        <v>1</v>
      </c>
      <c r="I3" s="1">
        <f t="shared" ref="I3:I66" si="4">IF(AND(F3&lt;&gt;0, H3&lt;&gt;0,G3&lt;&gt;0), 1, 0)</f>
        <v>1</v>
      </c>
    </row>
    <row r="4" spans="1:9" x14ac:dyDescent="0.3">
      <c r="A4" s="26">
        <v>45294</v>
      </c>
      <c r="B4" s="27">
        <f t="shared" si="0"/>
        <v>2024</v>
      </c>
      <c r="C4" s="27">
        <f t="shared" si="1"/>
        <v>1</v>
      </c>
      <c r="D4" s="27">
        <f t="shared" si="2"/>
        <v>3</v>
      </c>
      <c r="E4" s="27">
        <f t="shared" si="3"/>
        <v>4</v>
      </c>
      <c r="F4" s="27">
        <f>VLOOKUP(E4,[1]t_calendarioPolitica!A:C,3,FALSE)</f>
        <v>1</v>
      </c>
      <c r="G4" s="1">
        <v>1</v>
      </c>
      <c r="H4" s="1">
        <v>1</v>
      </c>
      <c r="I4" s="1">
        <f t="shared" si="4"/>
        <v>1</v>
      </c>
    </row>
    <row r="5" spans="1:9" x14ac:dyDescent="0.3">
      <c r="A5" s="26">
        <v>45295</v>
      </c>
      <c r="B5" s="27">
        <f t="shared" si="0"/>
        <v>2024</v>
      </c>
      <c r="C5" s="27">
        <f t="shared" si="1"/>
        <v>1</v>
      </c>
      <c r="D5" s="27">
        <f t="shared" si="2"/>
        <v>4</v>
      </c>
      <c r="E5" s="27">
        <f t="shared" si="3"/>
        <v>5</v>
      </c>
      <c r="F5" s="27">
        <f>VLOOKUP(E5,[1]t_calendarioPolitica!A:C,3,FALSE)</f>
        <v>1</v>
      </c>
      <c r="G5" s="1">
        <v>1</v>
      </c>
      <c r="H5" s="1">
        <v>1</v>
      </c>
      <c r="I5" s="1">
        <f t="shared" si="4"/>
        <v>1</v>
      </c>
    </row>
    <row r="6" spans="1:9" x14ac:dyDescent="0.3">
      <c r="A6" s="26">
        <v>45296</v>
      </c>
      <c r="B6" s="27">
        <f t="shared" si="0"/>
        <v>2024</v>
      </c>
      <c r="C6" s="27">
        <f t="shared" si="1"/>
        <v>1</v>
      </c>
      <c r="D6" s="27">
        <f t="shared" si="2"/>
        <v>5</v>
      </c>
      <c r="E6" s="27">
        <f t="shared" si="3"/>
        <v>6</v>
      </c>
      <c r="F6" s="27">
        <f>VLOOKUP(E6,[1]t_calendarioPolitica!A:C,3,FALSE)</f>
        <v>1</v>
      </c>
      <c r="G6" s="1">
        <v>1</v>
      </c>
      <c r="H6" s="1">
        <v>1</v>
      </c>
      <c r="I6" s="1">
        <f t="shared" si="4"/>
        <v>1</v>
      </c>
    </row>
    <row r="7" spans="1:9" x14ac:dyDescent="0.3">
      <c r="A7" s="26">
        <v>45297</v>
      </c>
      <c r="B7" s="27">
        <f t="shared" si="0"/>
        <v>2024</v>
      </c>
      <c r="C7" s="27">
        <f t="shared" si="1"/>
        <v>1</v>
      </c>
      <c r="D7" s="27">
        <f t="shared" si="2"/>
        <v>6</v>
      </c>
      <c r="E7" s="27">
        <f t="shared" si="3"/>
        <v>7</v>
      </c>
      <c r="F7" s="27">
        <f>VLOOKUP(E7,[1]t_calendarioPolitica!A:C,3,FALSE)</f>
        <v>2</v>
      </c>
      <c r="G7" s="1">
        <v>1</v>
      </c>
      <c r="H7" s="1">
        <v>1</v>
      </c>
      <c r="I7" s="1">
        <f t="shared" si="4"/>
        <v>1</v>
      </c>
    </row>
    <row r="8" spans="1:9" x14ac:dyDescent="0.3">
      <c r="A8" s="26">
        <v>45298</v>
      </c>
      <c r="B8" s="27">
        <f t="shared" si="0"/>
        <v>2024</v>
      </c>
      <c r="C8" s="27">
        <f t="shared" si="1"/>
        <v>1</v>
      </c>
      <c r="D8" s="27">
        <f t="shared" si="2"/>
        <v>7</v>
      </c>
      <c r="E8" s="27">
        <f t="shared" si="3"/>
        <v>1</v>
      </c>
      <c r="F8" s="27">
        <f>VLOOKUP(E8,[1]t_calendarioPolitica!A:C,3,FALSE)</f>
        <v>0</v>
      </c>
      <c r="G8" s="1">
        <v>1</v>
      </c>
      <c r="H8" s="1">
        <v>1</v>
      </c>
      <c r="I8" s="1">
        <f t="shared" si="4"/>
        <v>0</v>
      </c>
    </row>
    <row r="9" spans="1:9" x14ac:dyDescent="0.3">
      <c r="A9" s="26">
        <v>45299</v>
      </c>
      <c r="B9" s="27">
        <f t="shared" si="0"/>
        <v>2024</v>
      </c>
      <c r="C9" s="27">
        <f t="shared" si="1"/>
        <v>1</v>
      </c>
      <c r="D9" s="27">
        <f t="shared" si="2"/>
        <v>8</v>
      </c>
      <c r="E9" s="27">
        <f t="shared" si="3"/>
        <v>2</v>
      </c>
      <c r="F9" s="27">
        <f>VLOOKUP(E9,[1]t_calendarioPolitica!A:C,3,FALSE)</f>
        <v>1</v>
      </c>
      <c r="G9" s="1">
        <v>1</v>
      </c>
      <c r="H9" s="1">
        <v>1</v>
      </c>
      <c r="I9" s="1">
        <f t="shared" si="4"/>
        <v>1</v>
      </c>
    </row>
    <row r="10" spans="1:9" x14ac:dyDescent="0.3">
      <c r="A10" s="26">
        <v>45300</v>
      </c>
      <c r="B10" s="27">
        <f t="shared" si="0"/>
        <v>2024</v>
      </c>
      <c r="C10" s="27">
        <f t="shared" si="1"/>
        <v>1</v>
      </c>
      <c r="D10" s="27">
        <f t="shared" si="2"/>
        <v>9</v>
      </c>
      <c r="E10" s="27">
        <f t="shared" si="3"/>
        <v>3</v>
      </c>
      <c r="F10" s="27">
        <f>VLOOKUP(E10,[1]t_calendarioPolitica!A:C,3,FALSE)</f>
        <v>1</v>
      </c>
      <c r="G10" s="1">
        <v>1</v>
      </c>
      <c r="H10" s="1">
        <v>1</v>
      </c>
      <c r="I10" s="1">
        <f t="shared" si="4"/>
        <v>1</v>
      </c>
    </row>
    <row r="11" spans="1:9" x14ac:dyDescent="0.3">
      <c r="A11" s="26">
        <v>45301</v>
      </c>
      <c r="B11" s="27">
        <f t="shared" si="0"/>
        <v>2024</v>
      </c>
      <c r="C11" s="27">
        <f t="shared" si="1"/>
        <v>1</v>
      </c>
      <c r="D11" s="27">
        <f t="shared" si="2"/>
        <v>10</v>
      </c>
      <c r="E11" s="27">
        <f t="shared" si="3"/>
        <v>4</v>
      </c>
      <c r="F11" s="27">
        <f>VLOOKUP(E11,[1]t_calendarioPolitica!A:C,3,FALSE)</f>
        <v>1</v>
      </c>
      <c r="G11" s="1">
        <v>1</v>
      </c>
      <c r="H11" s="1">
        <v>1</v>
      </c>
      <c r="I11" s="1">
        <f t="shared" si="4"/>
        <v>1</v>
      </c>
    </row>
    <row r="12" spans="1:9" x14ac:dyDescent="0.3">
      <c r="A12" s="26">
        <v>45302</v>
      </c>
      <c r="B12" s="27">
        <f t="shared" si="0"/>
        <v>2024</v>
      </c>
      <c r="C12" s="27">
        <f t="shared" si="1"/>
        <v>1</v>
      </c>
      <c r="D12" s="27">
        <f t="shared" si="2"/>
        <v>11</v>
      </c>
      <c r="E12" s="27">
        <f t="shared" si="3"/>
        <v>5</v>
      </c>
      <c r="F12" s="27">
        <f>VLOOKUP(E12,[1]t_calendarioPolitica!A:C,3,FALSE)</f>
        <v>1</v>
      </c>
      <c r="G12" s="1">
        <v>1</v>
      </c>
      <c r="H12" s="1">
        <v>1</v>
      </c>
      <c r="I12" s="1">
        <f t="shared" si="4"/>
        <v>1</v>
      </c>
    </row>
    <row r="13" spans="1:9" x14ac:dyDescent="0.3">
      <c r="A13" s="26">
        <v>45303</v>
      </c>
      <c r="B13" s="27">
        <f t="shared" si="0"/>
        <v>2024</v>
      </c>
      <c r="C13" s="27">
        <f t="shared" si="1"/>
        <v>1</v>
      </c>
      <c r="D13" s="27">
        <f t="shared" si="2"/>
        <v>12</v>
      </c>
      <c r="E13" s="27">
        <f t="shared" si="3"/>
        <v>6</v>
      </c>
      <c r="F13" s="27">
        <f>VLOOKUP(E13,[1]t_calendarioPolitica!A:C,3,FALSE)</f>
        <v>1</v>
      </c>
      <c r="G13" s="1">
        <v>1</v>
      </c>
      <c r="H13" s="1">
        <v>1</v>
      </c>
      <c r="I13" s="1">
        <f t="shared" si="4"/>
        <v>1</v>
      </c>
    </row>
    <row r="14" spans="1:9" x14ac:dyDescent="0.3">
      <c r="A14" s="26">
        <v>45304</v>
      </c>
      <c r="B14" s="27">
        <f t="shared" si="0"/>
        <v>2024</v>
      </c>
      <c r="C14" s="27">
        <f t="shared" si="1"/>
        <v>1</v>
      </c>
      <c r="D14" s="27">
        <f t="shared" si="2"/>
        <v>13</v>
      </c>
      <c r="E14" s="27">
        <f t="shared" si="3"/>
        <v>7</v>
      </c>
      <c r="F14" s="27">
        <f>VLOOKUP(E14,[1]t_calendarioPolitica!A:C,3,FALSE)</f>
        <v>2</v>
      </c>
      <c r="G14" s="1">
        <v>1</v>
      </c>
      <c r="H14" s="1">
        <v>1</v>
      </c>
      <c r="I14" s="1">
        <f t="shared" si="4"/>
        <v>1</v>
      </c>
    </row>
    <row r="15" spans="1:9" x14ac:dyDescent="0.3">
      <c r="A15" s="26">
        <v>45305</v>
      </c>
      <c r="B15" s="27">
        <f t="shared" si="0"/>
        <v>2024</v>
      </c>
      <c r="C15" s="27">
        <f t="shared" si="1"/>
        <v>1</v>
      </c>
      <c r="D15" s="27">
        <f t="shared" si="2"/>
        <v>14</v>
      </c>
      <c r="E15" s="27">
        <f t="shared" si="3"/>
        <v>1</v>
      </c>
      <c r="F15" s="27">
        <f>VLOOKUP(E15,[1]t_calendarioPolitica!A:C,3,FALSE)</f>
        <v>0</v>
      </c>
      <c r="G15" s="1">
        <v>1</v>
      </c>
      <c r="H15" s="1">
        <v>1</v>
      </c>
      <c r="I15" s="1">
        <f t="shared" si="4"/>
        <v>0</v>
      </c>
    </row>
    <row r="16" spans="1:9" x14ac:dyDescent="0.3">
      <c r="A16" s="26">
        <v>45306</v>
      </c>
      <c r="B16" s="27">
        <f t="shared" si="0"/>
        <v>2024</v>
      </c>
      <c r="C16" s="27">
        <f t="shared" si="1"/>
        <v>1</v>
      </c>
      <c r="D16" s="27">
        <f t="shared" si="2"/>
        <v>15</v>
      </c>
      <c r="E16" s="27">
        <f t="shared" si="3"/>
        <v>2</v>
      </c>
      <c r="F16" s="27">
        <f>VLOOKUP(E16,[1]t_calendarioPolitica!A:C,3,FALSE)</f>
        <v>1</v>
      </c>
      <c r="G16" s="1">
        <v>1</v>
      </c>
      <c r="H16" s="1">
        <v>1</v>
      </c>
      <c r="I16" s="1">
        <f t="shared" si="4"/>
        <v>1</v>
      </c>
    </row>
    <row r="17" spans="1:9" x14ac:dyDescent="0.3">
      <c r="A17" s="26">
        <v>45307</v>
      </c>
      <c r="B17" s="27">
        <f t="shared" si="0"/>
        <v>2024</v>
      </c>
      <c r="C17" s="27">
        <f t="shared" si="1"/>
        <v>1</v>
      </c>
      <c r="D17" s="27">
        <f t="shared" si="2"/>
        <v>16</v>
      </c>
      <c r="E17" s="27">
        <f t="shared" si="3"/>
        <v>3</v>
      </c>
      <c r="F17" s="27">
        <f>VLOOKUP(E17,[1]t_calendarioPolitica!A:C,3,FALSE)</f>
        <v>1</v>
      </c>
      <c r="G17" s="1">
        <v>1</v>
      </c>
      <c r="H17" s="1">
        <v>1</v>
      </c>
      <c r="I17" s="1">
        <f t="shared" si="4"/>
        <v>1</v>
      </c>
    </row>
    <row r="18" spans="1:9" x14ac:dyDescent="0.3">
      <c r="A18" s="26">
        <v>45308</v>
      </c>
      <c r="B18" s="27">
        <f t="shared" si="0"/>
        <v>2024</v>
      </c>
      <c r="C18" s="27">
        <f t="shared" si="1"/>
        <v>1</v>
      </c>
      <c r="D18" s="27">
        <f t="shared" si="2"/>
        <v>17</v>
      </c>
      <c r="E18" s="27">
        <f t="shared" si="3"/>
        <v>4</v>
      </c>
      <c r="F18" s="27">
        <f>VLOOKUP(E18,[1]t_calendarioPolitica!A:C,3,FALSE)</f>
        <v>1</v>
      </c>
      <c r="G18" s="1">
        <v>1</v>
      </c>
      <c r="H18" s="1">
        <v>1</v>
      </c>
      <c r="I18" s="1">
        <f t="shared" si="4"/>
        <v>1</v>
      </c>
    </row>
    <row r="19" spans="1:9" x14ac:dyDescent="0.3">
      <c r="A19" s="26">
        <v>45309</v>
      </c>
      <c r="B19" s="27">
        <f t="shared" si="0"/>
        <v>2024</v>
      </c>
      <c r="C19" s="27">
        <f t="shared" si="1"/>
        <v>1</v>
      </c>
      <c r="D19" s="27">
        <f t="shared" si="2"/>
        <v>18</v>
      </c>
      <c r="E19" s="27">
        <f t="shared" si="3"/>
        <v>5</v>
      </c>
      <c r="F19" s="27">
        <f>VLOOKUP(E19,[1]t_calendarioPolitica!A:C,3,FALSE)</f>
        <v>1</v>
      </c>
      <c r="G19" s="1">
        <v>1</v>
      </c>
      <c r="H19" s="1">
        <v>1</v>
      </c>
      <c r="I19" s="1">
        <f t="shared" si="4"/>
        <v>1</v>
      </c>
    </row>
    <row r="20" spans="1:9" x14ac:dyDescent="0.3">
      <c r="A20" s="26">
        <v>45310</v>
      </c>
      <c r="B20" s="27">
        <f t="shared" si="0"/>
        <v>2024</v>
      </c>
      <c r="C20" s="27">
        <f t="shared" si="1"/>
        <v>1</v>
      </c>
      <c r="D20" s="27">
        <f t="shared" si="2"/>
        <v>19</v>
      </c>
      <c r="E20" s="27">
        <f t="shared" si="3"/>
        <v>6</v>
      </c>
      <c r="F20" s="27">
        <f>VLOOKUP(E20,[1]t_calendarioPolitica!A:C,3,FALSE)</f>
        <v>1</v>
      </c>
      <c r="G20" s="1">
        <v>1</v>
      </c>
      <c r="H20" s="1">
        <v>1</v>
      </c>
      <c r="I20" s="1">
        <f t="shared" si="4"/>
        <v>1</v>
      </c>
    </row>
    <row r="21" spans="1:9" x14ac:dyDescent="0.3">
      <c r="A21" s="26">
        <v>45311</v>
      </c>
      <c r="B21" s="27">
        <f t="shared" si="0"/>
        <v>2024</v>
      </c>
      <c r="C21" s="27">
        <f t="shared" si="1"/>
        <v>1</v>
      </c>
      <c r="D21" s="27">
        <f t="shared" si="2"/>
        <v>20</v>
      </c>
      <c r="E21" s="27">
        <f t="shared" si="3"/>
        <v>7</v>
      </c>
      <c r="F21" s="27">
        <f>VLOOKUP(E21,[1]t_calendarioPolitica!A:C,3,FALSE)</f>
        <v>2</v>
      </c>
      <c r="G21" s="1">
        <v>1</v>
      </c>
      <c r="H21" s="1">
        <v>1</v>
      </c>
      <c r="I21" s="1">
        <f t="shared" si="4"/>
        <v>1</v>
      </c>
    </row>
    <row r="22" spans="1:9" x14ac:dyDescent="0.3">
      <c r="A22" s="26">
        <v>45312</v>
      </c>
      <c r="B22" s="27">
        <f t="shared" si="0"/>
        <v>2024</v>
      </c>
      <c r="C22" s="27">
        <f t="shared" si="1"/>
        <v>1</v>
      </c>
      <c r="D22" s="27">
        <f t="shared" si="2"/>
        <v>21</v>
      </c>
      <c r="E22" s="27">
        <f t="shared" si="3"/>
        <v>1</v>
      </c>
      <c r="F22" s="27">
        <f>VLOOKUP(E22,[1]t_calendarioPolitica!A:C,3,FALSE)</f>
        <v>0</v>
      </c>
      <c r="G22" s="1">
        <v>1</v>
      </c>
      <c r="H22" s="1">
        <v>1</v>
      </c>
      <c r="I22" s="1">
        <f t="shared" si="4"/>
        <v>0</v>
      </c>
    </row>
    <row r="23" spans="1:9" x14ac:dyDescent="0.3">
      <c r="A23" s="26">
        <v>45313</v>
      </c>
      <c r="B23" s="27">
        <f t="shared" si="0"/>
        <v>2024</v>
      </c>
      <c r="C23" s="27">
        <f t="shared" si="1"/>
        <v>1</v>
      </c>
      <c r="D23" s="27">
        <f t="shared" si="2"/>
        <v>22</v>
      </c>
      <c r="E23" s="27">
        <f t="shared" si="3"/>
        <v>2</v>
      </c>
      <c r="F23" s="27">
        <f>VLOOKUP(E23,[1]t_calendarioPolitica!A:C,3,FALSE)</f>
        <v>1</v>
      </c>
      <c r="G23" s="1">
        <v>1</v>
      </c>
      <c r="H23" s="1">
        <v>1</v>
      </c>
      <c r="I23" s="1">
        <f t="shared" si="4"/>
        <v>1</v>
      </c>
    </row>
    <row r="24" spans="1:9" x14ac:dyDescent="0.3">
      <c r="A24" s="26">
        <v>45314</v>
      </c>
      <c r="B24" s="27">
        <f t="shared" si="0"/>
        <v>2024</v>
      </c>
      <c r="C24" s="27">
        <f t="shared" si="1"/>
        <v>1</v>
      </c>
      <c r="D24" s="27">
        <f t="shared" si="2"/>
        <v>23</v>
      </c>
      <c r="E24" s="27">
        <f t="shared" si="3"/>
        <v>3</v>
      </c>
      <c r="F24" s="27">
        <f>VLOOKUP(E24,[1]t_calendarioPolitica!A:C,3,FALSE)</f>
        <v>1</v>
      </c>
      <c r="G24" s="1">
        <v>1</v>
      </c>
      <c r="H24" s="1">
        <v>1</v>
      </c>
      <c r="I24" s="1">
        <f t="shared" si="4"/>
        <v>1</v>
      </c>
    </row>
    <row r="25" spans="1:9" x14ac:dyDescent="0.3">
      <c r="A25" s="26">
        <v>45315</v>
      </c>
      <c r="B25" s="27">
        <f t="shared" si="0"/>
        <v>2024</v>
      </c>
      <c r="C25" s="27">
        <f t="shared" si="1"/>
        <v>1</v>
      </c>
      <c r="D25" s="27">
        <f t="shared" si="2"/>
        <v>24</v>
      </c>
      <c r="E25" s="27">
        <f t="shared" si="3"/>
        <v>4</v>
      </c>
      <c r="F25" s="27">
        <f>VLOOKUP(E25,[1]t_calendarioPolitica!A:C,3,FALSE)</f>
        <v>1</v>
      </c>
      <c r="G25" s="1">
        <v>1</v>
      </c>
      <c r="H25" s="1">
        <v>1</v>
      </c>
      <c r="I25" s="1">
        <f t="shared" si="4"/>
        <v>1</v>
      </c>
    </row>
    <row r="26" spans="1:9" x14ac:dyDescent="0.3">
      <c r="A26" s="26">
        <v>45316</v>
      </c>
      <c r="B26" s="27">
        <f t="shared" si="0"/>
        <v>2024</v>
      </c>
      <c r="C26" s="27">
        <f t="shared" si="1"/>
        <v>1</v>
      </c>
      <c r="D26" s="27">
        <f t="shared" si="2"/>
        <v>25</v>
      </c>
      <c r="E26" s="27">
        <f t="shared" si="3"/>
        <v>5</v>
      </c>
      <c r="F26" s="27">
        <f>VLOOKUP(E26,[1]t_calendarioPolitica!A:C,3,FALSE)</f>
        <v>1</v>
      </c>
      <c r="G26" s="1">
        <v>1</v>
      </c>
      <c r="H26" s="1">
        <v>1</v>
      </c>
      <c r="I26" s="1">
        <f t="shared" si="4"/>
        <v>1</v>
      </c>
    </row>
    <row r="27" spans="1:9" x14ac:dyDescent="0.3">
      <c r="A27" s="26">
        <v>45317</v>
      </c>
      <c r="B27" s="27">
        <f t="shared" si="0"/>
        <v>2024</v>
      </c>
      <c r="C27" s="27">
        <f t="shared" si="1"/>
        <v>1</v>
      </c>
      <c r="D27" s="27">
        <f t="shared" si="2"/>
        <v>26</v>
      </c>
      <c r="E27" s="27">
        <f t="shared" si="3"/>
        <v>6</v>
      </c>
      <c r="F27" s="27">
        <f>VLOOKUP(E27,[1]t_calendarioPolitica!A:C,3,FALSE)</f>
        <v>1</v>
      </c>
      <c r="G27" s="1">
        <v>1</v>
      </c>
      <c r="H27" s="1">
        <v>1</v>
      </c>
      <c r="I27" s="1">
        <f t="shared" si="4"/>
        <v>1</v>
      </c>
    </row>
    <row r="28" spans="1:9" x14ac:dyDescent="0.3">
      <c r="A28" s="26">
        <v>45318</v>
      </c>
      <c r="B28" s="27">
        <f t="shared" si="0"/>
        <v>2024</v>
      </c>
      <c r="C28" s="27">
        <f t="shared" si="1"/>
        <v>1</v>
      </c>
      <c r="D28" s="27">
        <f t="shared" si="2"/>
        <v>27</v>
      </c>
      <c r="E28" s="27">
        <f t="shared" si="3"/>
        <v>7</v>
      </c>
      <c r="F28" s="27">
        <f>VLOOKUP(E28,[1]t_calendarioPolitica!A:C,3,FALSE)</f>
        <v>2</v>
      </c>
      <c r="G28" s="1">
        <v>1</v>
      </c>
      <c r="H28" s="1">
        <v>1</v>
      </c>
      <c r="I28" s="1">
        <f t="shared" si="4"/>
        <v>1</v>
      </c>
    </row>
    <row r="29" spans="1:9" x14ac:dyDescent="0.3">
      <c r="A29" s="26">
        <v>45319</v>
      </c>
      <c r="B29" s="27">
        <f t="shared" si="0"/>
        <v>2024</v>
      </c>
      <c r="C29" s="27">
        <f t="shared" si="1"/>
        <v>1</v>
      </c>
      <c r="D29" s="27">
        <f t="shared" si="2"/>
        <v>28</v>
      </c>
      <c r="E29" s="27">
        <f t="shared" si="3"/>
        <v>1</v>
      </c>
      <c r="F29" s="27">
        <f>VLOOKUP(E29,[1]t_calendarioPolitica!A:C,3,FALSE)</f>
        <v>0</v>
      </c>
      <c r="G29" s="1">
        <v>1</v>
      </c>
      <c r="H29" s="1">
        <v>1</v>
      </c>
      <c r="I29" s="1">
        <f t="shared" si="4"/>
        <v>0</v>
      </c>
    </row>
    <row r="30" spans="1:9" x14ac:dyDescent="0.3">
      <c r="A30" s="26">
        <v>45320</v>
      </c>
      <c r="B30" s="27">
        <f t="shared" si="0"/>
        <v>2024</v>
      </c>
      <c r="C30" s="27">
        <f t="shared" si="1"/>
        <v>1</v>
      </c>
      <c r="D30" s="27">
        <f t="shared" si="2"/>
        <v>29</v>
      </c>
      <c r="E30" s="27">
        <f t="shared" si="3"/>
        <v>2</v>
      </c>
      <c r="F30" s="27">
        <f>VLOOKUP(E30,[1]t_calendarioPolitica!A:C,3,FALSE)</f>
        <v>1</v>
      </c>
      <c r="G30" s="1">
        <v>1</v>
      </c>
      <c r="H30" s="1">
        <v>1</v>
      </c>
      <c r="I30" s="1">
        <f t="shared" si="4"/>
        <v>1</v>
      </c>
    </row>
    <row r="31" spans="1:9" x14ac:dyDescent="0.3">
      <c r="A31" s="26">
        <v>45321</v>
      </c>
      <c r="B31" s="27">
        <f t="shared" si="0"/>
        <v>2024</v>
      </c>
      <c r="C31" s="27">
        <f t="shared" si="1"/>
        <v>1</v>
      </c>
      <c r="D31" s="27">
        <f t="shared" si="2"/>
        <v>30</v>
      </c>
      <c r="E31" s="27">
        <f t="shared" si="3"/>
        <v>3</v>
      </c>
      <c r="F31" s="27">
        <f>VLOOKUP(E31,[1]t_calendarioPolitica!A:C,3,FALSE)</f>
        <v>1</v>
      </c>
      <c r="G31" s="1">
        <v>1</v>
      </c>
      <c r="H31" s="1">
        <v>1</v>
      </c>
      <c r="I31" s="1">
        <f t="shared" si="4"/>
        <v>1</v>
      </c>
    </row>
    <row r="32" spans="1:9" x14ac:dyDescent="0.3">
      <c r="A32" s="26">
        <v>45322</v>
      </c>
      <c r="B32" s="27">
        <f t="shared" si="0"/>
        <v>2024</v>
      </c>
      <c r="C32" s="27">
        <f t="shared" si="1"/>
        <v>1</v>
      </c>
      <c r="D32" s="27">
        <f t="shared" si="2"/>
        <v>31</v>
      </c>
      <c r="E32" s="27">
        <f t="shared" si="3"/>
        <v>4</v>
      </c>
      <c r="F32" s="27">
        <f>VLOOKUP(E32,[1]t_calendarioPolitica!A:C,3,FALSE)</f>
        <v>1</v>
      </c>
      <c r="G32" s="1">
        <v>1</v>
      </c>
      <c r="H32" s="1">
        <v>1</v>
      </c>
      <c r="I32" s="1">
        <f t="shared" si="4"/>
        <v>1</v>
      </c>
    </row>
    <row r="33" spans="1:9" x14ac:dyDescent="0.3">
      <c r="A33" s="26">
        <v>45323</v>
      </c>
      <c r="B33" s="27">
        <f t="shared" si="0"/>
        <v>2024</v>
      </c>
      <c r="C33" s="27">
        <f t="shared" si="1"/>
        <v>2</v>
      </c>
      <c r="D33" s="27">
        <f t="shared" si="2"/>
        <v>1</v>
      </c>
      <c r="E33" s="27">
        <f t="shared" si="3"/>
        <v>5</v>
      </c>
      <c r="F33" s="27">
        <f>VLOOKUP(E33,[1]t_calendarioPolitica!A:C,3,FALSE)</f>
        <v>1</v>
      </c>
      <c r="G33" s="1">
        <v>1</v>
      </c>
      <c r="H33" s="1">
        <v>1</v>
      </c>
      <c r="I33" s="1">
        <f t="shared" si="4"/>
        <v>1</v>
      </c>
    </row>
    <row r="34" spans="1:9" x14ac:dyDescent="0.3">
      <c r="A34" s="26">
        <v>45324</v>
      </c>
      <c r="B34" s="27">
        <f t="shared" si="0"/>
        <v>2024</v>
      </c>
      <c r="C34" s="27">
        <f t="shared" si="1"/>
        <v>2</v>
      </c>
      <c r="D34" s="27">
        <f t="shared" si="2"/>
        <v>2</v>
      </c>
      <c r="E34" s="27">
        <f t="shared" si="3"/>
        <v>6</v>
      </c>
      <c r="F34" s="27">
        <f>VLOOKUP(E34,[1]t_calendarioPolitica!A:C,3,FALSE)</f>
        <v>1</v>
      </c>
      <c r="G34" s="1">
        <v>1</v>
      </c>
      <c r="H34" s="1">
        <v>1</v>
      </c>
      <c r="I34" s="1">
        <f t="shared" si="4"/>
        <v>1</v>
      </c>
    </row>
    <row r="35" spans="1:9" x14ac:dyDescent="0.3">
      <c r="A35" s="26">
        <v>45325</v>
      </c>
      <c r="B35" s="27">
        <f t="shared" si="0"/>
        <v>2024</v>
      </c>
      <c r="C35" s="27">
        <f t="shared" si="1"/>
        <v>2</v>
      </c>
      <c r="D35" s="27">
        <f t="shared" si="2"/>
        <v>3</v>
      </c>
      <c r="E35" s="27">
        <f t="shared" si="3"/>
        <v>7</v>
      </c>
      <c r="F35" s="27">
        <f>VLOOKUP(E35,[1]t_calendarioPolitica!A:C,3,FALSE)</f>
        <v>2</v>
      </c>
      <c r="G35" s="1">
        <v>1</v>
      </c>
      <c r="H35" s="1">
        <v>1</v>
      </c>
      <c r="I35" s="1">
        <f t="shared" si="4"/>
        <v>1</v>
      </c>
    </row>
    <row r="36" spans="1:9" x14ac:dyDescent="0.3">
      <c r="A36" s="26">
        <v>45326</v>
      </c>
      <c r="B36" s="27">
        <f t="shared" si="0"/>
        <v>2024</v>
      </c>
      <c r="C36" s="27">
        <f t="shared" si="1"/>
        <v>2</v>
      </c>
      <c r="D36" s="27">
        <f t="shared" si="2"/>
        <v>4</v>
      </c>
      <c r="E36" s="27">
        <f t="shared" si="3"/>
        <v>1</v>
      </c>
      <c r="F36" s="27">
        <f>VLOOKUP(E36,[1]t_calendarioPolitica!A:C,3,FALSE)</f>
        <v>0</v>
      </c>
      <c r="G36" s="1">
        <v>1</v>
      </c>
      <c r="H36" s="1">
        <v>1</v>
      </c>
      <c r="I36" s="1">
        <f t="shared" si="4"/>
        <v>0</v>
      </c>
    </row>
    <row r="37" spans="1:9" x14ac:dyDescent="0.3">
      <c r="A37" s="26">
        <v>45327</v>
      </c>
      <c r="B37" s="27">
        <f t="shared" si="0"/>
        <v>2024</v>
      </c>
      <c r="C37" s="27">
        <f t="shared" si="1"/>
        <v>2</v>
      </c>
      <c r="D37" s="27">
        <f t="shared" si="2"/>
        <v>5</v>
      </c>
      <c r="E37" s="27">
        <f t="shared" si="3"/>
        <v>2</v>
      </c>
      <c r="F37" s="27">
        <f>VLOOKUP(E37,[1]t_calendarioPolitica!A:C,3,FALSE)</f>
        <v>1</v>
      </c>
      <c r="G37" s="1">
        <v>1</v>
      </c>
      <c r="H37" s="1">
        <v>1</v>
      </c>
      <c r="I37" s="1">
        <f t="shared" si="4"/>
        <v>1</v>
      </c>
    </row>
    <row r="38" spans="1:9" x14ac:dyDescent="0.3">
      <c r="A38" s="26">
        <v>45328</v>
      </c>
      <c r="B38" s="27">
        <f t="shared" si="0"/>
        <v>2024</v>
      </c>
      <c r="C38" s="27">
        <f t="shared" si="1"/>
        <v>2</v>
      </c>
      <c r="D38" s="27">
        <f t="shared" si="2"/>
        <v>6</v>
      </c>
      <c r="E38" s="27">
        <f t="shared" si="3"/>
        <v>3</v>
      </c>
      <c r="F38" s="27">
        <f>VLOOKUP(E38,[1]t_calendarioPolitica!A:C,3,FALSE)</f>
        <v>1</v>
      </c>
      <c r="G38" s="1">
        <v>1</v>
      </c>
      <c r="H38" s="1">
        <v>1</v>
      </c>
      <c r="I38" s="1">
        <f t="shared" si="4"/>
        <v>1</v>
      </c>
    </row>
    <row r="39" spans="1:9" x14ac:dyDescent="0.3">
      <c r="A39" s="26">
        <v>45329</v>
      </c>
      <c r="B39" s="27">
        <f t="shared" si="0"/>
        <v>2024</v>
      </c>
      <c r="C39" s="27">
        <f t="shared" si="1"/>
        <v>2</v>
      </c>
      <c r="D39" s="27">
        <f t="shared" si="2"/>
        <v>7</v>
      </c>
      <c r="E39" s="27">
        <f t="shared" si="3"/>
        <v>4</v>
      </c>
      <c r="F39" s="27">
        <f>VLOOKUP(E39,[1]t_calendarioPolitica!A:C,3,FALSE)</f>
        <v>1</v>
      </c>
      <c r="G39" s="1">
        <v>1</v>
      </c>
      <c r="H39" s="1">
        <v>1</v>
      </c>
      <c r="I39" s="1">
        <f t="shared" si="4"/>
        <v>1</v>
      </c>
    </row>
    <row r="40" spans="1:9" x14ac:dyDescent="0.3">
      <c r="A40" s="26">
        <v>45330</v>
      </c>
      <c r="B40" s="27">
        <f t="shared" si="0"/>
        <v>2024</v>
      </c>
      <c r="C40" s="27">
        <f t="shared" si="1"/>
        <v>2</v>
      </c>
      <c r="D40" s="27">
        <f t="shared" si="2"/>
        <v>8</v>
      </c>
      <c r="E40" s="27">
        <f t="shared" si="3"/>
        <v>5</v>
      </c>
      <c r="F40" s="27">
        <f>VLOOKUP(E40,[1]t_calendarioPolitica!A:C,3,FALSE)</f>
        <v>1</v>
      </c>
      <c r="G40" s="1">
        <v>1</v>
      </c>
      <c r="H40" s="1">
        <v>1</v>
      </c>
      <c r="I40" s="1">
        <f t="shared" si="4"/>
        <v>1</v>
      </c>
    </row>
    <row r="41" spans="1:9" x14ac:dyDescent="0.3">
      <c r="A41" s="26">
        <v>45331</v>
      </c>
      <c r="B41" s="27">
        <f t="shared" si="0"/>
        <v>2024</v>
      </c>
      <c r="C41" s="27">
        <f t="shared" si="1"/>
        <v>2</v>
      </c>
      <c r="D41" s="27">
        <f t="shared" si="2"/>
        <v>9</v>
      </c>
      <c r="E41" s="27">
        <f t="shared" si="3"/>
        <v>6</v>
      </c>
      <c r="F41" s="27">
        <f>VLOOKUP(E41,[1]t_calendarioPolitica!A:C,3,FALSE)</f>
        <v>1</v>
      </c>
      <c r="G41" s="1">
        <v>1</v>
      </c>
      <c r="H41" s="1">
        <v>1</v>
      </c>
      <c r="I41" s="1">
        <f t="shared" si="4"/>
        <v>1</v>
      </c>
    </row>
    <row r="42" spans="1:9" x14ac:dyDescent="0.3">
      <c r="A42" s="26">
        <v>45332</v>
      </c>
      <c r="B42" s="27">
        <f t="shared" si="0"/>
        <v>2024</v>
      </c>
      <c r="C42" s="27">
        <f t="shared" si="1"/>
        <v>2</v>
      </c>
      <c r="D42" s="27">
        <f t="shared" si="2"/>
        <v>10</v>
      </c>
      <c r="E42" s="27">
        <f t="shared" si="3"/>
        <v>7</v>
      </c>
      <c r="F42" s="27">
        <f>VLOOKUP(E42,[1]t_calendarioPolitica!A:C,3,FALSE)</f>
        <v>2</v>
      </c>
      <c r="G42" s="1">
        <v>1</v>
      </c>
      <c r="H42" s="1">
        <v>1</v>
      </c>
      <c r="I42" s="1">
        <f t="shared" si="4"/>
        <v>1</v>
      </c>
    </row>
    <row r="43" spans="1:9" x14ac:dyDescent="0.3">
      <c r="A43" s="26">
        <v>45333</v>
      </c>
      <c r="B43" s="27">
        <f t="shared" si="0"/>
        <v>2024</v>
      </c>
      <c r="C43" s="27">
        <f t="shared" si="1"/>
        <v>2</v>
      </c>
      <c r="D43" s="27">
        <f t="shared" si="2"/>
        <v>11</v>
      </c>
      <c r="E43" s="27">
        <f t="shared" si="3"/>
        <v>1</v>
      </c>
      <c r="F43" s="27">
        <f>VLOOKUP(E43,[1]t_calendarioPolitica!A:C,3,FALSE)</f>
        <v>0</v>
      </c>
      <c r="G43" s="1">
        <v>1</v>
      </c>
      <c r="H43" s="1">
        <v>1</v>
      </c>
      <c r="I43" s="1">
        <f t="shared" si="4"/>
        <v>0</v>
      </c>
    </row>
    <row r="44" spans="1:9" x14ac:dyDescent="0.3">
      <c r="A44" s="26">
        <v>45334</v>
      </c>
      <c r="B44" s="27">
        <f t="shared" si="0"/>
        <v>2024</v>
      </c>
      <c r="C44" s="27">
        <f t="shared" si="1"/>
        <v>2</v>
      </c>
      <c r="D44" s="27">
        <f t="shared" si="2"/>
        <v>12</v>
      </c>
      <c r="E44" s="27">
        <f t="shared" si="3"/>
        <v>2</v>
      </c>
      <c r="F44" s="27">
        <f>VLOOKUP(E44,[1]t_calendarioPolitica!A:C,3,FALSE)</f>
        <v>1</v>
      </c>
      <c r="G44" s="1">
        <v>1</v>
      </c>
      <c r="H44" s="1">
        <v>1</v>
      </c>
      <c r="I44" s="1">
        <f t="shared" si="4"/>
        <v>1</v>
      </c>
    </row>
    <row r="45" spans="1:9" x14ac:dyDescent="0.3">
      <c r="A45" s="26">
        <v>45335</v>
      </c>
      <c r="B45" s="27">
        <f t="shared" si="0"/>
        <v>2024</v>
      </c>
      <c r="C45" s="27">
        <f t="shared" si="1"/>
        <v>2</v>
      </c>
      <c r="D45" s="27">
        <f t="shared" si="2"/>
        <v>13</v>
      </c>
      <c r="E45" s="27">
        <f t="shared" si="3"/>
        <v>3</v>
      </c>
      <c r="F45" s="27">
        <f>VLOOKUP(E45,[1]t_calendarioPolitica!A:C,3,FALSE)</f>
        <v>1</v>
      </c>
      <c r="G45" s="1">
        <v>1</v>
      </c>
      <c r="H45" s="1">
        <v>1</v>
      </c>
      <c r="I45" s="1">
        <f t="shared" si="4"/>
        <v>1</v>
      </c>
    </row>
    <row r="46" spans="1:9" x14ac:dyDescent="0.3">
      <c r="A46" s="26">
        <v>45336</v>
      </c>
      <c r="B46" s="27">
        <f t="shared" si="0"/>
        <v>2024</v>
      </c>
      <c r="C46" s="27">
        <f t="shared" si="1"/>
        <v>2</v>
      </c>
      <c r="D46" s="27">
        <f t="shared" si="2"/>
        <v>14</v>
      </c>
      <c r="E46" s="27">
        <f t="shared" si="3"/>
        <v>4</v>
      </c>
      <c r="F46" s="27">
        <f>VLOOKUP(E46,[1]t_calendarioPolitica!A:C,3,FALSE)</f>
        <v>1</v>
      </c>
      <c r="G46" s="1">
        <v>1</v>
      </c>
      <c r="H46" s="1">
        <v>1</v>
      </c>
      <c r="I46" s="1">
        <f t="shared" si="4"/>
        <v>1</v>
      </c>
    </row>
    <row r="47" spans="1:9" x14ac:dyDescent="0.3">
      <c r="A47" s="26">
        <v>45337</v>
      </c>
      <c r="B47" s="27">
        <f t="shared" si="0"/>
        <v>2024</v>
      </c>
      <c r="C47" s="27">
        <f t="shared" si="1"/>
        <v>2</v>
      </c>
      <c r="D47" s="27">
        <f t="shared" si="2"/>
        <v>15</v>
      </c>
      <c r="E47" s="27">
        <f t="shared" si="3"/>
        <v>5</v>
      </c>
      <c r="F47" s="27">
        <f>VLOOKUP(E47,[1]t_calendarioPolitica!A:C,3,FALSE)</f>
        <v>1</v>
      </c>
      <c r="G47" s="1">
        <v>1</v>
      </c>
      <c r="H47" s="1">
        <v>1</v>
      </c>
      <c r="I47" s="1">
        <f t="shared" si="4"/>
        <v>1</v>
      </c>
    </row>
    <row r="48" spans="1:9" x14ac:dyDescent="0.3">
      <c r="A48" s="26">
        <v>45338</v>
      </c>
      <c r="B48" s="27">
        <f t="shared" si="0"/>
        <v>2024</v>
      </c>
      <c r="C48" s="27">
        <f t="shared" si="1"/>
        <v>2</v>
      </c>
      <c r="D48" s="27">
        <f t="shared" si="2"/>
        <v>16</v>
      </c>
      <c r="E48" s="27">
        <f t="shared" si="3"/>
        <v>6</v>
      </c>
      <c r="F48" s="27">
        <f>VLOOKUP(E48,[1]t_calendarioPolitica!A:C,3,FALSE)</f>
        <v>1</v>
      </c>
      <c r="G48" s="1">
        <v>1</v>
      </c>
      <c r="H48" s="1">
        <v>1</v>
      </c>
      <c r="I48" s="1">
        <f t="shared" si="4"/>
        <v>1</v>
      </c>
    </row>
    <row r="49" spans="1:9" x14ac:dyDescent="0.3">
      <c r="A49" s="26">
        <v>45339</v>
      </c>
      <c r="B49" s="27">
        <f t="shared" si="0"/>
        <v>2024</v>
      </c>
      <c r="C49" s="27">
        <f t="shared" si="1"/>
        <v>2</v>
      </c>
      <c r="D49" s="27">
        <f t="shared" si="2"/>
        <v>17</v>
      </c>
      <c r="E49" s="27">
        <f t="shared" si="3"/>
        <v>7</v>
      </c>
      <c r="F49" s="27">
        <f>VLOOKUP(E49,[1]t_calendarioPolitica!A:C,3,FALSE)</f>
        <v>2</v>
      </c>
      <c r="G49" s="1">
        <v>1</v>
      </c>
      <c r="H49" s="1">
        <v>1</v>
      </c>
      <c r="I49" s="1">
        <f t="shared" si="4"/>
        <v>1</v>
      </c>
    </row>
    <row r="50" spans="1:9" x14ac:dyDescent="0.3">
      <c r="A50" s="26">
        <v>45340</v>
      </c>
      <c r="B50" s="27">
        <f t="shared" si="0"/>
        <v>2024</v>
      </c>
      <c r="C50" s="27">
        <f t="shared" si="1"/>
        <v>2</v>
      </c>
      <c r="D50" s="27">
        <f t="shared" si="2"/>
        <v>18</v>
      </c>
      <c r="E50" s="27">
        <f t="shared" si="3"/>
        <v>1</v>
      </c>
      <c r="F50" s="27">
        <f>VLOOKUP(E50,[1]t_calendarioPolitica!A:C,3,FALSE)</f>
        <v>0</v>
      </c>
      <c r="G50" s="1">
        <v>1</v>
      </c>
      <c r="H50" s="1">
        <v>1</v>
      </c>
      <c r="I50" s="1">
        <f t="shared" si="4"/>
        <v>0</v>
      </c>
    </row>
    <row r="51" spans="1:9" x14ac:dyDescent="0.3">
      <c r="A51" s="26">
        <v>45341</v>
      </c>
      <c r="B51" s="27">
        <f t="shared" si="0"/>
        <v>2024</v>
      </c>
      <c r="C51" s="27">
        <f t="shared" si="1"/>
        <v>2</v>
      </c>
      <c r="D51" s="27">
        <f t="shared" si="2"/>
        <v>19</v>
      </c>
      <c r="E51" s="27">
        <f t="shared" si="3"/>
        <v>2</v>
      </c>
      <c r="F51" s="27">
        <f>VLOOKUP(E51,[1]t_calendarioPolitica!A:C,3,FALSE)</f>
        <v>1</v>
      </c>
      <c r="G51" s="1">
        <v>1</v>
      </c>
      <c r="H51" s="1">
        <v>1</v>
      </c>
      <c r="I51" s="1">
        <f t="shared" si="4"/>
        <v>1</v>
      </c>
    </row>
    <row r="52" spans="1:9" x14ac:dyDescent="0.3">
      <c r="A52" s="26">
        <v>45342</v>
      </c>
      <c r="B52" s="27">
        <f t="shared" si="0"/>
        <v>2024</v>
      </c>
      <c r="C52" s="27">
        <f t="shared" si="1"/>
        <v>2</v>
      </c>
      <c r="D52" s="27">
        <f t="shared" si="2"/>
        <v>20</v>
      </c>
      <c r="E52" s="27">
        <f t="shared" si="3"/>
        <v>3</v>
      </c>
      <c r="F52" s="27">
        <f>VLOOKUP(E52,[1]t_calendarioPolitica!A:C,3,FALSE)</f>
        <v>1</v>
      </c>
      <c r="G52" s="1">
        <v>1</v>
      </c>
      <c r="H52" s="1">
        <v>1</v>
      </c>
      <c r="I52" s="1">
        <f t="shared" si="4"/>
        <v>1</v>
      </c>
    </row>
    <row r="53" spans="1:9" x14ac:dyDescent="0.3">
      <c r="A53" s="26">
        <v>45343</v>
      </c>
      <c r="B53" s="27">
        <f t="shared" si="0"/>
        <v>2024</v>
      </c>
      <c r="C53" s="27">
        <f t="shared" si="1"/>
        <v>2</v>
      </c>
      <c r="D53" s="27">
        <f t="shared" si="2"/>
        <v>21</v>
      </c>
      <c r="E53" s="27">
        <f t="shared" si="3"/>
        <v>4</v>
      </c>
      <c r="F53" s="27">
        <f>VLOOKUP(E53,[1]t_calendarioPolitica!A:C,3,FALSE)</f>
        <v>1</v>
      </c>
      <c r="G53" s="1">
        <v>1</v>
      </c>
      <c r="H53" s="1">
        <v>1</v>
      </c>
      <c r="I53" s="1">
        <f t="shared" si="4"/>
        <v>1</v>
      </c>
    </row>
    <row r="54" spans="1:9" x14ac:dyDescent="0.3">
      <c r="A54" s="26">
        <v>45344</v>
      </c>
      <c r="B54" s="27">
        <f t="shared" si="0"/>
        <v>2024</v>
      </c>
      <c r="C54" s="27">
        <f t="shared" si="1"/>
        <v>2</v>
      </c>
      <c r="D54" s="27">
        <f t="shared" si="2"/>
        <v>22</v>
      </c>
      <c r="E54" s="27">
        <f t="shared" si="3"/>
        <v>5</v>
      </c>
      <c r="F54" s="27">
        <f>VLOOKUP(E54,[1]t_calendarioPolitica!A:C,3,FALSE)</f>
        <v>1</v>
      </c>
      <c r="G54" s="1">
        <v>1</v>
      </c>
      <c r="H54" s="1">
        <v>1</v>
      </c>
      <c r="I54" s="1">
        <f t="shared" si="4"/>
        <v>1</v>
      </c>
    </row>
    <row r="55" spans="1:9" x14ac:dyDescent="0.3">
      <c r="A55" s="26">
        <v>45345</v>
      </c>
      <c r="B55" s="27">
        <f t="shared" si="0"/>
        <v>2024</v>
      </c>
      <c r="C55" s="27">
        <f t="shared" si="1"/>
        <v>2</v>
      </c>
      <c r="D55" s="27">
        <f t="shared" si="2"/>
        <v>23</v>
      </c>
      <c r="E55" s="27">
        <f t="shared" si="3"/>
        <v>6</v>
      </c>
      <c r="F55" s="27">
        <f>VLOOKUP(E55,[1]t_calendarioPolitica!A:C,3,FALSE)</f>
        <v>1</v>
      </c>
      <c r="G55" s="1">
        <v>1</v>
      </c>
      <c r="H55" s="1">
        <v>1</v>
      </c>
      <c r="I55" s="1">
        <f t="shared" si="4"/>
        <v>1</v>
      </c>
    </row>
    <row r="56" spans="1:9" x14ac:dyDescent="0.3">
      <c r="A56" s="26">
        <v>45346</v>
      </c>
      <c r="B56" s="27">
        <f t="shared" si="0"/>
        <v>2024</v>
      </c>
      <c r="C56" s="27">
        <f t="shared" si="1"/>
        <v>2</v>
      </c>
      <c r="D56" s="27">
        <f t="shared" si="2"/>
        <v>24</v>
      </c>
      <c r="E56" s="27">
        <f t="shared" si="3"/>
        <v>7</v>
      </c>
      <c r="F56" s="27">
        <f>VLOOKUP(E56,[1]t_calendarioPolitica!A:C,3,FALSE)</f>
        <v>2</v>
      </c>
      <c r="G56" s="1">
        <v>1</v>
      </c>
      <c r="H56" s="1">
        <v>1</v>
      </c>
      <c r="I56" s="1">
        <f t="shared" si="4"/>
        <v>1</v>
      </c>
    </row>
    <row r="57" spans="1:9" x14ac:dyDescent="0.3">
      <c r="A57" s="26">
        <v>45347</v>
      </c>
      <c r="B57" s="27">
        <f t="shared" si="0"/>
        <v>2024</v>
      </c>
      <c r="C57" s="27">
        <f t="shared" si="1"/>
        <v>2</v>
      </c>
      <c r="D57" s="27">
        <f t="shared" si="2"/>
        <v>25</v>
      </c>
      <c r="E57" s="27">
        <f t="shared" si="3"/>
        <v>1</v>
      </c>
      <c r="F57" s="27">
        <f>VLOOKUP(E57,[1]t_calendarioPolitica!A:C,3,FALSE)</f>
        <v>0</v>
      </c>
      <c r="G57" s="1">
        <v>1</v>
      </c>
      <c r="H57" s="1">
        <v>1</v>
      </c>
      <c r="I57" s="1">
        <f t="shared" si="4"/>
        <v>0</v>
      </c>
    </row>
    <row r="58" spans="1:9" x14ac:dyDescent="0.3">
      <c r="A58" s="26">
        <v>45348</v>
      </c>
      <c r="B58" s="27">
        <f t="shared" si="0"/>
        <v>2024</v>
      </c>
      <c r="C58" s="27">
        <f t="shared" si="1"/>
        <v>2</v>
      </c>
      <c r="D58" s="27">
        <f t="shared" si="2"/>
        <v>26</v>
      </c>
      <c r="E58" s="27">
        <f t="shared" si="3"/>
        <v>2</v>
      </c>
      <c r="F58" s="27">
        <f>VLOOKUP(E58,[1]t_calendarioPolitica!A:C,3,FALSE)</f>
        <v>1</v>
      </c>
      <c r="G58" s="1">
        <v>1</v>
      </c>
      <c r="H58" s="1">
        <v>1</v>
      </c>
      <c r="I58" s="1">
        <f t="shared" si="4"/>
        <v>1</v>
      </c>
    </row>
    <row r="59" spans="1:9" x14ac:dyDescent="0.3">
      <c r="A59" s="26">
        <v>45349</v>
      </c>
      <c r="B59" s="27">
        <f t="shared" si="0"/>
        <v>2024</v>
      </c>
      <c r="C59" s="27">
        <f t="shared" si="1"/>
        <v>2</v>
      </c>
      <c r="D59" s="27">
        <f t="shared" si="2"/>
        <v>27</v>
      </c>
      <c r="E59" s="27">
        <f t="shared" si="3"/>
        <v>3</v>
      </c>
      <c r="F59" s="27">
        <f>VLOOKUP(E59,[1]t_calendarioPolitica!A:C,3,FALSE)</f>
        <v>1</v>
      </c>
      <c r="G59" s="1">
        <v>1</v>
      </c>
      <c r="H59" s="1">
        <v>1</v>
      </c>
      <c r="I59" s="1">
        <f t="shared" si="4"/>
        <v>1</v>
      </c>
    </row>
    <row r="60" spans="1:9" x14ac:dyDescent="0.3">
      <c r="A60" s="26">
        <v>45350</v>
      </c>
      <c r="B60" s="27">
        <f t="shared" si="0"/>
        <v>2024</v>
      </c>
      <c r="C60" s="27">
        <f t="shared" si="1"/>
        <v>2</v>
      </c>
      <c r="D60" s="27">
        <f t="shared" si="2"/>
        <v>28</v>
      </c>
      <c r="E60" s="27">
        <f t="shared" si="3"/>
        <v>4</v>
      </c>
      <c r="F60" s="27">
        <f>VLOOKUP(E60,[1]t_calendarioPolitica!A:C,3,FALSE)</f>
        <v>1</v>
      </c>
      <c r="G60" s="1">
        <v>1</v>
      </c>
      <c r="H60" s="1">
        <v>1</v>
      </c>
      <c r="I60" s="1">
        <f t="shared" si="4"/>
        <v>1</v>
      </c>
    </row>
    <row r="61" spans="1:9" x14ac:dyDescent="0.3">
      <c r="A61" s="26">
        <v>45351</v>
      </c>
      <c r="B61" s="27">
        <f t="shared" si="0"/>
        <v>2024</v>
      </c>
      <c r="C61" s="27">
        <f t="shared" si="1"/>
        <v>2</v>
      </c>
      <c r="D61" s="27">
        <f t="shared" si="2"/>
        <v>29</v>
      </c>
      <c r="E61" s="27">
        <f t="shared" si="3"/>
        <v>5</v>
      </c>
      <c r="F61" s="27">
        <f>VLOOKUP(E61,[1]t_calendarioPolitica!A:C,3,FALSE)</f>
        <v>1</v>
      </c>
      <c r="G61" s="1">
        <v>1</v>
      </c>
      <c r="H61" s="1">
        <v>1</v>
      </c>
      <c r="I61" s="1">
        <f t="shared" si="4"/>
        <v>1</v>
      </c>
    </row>
    <row r="62" spans="1:9" x14ac:dyDescent="0.3">
      <c r="A62" s="26">
        <v>45352</v>
      </c>
      <c r="B62" s="27">
        <f t="shared" si="0"/>
        <v>2024</v>
      </c>
      <c r="C62" s="27">
        <f t="shared" si="1"/>
        <v>3</v>
      </c>
      <c r="D62" s="27">
        <f t="shared" si="2"/>
        <v>1</v>
      </c>
      <c r="E62" s="27">
        <f t="shared" si="3"/>
        <v>6</v>
      </c>
      <c r="F62" s="27">
        <f>VLOOKUP(E62,[1]t_calendarioPolitica!A:C,3,FALSE)</f>
        <v>1</v>
      </c>
      <c r="G62" s="1">
        <v>1</v>
      </c>
      <c r="H62" s="1">
        <v>1</v>
      </c>
      <c r="I62" s="1">
        <f t="shared" si="4"/>
        <v>1</v>
      </c>
    </row>
    <row r="63" spans="1:9" x14ac:dyDescent="0.3">
      <c r="A63" s="26">
        <v>45353</v>
      </c>
      <c r="B63" s="27">
        <f t="shared" si="0"/>
        <v>2024</v>
      </c>
      <c r="C63" s="27">
        <f t="shared" si="1"/>
        <v>3</v>
      </c>
      <c r="D63" s="27">
        <f t="shared" si="2"/>
        <v>2</v>
      </c>
      <c r="E63" s="27">
        <f t="shared" si="3"/>
        <v>7</v>
      </c>
      <c r="F63" s="27">
        <f>VLOOKUP(E63,[1]t_calendarioPolitica!A:C,3,FALSE)</f>
        <v>2</v>
      </c>
      <c r="G63" s="1">
        <v>1</v>
      </c>
      <c r="H63" s="1">
        <v>1</v>
      </c>
      <c r="I63" s="1">
        <f t="shared" si="4"/>
        <v>1</v>
      </c>
    </row>
    <row r="64" spans="1:9" x14ac:dyDescent="0.3">
      <c r="A64" s="26">
        <v>45354</v>
      </c>
      <c r="B64" s="27">
        <f t="shared" si="0"/>
        <v>2024</v>
      </c>
      <c r="C64" s="27">
        <f t="shared" si="1"/>
        <v>3</v>
      </c>
      <c r="D64" s="27">
        <f t="shared" si="2"/>
        <v>3</v>
      </c>
      <c r="E64" s="27">
        <f t="shared" si="3"/>
        <v>1</v>
      </c>
      <c r="F64" s="27">
        <f>VLOOKUP(E64,[1]t_calendarioPolitica!A:C,3,FALSE)</f>
        <v>0</v>
      </c>
      <c r="G64" s="1">
        <v>1</v>
      </c>
      <c r="H64" s="1">
        <v>1</v>
      </c>
      <c r="I64" s="1">
        <f t="shared" si="4"/>
        <v>0</v>
      </c>
    </row>
    <row r="65" spans="1:9" x14ac:dyDescent="0.3">
      <c r="A65" s="26">
        <v>45355</v>
      </c>
      <c r="B65" s="27">
        <f t="shared" si="0"/>
        <v>2024</v>
      </c>
      <c r="C65" s="27">
        <f t="shared" si="1"/>
        <v>3</v>
      </c>
      <c r="D65" s="27">
        <f t="shared" si="2"/>
        <v>4</v>
      </c>
      <c r="E65" s="27">
        <f t="shared" si="3"/>
        <v>2</v>
      </c>
      <c r="F65" s="27">
        <f>VLOOKUP(E65,[1]t_calendarioPolitica!A:C,3,FALSE)</f>
        <v>1</v>
      </c>
      <c r="G65" s="1">
        <v>1</v>
      </c>
      <c r="H65" s="1">
        <v>1</v>
      </c>
      <c r="I65" s="1">
        <f t="shared" si="4"/>
        <v>1</v>
      </c>
    </row>
    <row r="66" spans="1:9" x14ac:dyDescent="0.3">
      <c r="A66" s="26">
        <v>45356</v>
      </c>
      <c r="B66" s="27">
        <f t="shared" si="0"/>
        <v>2024</v>
      </c>
      <c r="C66" s="27">
        <f t="shared" si="1"/>
        <v>3</v>
      </c>
      <c r="D66" s="27">
        <f t="shared" si="2"/>
        <v>5</v>
      </c>
      <c r="E66" s="27">
        <f t="shared" si="3"/>
        <v>3</v>
      </c>
      <c r="F66" s="27">
        <f>VLOOKUP(E66,[1]t_calendarioPolitica!A:C,3,FALSE)</f>
        <v>1</v>
      </c>
      <c r="G66" s="1">
        <v>1</v>
      </c>
      <c r="H66" s="1">
        <v>1</v>
      </c>
      <c r="I66" s="1">
        <f t="shared" si="4"/>
        <v>1</v>
      </c>
    </row>
    <row r="67" spans="1:9" x14ac:dyDescent="0.3">
      <c r="A67" s="26">
        <v>45357</v>
      </c>
      <c r="B67" s="27">
        <f t="shared" ref="B67:B130" si="5">YEAR(A67)</f>
        <v>2024</v>
      </c>
      <c r="C67" s="27">
        <f t="shared" ref="C67:C130" si="6">MONTH(A67)</f>
        <v>3</v>
      </c>
      <c r="D67" s="27">
        <f t="shared" ref="D67:D130" si="7">DAY(A67)</f>
        <v>6</v>
      </c>
      <c r="E67" s="27">
        <f t="shared" ref="E67:E130" si="8">WEEKDAY(A67)</f>
        <v>4</v>
      </c>
      <c r="F67" s="27">
        <f>VLOOKUP(E67,[1]t_calendarioPolitica!A:C,3,FALSE)</f>
        <v>1</v>
      </c>
      <c r="G67" s="1">
        <v>1</v>
      </c>
      <c r="H67" s="1">
        <v>1</v>
      </c>
      <c r="I67" s="1">
        <f t="shared" ref="I67:I130" si="9">IF(AND(F67&lt;&gt;0, H67&lt;&gt;0,G67&lt;&gt;0), 1, 0)</f>
        <v>1</v>
      </c>
    </row>
    <row r="68" spans="1:9" x14ac:dyDescent="0.3">
      <c r="A68" s="26">
        <v>45358</v>
      </c>
      <c r="B68" s="27">
        <f t="shared" si="5"/>
        <v>2024</v>
      </c>
      <c r="C68" s="27">
        <f t="shared" si="6"/>
        <v>3</v>
      </c>
      <c r="D68" s="27">
        <f t="shared" si="7"/>
        <v>7</v>
      </c>
      <c r="E68" s="27">
        <f t="shared" si="8"/>
        <v>5</v>
      </c>
      <c r="F68" s="27">
        <f>VLOOKUP(E68,[1]t_calendarioPolitica!A:C,3,FALSE)</f>
        <v>1</v>
      </c>
      <c r="G68" s="1">
        <v>1</v>
      </c>
      <c r="H68" s="1">
        <v>1</v>
      </c>
      <c r="I68" s="1">
        <f t="shared" si="9"/>
        <v>1</v>
      </c>
    </row>
    <row r="69" spans="1:9" x14ac:dyDescent="0.3">
      <c r="A69" s="26">
        <v>45359</v>
      </c>
      <c r="B69" s="27">
        <f t="shared" si="5"/>
        <v>2024</v>
      </c>
      <c r="C69" s="27">
        <f t="shared" si="6"/>
        <v>3</v>
      </c>
      <c r="D69" s="27">
        <f t="shared" si="7"/>
        <v>8</v>
      </c>
      <c r="E69" s="27">
        <f t="shared" si="8"/>
        <v>6</v>
      </c>
      <c r="F69" s="27">
        <f>VLOOKUP(E69,[1]t_calendarioPolitica!A:C,3,FALSE)</f>
        <v>1</v>
      </c>
      <c r="G69" s="1">
        <v>1</v>
      </c>
      <c r="H69" s="1">
        <v>1</v>
      </c>
      <c r="I69" s="1">
        <f t="shared" si="9"/>
        <v>1</v>
      </c>
    </row>
    <row r="70" spans="1:9" x14ac:dyDescent="0.3">
      <c r="A70" s="26">
        <v>45360</v>
      </c>
      <c r="B70" s="27">
        <f t="shared" si="5"/>
        <v>2024</v>
      </c>
      <c r="C70" s="27">
        <f t="shared" si="6"/>
        <v>3</v>
      </c>
      <c r="D70" s="27">
        <f t="shared" si="7"/>
        <v>9</v>
      </c>
      <c r="E70" s="27">
        <f t="shared" si="8"/>
        <v>7</v>
      </c>
      <c r="F70" s="27">
        <f>VLOOKUP(E70,[1]t_calendarioPolitica!A:C,3,FALSE)</f>
        <v>2</v>
      </c>
      <c r="G70" s="1">
        <v>1</v>
      </c>
      <c r="H70" s="1">
        <v>1</v>
      </c>
      <c r="I70" s="1">
        <f t="shared" si="9"/>
        <v>1</v>
      </c>
    </row>
    <row r="71" spans="1:9" x14ac:dyDescent="0.3">
      <c r="A71" s="26">
        <v>45361</v>
      </c>
      <c r="B71" s="27">
        <f t="shared" si="5"/>
        <v>2024</v>
      </c>
      <c r="C71" s="27">
        <f t="shared" si="6"/>
        <v>3</v>
      </c>
      <c r="D71" s="27">
        <f t="shared" si="7"/>
        <v>10</v>
      </c>
      <c r="E71" s="27">
        <f t="shared" si="8"/>
        <v>1</v>
      </c>
      <c r="F71" s="27">
        <f>VLOOKUP(E71,[1]t_calendarioPolitica!A:C,3,FALSE)</f>
        <v>0</v>
      </c>
      <c r="G71" s="1">
        <v>1</v>
      </c>
      <c r="H71" s="1">
        <v>1</v>
      </c>
      <c r="I71" s="1">
        <f t="shared" si="9"/>
        <v>0</v>
      </c>
    </row>
    <row r="72" spans="1:9" x14ac:dyDescent="0.3">
      <c r="A72" s="26">
        <v>45362</v>
      </c>
      <c r="B72" s="27">
        <f t="shared" si="5"/>
        <v>2024</v>
      </c>
      <c r="C72" s="27">
        <f t="shared" si="6"/>
        <v>3</v>
      </c>
      <c r="D72" s="27">
        <f t="shared" si="7"/>
        <v>11</v>
      </c>
      <c r="E72" s="27">
        <f t="shared" si="8"/>
        <v>2</v>
      </c>
      <c r="F72" s="27">
        <f>VLOOKUP(E72,[1]t_calendarioPolitica!A:C,3,FALSE)</f>
        <v>1</v>
      </c>
      <c r="G72" s="1">
        <v>1</v>
      </c>
      <c r="H72" s="1">
        <v>1</v>
      </c>
      <c r="I72" s="1">
        <f t="shared" si="9"/>
        <v>1</v>
      </c>
    </row>
    <row r="73" spans="1:9" x14ac:dyDescent="0.3">
      <c r="A73" s="26">
        <v>45363</v>
      </c>
      <c r="B73" s="27">
        <f t="shared" si="5"/>
        <v>2024</v>
      </c>
      <c r="C73" s="27">
        <f t="shared" si="6"/>
        <v>3</v>
      </c>
      <c r="D73" s="27">
        <f t="shared" si="7"/>
        <v>12</v>
      </c>
      <c r="E73" s="27">
        <f t="shared" si="8"/>
        <v>3</v>
      </c>
      <c r="F73" s="27">
        <f>VLOOKUP(E73,[1]t_calendarioPolitica!A:C,3,FALSE)</f>
        <v>1</v>
      </c>
      <c r="G73" s="1">
        <v>1</v>
      </c>
      <c r="H73" s="1">
        <v>1</v>
      </c>
      <c r="I73" s="1">
        <f t="shared" si="9"/>
        <v>1</v>
      </c>
    </row>
    <row r="74" spans="1:9" x14ac:dyDescent="0.3">
      <c r="A74" s="26">
        <v>45364</v>
      </c>
      <c r="B74" s="27">
        <f t="shared" si="5"/>
        <v>2024</v>
      </c>
      <c r="C74" s="27">
        <f t="shared" si="6"/>
        <v>3</v>
      </c>
      <c r="D74" s="27">
        <f t="shared" si="7"/>
        <v>13</v>
      </c>
      <c r="E74" s="27">
        <f t="shared" si="8"/>
        <v>4</v>
      </c>
      <c r="F74" s="27">
        <f>VLOOKUP(E74,[1]t_calendarioPolitica!A:C,3,FALSE)</f>
        <v>1</v>
      </c>
      <c r="G74" s="1">
        <v>1</v>
      </c>
      <c r="H74" s="1">
        <v>1</v>
      </c>
      <c r="I74" s="1">
        <f t="shared" si="9"/>
        <v>1</v>
      </c>
    </row>
    <row r="75" spans="1:9" x14ac:dyDescent="0.3">
      <c r="A75" s="26">
        <v>45365</v>
      </c>
      <c r="B75" s="27">
        <f t="shared" si="5"/>
        <v>2024</v>
      </c>
      <c r="C75" s="27">
        <f t="shared" si="6"/>
        <v>3</v>
      </c>
      <c r="D75" s="27">
        <f t="shared" si="7"/>
        <v>14</v>
      </c>
      <c r="E75" s="27">
        <f t="shared" si="8"/>
        <v>5</v>
      </c>
      <c r="F75" s="27">
        <f>VLOOKUP(E75,[1]t_calendarioPolitica!A:C,3,FALSE)</f>
        <v>1</v>
      </c>
      <c r="G75" s="1">
        <v>1</v>
      </c>
      <c r="H75" s="1">
        <v>1</v>
      </c>
      <c r="I75" s="1">
        <f t="shared" si="9"/>
        <v>1</v>
      </c>
    </row>
    <row r="76" spans="1:9" x14ac:dyDescent="0.3">
      <c r="A76" s="26">
        <v>45366</v>
      </c>
      <c r="B76" s="27">
        <f t="shared" si="5"/>
        <v>2024</v>
      </c>
      <c r="C76" s="27">
        <f t="shared" si="6"/>
        <v>3</v>
      </c>
      <c r="D76" s="27">
        <f t="shared" si="7"/>
        <v>15</v>
      </c>
      <c r="E76" s="27">
        <f t="shared" si="8"/>
        <v>6</v>
      </c>
      <c r="F76" s="27">
        <f>VLOOKUP(E76,[1]t_calendarioPolitica!A:C,3,FALSE)</f>
        <v>1</v>
      </c>
      <c r="G76" s="1">
        <v>1</v>
      </c>
      <c r="H76" s="1">
        <v>1</v>
      </c>
      <c r="I76" s="1">
        <f t="shared" si="9"/>
        <v>1</v>
      </c>
    </row>
    <row r="77" spans="1:9" x14ac:dyDescent="0.3">
      <c r="A77" s="26">
        <v>45367</v>
      </c>
      <c r="B77" s="27">
        <f t="shared" si="5"/>
        <v>2024</v>
      </c>
      <c r="C77" s="27">
        <f t="shared" si="6"/>
        <v>3</v>
      </c>
      <c r="D77" s="27">
        <f t="shared" si="7"/>
        <v>16</v>
      </c>
      <c r="E77" s="27">
        <f t="shared" si="8"/>
        <v>7</v>
      </c>
      <c r="F77" s="27">
        <f>VLOOKUP(E77,[1]t_calendarioPolitica!A:C,3,FALSE)</f>
        <v>2</v>
      </c>
      <c r="G77" s="1">
        <v>1</v>
      </c>
      <c r="H77" s="1">
        <v>1</v>
      </c>
      <c r="I77" s="1">
        <f t="shared" si="9"/>
        <v>1</v>
      </c>
    </row>
    <row r="78" spans="1:9" x14ac:dyDescent="0.3">
      <c r="A78" s="26">
        <v>45368</v>
      </c>
      <c r="B78" s="27">
        <f t="shared" si="5"/>
        <v>2024</v>
      </c>
      <c r="C78" s="27">
        <f t="shared" si="6"/>
        <v>3</v>
      </c>
      <c r="D78" s="27">
        <f t="shared" si="7"/>
        <v>17</v>
      </c>
      <c r="E78" s="27">
        <f t="shared" si="8"/>
        <v>1</v>
      </c>
      <c r="F78" s="27">
        <f>VLOOKUP(E78,[1]t_calendarioPolitica!A:C,3,FALSE)</f>
        <v>0</v>
      </c>
      <c r="G78" s="1">
        <v>1</v>
      </c>
      <c r="H78" s="1">
        <v>1</v>
      </c>
      <c r="I78" s="1">
        <f t="shared" si="9"/>
        <v>0</v>
      </c>
    </row>
    <row r="79" spans="1:9" x14ac:dyDescent="0.3">
      <c r="A79" s="26">
        <v>45369</v>
      </c>
      <c r="B79" s="27">
        <f t="shared" si="5"/>
        <v>2024</v>
      </c>
      <c r="C79" s="27">
        <f t="shared" si="6"/>
        <v>3</v>
      </c>
      <c r="D79" s="27">
        <f t="shared" si="7"/>
        <v>18</v>
      </c>
      <c r="E79" s="27">
        <f t="shared" si="8"/>
        <v>2</v>
      </c>
      <c r="F79" s="27">
        <f>VLOOKUP(E79,[1]t_calendarioPolitica!A:C,3,FALSE)</f>
        <v>1</v>
      </c>
      <c r="G79" s="1">
        <v>1</v>
      </c>
      <c r="H79" s="1">
        <v>1</v>
      </c>
      <c r="I79" s="1">
        <f t="shared" si="9"/>
        <v>1</v>
      </c>
    </row>
    <row r="80" spans="1:9" x14ac:dyDescent="0.3">
      <c r="A80" s="26">
        <v>45370</v>
      </c>
      <c r="B80" s="27">
        <f t="shared" si="5"/>
        <v>2024</v>
      </c>
      <c r="C80" s="27">
        <f t="shared" si="6"/>
        <v>3</v>
      </c>
      <c r="D80" s="27">
        <f t="shared" si="7"/>
        <v>19</v>
      </c>
      <c r="E80" s="27">
        <f t="shared" si="8"/>
        <v>3</v>
      </c>
      <c r="F80" s="27">
        <f>VLOOKUP(E80,[1]t_calendarioPolitica!A:C,3,FALSE)</f>
        <v>1</v>
      </c>
      <c r="G80" s="1">
        <v>1</v>
      </c>
      <c r="H80" s="1">
        <v>1</v>
      </c>
      <c r="I80" s="1">
        <f t="shared" si="9"/>
        <v>1</v>
      </c>
    </row>
    <row r="81" spans="1:9" x14ac:dyDescent="0.3">
      <c r="A81" s="26">
        <v>45371</v>
      </c>
      <c r="B81" s="27">
        <f t="shared" si="5"/>
        <v>2024</v>
      </c>
      <c r="C81" s="27">
        <f t="shared" si="6"/>
        <v>3</v>
      </c>
      <c r="D81" s="27">
        <f t="shared" si="7"/>
        <v>20</v>
      </c>
      <c r="E81" s="27">
        <f t="shared" si="8"/>
        <v>4</v>
      </c>
      <c r="F81" s="27">
        <f>VLOOKUP(E81,[1]t_calendarioPolitica!A:C,3,FALSE)</f>
        <v>1</v>
      </c>
      <c r="G81" s="1">
        <v>1</v>
      </c>
      <c r="H81" s="1">
        <v>1</v>
      </c>
      <c r="I81" s="1">
        <f t="shared" si="9"/>
        <v>1</v>
      </c>
    </row>
    <row r="82" spans="1:9" x14ac:dyDescent="0.3">
      <c r="A82" s="26">
        <v>45372</v>
      </c>
      <c r="B82" s="27">
        <f t="shared" si="5"/>
        <v>2024</v>
      </c>
      <c r="C82" s="27">
        <f t="shared" si="6"/>
        <v>3</v>
      </c>
      <c r="D82" s="27">
        <f t="shared" si="7"/>
        <v>21</v>
      </c>
      <c r="E82" s="27">
        <f t="shared" si="8"/>
        <v>5</v>
      </c>
      <c r="F82" s="27">
        <f>VLOOKUP(E82,[1]t_calendarioPolitica!A:C,3,FALSE)</f>
        <v>1</v>
      </c>
      <c r="G82" s="1">
        <v>1</v>
      </c>
      <c r="H82" s="1">
        <v>1</v>
      </c>
      <c r="I82" s="1">
        <f t="shared" si="9"/>
        <v>1</v>
      </c>
    </row>
    <row r="83" spans="1:9" x14ac:dyDescent="0.3">
      <c r="A83" s="26">
        <v>45373</v>
      </c>
      <c r="B83" s="27">
        <f t="shared" si="5"/>
        <v>2024</v>
      </c>
      <c r="C83" s="27">
        <f t="shared" si="6"/>
        <v>3</v>
      </c>
      <c r="D83" s="27">
        <f t="shared" si="7"/>
        <v>22</v>
      </c>
      <c r="E83" s="27">
        <f t="shared" si="8"/>
        <v>6</v>
      </c>
      <c r="F83" s="27">
        <f>VLOOKUP(E83,[1]t_calendarioPolitica!A:C,3,FALSE)</f>
        <v>1</v>
      </c>
      <c r="G83" s="1">
        <v>1</v>
      </c>
      <c r="H83" s="1">
        <v>1</v>
      </c>
      <c r="I83" s="1">
        <f t="shared" si="9"/>
        <v>1</v>
      </c>
    </row>
    <row r="84" spans="1:9" x14ac:dyDescent="0.3">
      <c r="A84" s="26">
        <v>45374</v>
      </c>
      <c r="B84" s="27">
        <f t="shared" si="5"/>
        <v>2024</v>
      </c>
      <c r="C84" s="27">
        <f t="shared" si="6"/>
        <v>3</v>
      </c>
      <c r="D84" s="27">
        <f t="shared" si="7"/>
        <v>23</v>
      </c>
      <c r="E84" s="27">
        <f t="shared" si="8"/>
        <v>7</v>
      </c>
      <c r="F84" s="27">
        <f>VLOOKUP(E84,[1]t_calendarioPolitica!A:C,3,FALSE)</f>
        <v>2</v>
      </c>
      <c r="G84" s="1">
        <v>1</v>
      </c>
      <c r="H84" s="1">
        <v>1</v>
      </c>
      <c r="I84" s="1">
        <f t="shared" si="9"/>
        <v>1</v>
      </c>
    </row>
    <row r="85" spans="1:9" x14ac:dyDescent="0.3">
      <c r="A85" s="26">
        <v>45375</v>
      </c>
      <c r="B85" s="27">
        <f t="shared" si="5"/>
        <v>2024</v>
      </c>
      <c r="C85" s="27">
        <f t="shared" si="6"/>
        <v>3</v>
      </c>
      <c r="D85" s="27">
        <f t="shared" si="7"/>
        <v>24</v>
      </c>
      <c r="E85" s="27">
        <f t="shared" si="8"/>
        <v>1</v>
      </c>
      <c r="F85" s="27">
        <f>VLOOKUP(E85,[1]t_calendarioPolitica!A:C,3,FALSE)</f>
        <v>0</v>
      </c>
      <c r="G85" s="1">
        <v>1</v>
      </c>
      <c r="H85" s="1">
        <v>1</v>
      </c>
      <c r="I85" s="1">
        <f t="shared" si="9"/>
        <v>0</v>
      </c>
    </row>
    <row r="86" spans="1:9" x14ac:dyDescent="0.3">
      <c r="A86" s="26">
        <v>45376</v>
      </c>
      <c r="B86" s="27">
        <f t="shared" si="5"/>
        <v>2024</v>
      </c>
      <c r="C86" s="27">
        <f t="shared" si="6"/>
        <v>3</v>
      </c>
      <c r="D86" s="27">
        <f t="shared" si="7"/>
        <v>25</v>
      </c>
      <c r="E86" s="27">
        <f t="shared" si="8"/>
        <v>2</v>
      </c>
      <c r="F86" s="27">
        <f>VLOOKUP(E86,[1]t_calendarioPolitica!A:C,3,FALSE)</f>
        <v>1</v>
      </c>
      <c r="G86" s="1">
        <v>1</v>
      </c>
      <c r="H86" s="1">
        <v>1</v>
      </c>
      <c r="I86" s="1">
        <f t="shared" si="9"/>
        <v>1</v>
      </c>
    </row>
    <row r="87" spans="1:9" x14ac:dyDescent="0.3">
      <c r="A87" s="26">
        <v>45377</v>
      </c>
      <c r="B87" s="27">
        <f t="shared" si="5"/>
        <v>2024</v>
      </c>
      <c r="C87" s="27">
        <f t="shared" si="6"/>
        <v>3</v>
      </c>
      <c r="D87" s="27">
        <f t="shared" si="7"/>
        <v>26</v>
      </c>
      <c r="E87" s="27">
        <f t="shared" si="8"/>
        <v>3</v>
      </c>
      <c r="F87" s="27">
        <f>VLOOKUP(E87,[1]t_calendarioPolitica!A:C,3,FALSE)</f>
        <v>1</v>
      </c>
      <c r="G87" s="1">
        <v>1</v>
      </c>
      <c r="H87" s="1">
        <v>1</v>
      </c>
      <c r="I87" s="1">
        <f t="shared" si="9"/>
        <v>1</v>
      </c>
    </row>
    <row r="88" spans="1:9" x14ac:dyDescent="0.3">
      <c r="A88" s="26">
        <v>45378</v>
      </c>
      <c r="B88" s="27">
        <f t="shared" si="5"/>
        <v>2024</v>
      </c>
      <c r="C88" s="27">
        <f t="shared" si="6"/>
        <v>3</v>
      </c>
      <c r="D88" s="27">
        <f t="shared" si="7"/>
        <v>27</v>
      </c>
      <c r="E88" s="27">
        <f t="shared" si="8"/>
        <v>4</v>
      </c>
      <c r="F88" s="27">
        <f>VLOOKUP(E88,[1]t_calendarioPolitica!A:C,3,FALSE)</f>
        <v>1</v>
      </c>
      <c r="G88" s="1">
        <v>1</v>
      </c>
      <c r="H88" s="1">
        <v>1</v>
      </c>
      <c r="I88" s="1">
        <f t="shared" si="9"/>
        <v>1</v>
      </c>
    </row>
    <row r="89" spans="1:9" x14ac:dyDescent="0.3">
      <c r="A89" s="26">
        <v>45379</v>
      </c>
      <c r="B89" s="27">
        <f t="shared" si="5"/>
        <v>2024</v>
      </c>
      <c r="C89" s="27">
        <f t="shared" si="6"/>
        <v>3</v>
      </c>
      <c r="D89" s="27">
        <f t="shared" si="7"/>
        <v>28</v>
      </c>
      <c r="E89" s="27">
        <f t="shared" si="8"/>
        <v>5</v>
      </c>
      <c r="F89" s="27">
        <f>VLOOKUP(E89,[1]t_calendarioPolitica!A:C,3,FALSE)</f>
        <v>1</v>
      </c>
      <c r="G89" s="1">
        <v>1</v>
      </c>
      <c r="H89" s="1">
        <v>1</v>
      </c>
      <c r="I89" s="1">
        <f t="shared" si="9"/>
        <v>1</v>
      </c>
    </row>
    <row r="90" spans="1:9" x14ac:dyDescent="0.3">
      <c r="A90" s="26">
        <v>45380</v>
      </c>
      <c r="B90" s="27">
        <f t="shared" si="5"/>
        <v>2024</v>
      </c>
      <c r="C90" s="27">
        <f t="shared" si="6"/>
        <v>3</v>
      </c>
      <c r="D90" s="27">
        <f t="shared" si="7"/>
        <v>29</v>
      </c>
      <c r="E90" s="27">
        <f t="shared" si="8"/>
        <v>6</v>
      </c>
      <c r="F90" s="27">
        <f>VLOOKUP(E90,[1]t_calendarioPolitica!A:C,3,FALSE)</f>
        <v>1</v>
      </c>
      <c r="G90" s="1">
        <v>1</v>
      </c>
      <c r="H90" s="1">
        <v>1</v>
      </c>
      <c r="I90" s="1">
        <f t="shared" si="9"/>
        <v>1</v>
      </c>
    </row>
    <row r="91" spans="1:9" x14ac:dyDescent="0.3">
      <c r="A91" s="26">
        <v>45381</v>
      </c>
      <c r="B91" s="27">
        <f t="shared" si="5"/>
        <v>2024</v>
      </c>
      <c r="C91" s="27">
        <f t="shared" si="6"/>
        <v>3</v>
      </c>
      <c r="D91" s="27">
        <f t="shared" si="7"/>
        <v>30</v>
      </c>
      <c r="E91" s="27">
        <f t="shared" si="8"/>
        <v>7</v>
      </c>
      <c r="F91" s="27">
        <f>VLOOKUP(E91,[1]t_calendarioPolitica!A:C,3,FALSE)</f>
        <v>2</v>
      </c>
      <c r="G91" s="1">
        <v>1</v>
      </c>
      <c r="H91" s="1">
        <v>1</v>
      </c>
      <c r="I91" s="1">
        <f t="shared" si="9"/>
        <v>1</v>
      </c>
    </row>
    <row r="92" spans="1:9" x14ac:dyDescent="0.3">
      <c r="A92" s="26">
        <v>45382</v>
      </c>
      <c r="B92" s="27">
        <f t="shared" si="5"/>
        <v>2024</v>
      </c>
      <c r="C92" s="27">
        <f t="shared" si="6"/>
        <v>3</v>
      </c>
      <c r="D92" s="27">
        <f t="shared" si="7"/>
        <v>31</v>
      </c>
      <c r="E92" s="27">
        <f t="shared" si="8"/>
        <v>1</v>
      </c>
      <c r="F92" s="27">
        <f>VLOOKUP(E92,[1]t_calendarioPolitica!A:C,3,FALSE)</f>
        <v>0</v>
      </c>
      <c r="G92" s="1">
        <v>1</v>
      </c>
      <c r="H92" s="1">
        <v>1</v>
      </c>
      <c r="I92" s="1">
        <f t="shared" si="9"/>
        <v>0</v>
      </c>
    </row>
    <row r="93" spans="1:9" x14ac:dyDescent="0.3">
      <c r="A93" s="26">
        <v>45383</v>
      </c>
      <c r="B93" s="27">
        <f t="shared" si="5"/>
        <v>2024</v>
      </c>
      <c r="C93" s="27">
        <f t="shared" si="6"/>
        <v>4</v>
      </c>
      <c r="D93" s="27">
        <f t="shared" si="7"/>
        <v>1</v>
      </c>
      <c r="E93" s="27">
        <f t="shared" si="8"/>
        <v>2</v>
      </c>
      <c r="F93" s="27">
        <f>VLOOKUP(E93,[1]t_calendarioPolitica!A:C,3,FALSE)</f>
        <v>1</v>
      </c>
      <c r="G93" s="1">
        <v>1</v>
      </c>
      <c r="H93" s="1">
        <v>1</v>
      </c>
      <c r="I93" s="1">
        <f t="shared" si="9"/>
        <v>1</v>
      </c>
    </row>
    <row r="94" spans="1:9" x14ac:dyDescent="0.3">
      <c r="A94" s="26">
        <v>45384</v>
      </c>
      <c r="B94" s="27">
        <f t="shared" si="5"/>
        <v>2024</v>
      </c>
      <c r="C94" s="27">
        <f t="shared" si="6"/>
        <v>4</v>
      </c>
      <c r="D94" s="27">
        <f t="shared" si="7"/>
        <v>2</v>
      </c>
      <c r="E94" s="27">
        <f t="shared" si="8"/>
        <v>3</v>
      </c>
      <c r="F94" s="27">
        <f>VLOOKUP(E94,[1]t_calendarioPolitica!A:C,3,FALSE)</f>
        <v>1</v>
      </c>
      <c r="G94" s="1">
        <v>1</v>
      </c>
      <c r="H94" s="1">
        <v>1</v>
      </c>
      <c r="I94" s="1">
        <f t="shared" si="9"/>
        <v>1</v>
      </c>
    </row>
    <row r="95" spans="1:9" x14ac:dyDescent="0.3">
      <c r="A95" s="26">
        <v>45385</v>
      </c>
      <c r="B95" s="27">
        <f t="shared" si="5"/>
        <v>2024</v>
      </c>
      <c r="C95" s="27">
        <f t="shared" si="6"/>
        <v>4</v>
      </c>
      <c r="D95" s="27">
        <f t="shared" si="7"/>
        <v>3</v>
      </c>
      <c r="E95" s="27">
        <f t="shared" si="8"/>
        <v>4</v>
      </c>
      <c r="F95" s="27">
        <f>VLOOKUP(E95,[1]t_calendarioPolitica!A:C,3,FALSE)</f>
        <v>1</v>
      </c>
      <c r="G95" s="1">
        <v>1</v>
      </c>
      <c r="H95" s="1">
        <v>1</v>
      </c>
      <c r="I95" s="1">
        <f t="shared" si="9"/>
        <v>1</v>
      </c>
    </row>
    <row r="96" spans="1:9" x14ac:dyDescent="0.3">
      <c r="A96" s="26">
        <v>45386</v>
      </c>
      <c r="B96" s="27">
        <f t="shared" si="5"/>
        <v>2024</v>
      </c>
      <c r="C96" s="27">
        <f t="shared" si="6"/>
        <v>4</v>
      </c>
      <c r="D96" s="27">
        <f t="shared" si="7"/>
        <v>4</v>
      </c>
      <c r="E96" s="27">
        <f t="shared" si="8"/>
        <v>5</v>
      </c>
      <c r="F96" s="27">
        <f>VLOOKUP(E96,[1]t_calendarioPolitica!A:C,3,FALSE)</f>
        <v>1</v>
      </c>
      <c r="G96" s="1">
        <v>1</v>
      </c>
      <c r="H96" s="1">
        <v>1</v>
      </c>
      <c r="I96" s="1">
        <f t="shared" si="9"/>
        <v>1</v>
      </c>
    </row>
    <row r="97" spans="1:9" x14ac:dyDescent="0.3">
      <c r="A97" s="26">
        <v>45387</v>
      </c>
      <c r="B97" s="27">
        <f t="shared" si="5"/>
        <v>2024</v>
      </c>
      <c r="C97" s="27">
        <f t="shared" si="6"/>
        <v>4</v>
      </c>
      <c r="D97" s="27">
        <f t="shared" si="7"/>
        <v>5</v>
      </c>
      <c r="E97" s="27">
        <f t="shared" si="8"/>
        <v>6</v>
      </c>
      <c r="F97" s="27">
        <f>VLOOKUP(E97,[1]t_calendarioPolitica!A:C,3,FALSE)</f>
        <v>1</v>
      </c>
      <c r="G97" s="1">
        <v>1</v>
      </c>
      <c r="H97" s="1">
        <v>1</v>
      </c>
      <c r="I97" s="1">
        <f t="shared" si="9"/>
        <v>1</v>
      </c>
    </row>
    <row r="98" spans="1:9" x14ac:dyDescent="0.3">
      <c r="A98" s="26">
        <v>45388</v>
      </c>
      <c r="B98" s="27">
        <f t="shared" si="5"/>
        <v>2024</v>
      </c>
      <c r="C98" s="27">
        <f t="shared" si="6"/>
        <v>4</v>
      </c>
      <c r="D98" s="27">
        <f t="shared" si="7"/>
        <v>6</v>
      </c>
      <c r="E98" s="27">
        <f t="shared" si="8"/>
        <v>7</v>
      </c>
      <c r="F98" s="27">
        <f>VLOOKUP(E98,[1]t_calendarioPolitica!A:C,3,FALSE)</f>
        <v>2</v>
      </c>
      <c r="G98" s="1">
        <v>1</v>
      </c>
      <c r="H98" s="1">
        <v>1</v>
      </c>
      <c r="I98" s="1">
        <f t="shared" si="9"/>
        <v>1</v>
      </c>
    </row>
    <row r="99" spans="1:9" x14ac:dyDescent="0.3">
      <c r="A99" s="26">
        <v>45389</v>
      </c>
      <c r="B99" s="27">
        <f t="shared" si="5"/>
        <v>2024</v>
      </c>
      <c r="C99" s="27">
        <f t="shared" si="6"/>
        <v>4</v>
      </c>
      <c r="D99" s="27">
        <f t="shared" si="7"/>
        <v>7</v>
      </c>
      <c r="E99" s="27">
        <f t="shared" si="8"/>
        <v>1</v>
      </c>
      <c r="F99" s="27">
        <f>VLOOKUP(E99,[1]t_calendarioPolitica!A:C,3,FALSE)</f>
        <v>0</v>
      </c>
      <c r="G99" s="1">
        <v>1</v>
      </c>
      <c r="H99" s="1">
        <v>1</v>
      </c>
      <c r="I99" s="1">
        <f t="shared" si="9"/>
        <v>0</v>
      </c>
    </row>
    <row r="100" spans="1:9" x14ac:dyDescent="0.3">
      <c r="A100" s="26">
        <v>45390</v>
      </c>
      <c r="B100" s="27">
        <f t="shared" si="5"/>
        <v>2024</v>
      </c>
      <c r="C100" s="27">
        <f t="shared" si="6"/>
        <v>4</v>
      </c>
      <c r="D100" s="27">
        <f t="shared" si="7"/>
        <v>8</v>
      </c>
      <c r="E100" s="27">
        <f t="shared" si="8"/>
        <v>2</v>
      </c>
      <c r="F100" s="27">
        <f>VLOOKUP(E100,[1]t_calendarioPolitica!A:C,3,FALSE)</f>
        <v>1</v>
      </c>
      <c r="G100" s="1">
        <v>1</v>
      </c>
      <c r="H100" s="1">
        <v>1</v>
      </c>
      <c r="I100" s="1">
        <f t="shared" si="9"/>
        <v>1</v>
      </c>
    </row>
    <row r="101" spans="1:9" x14ac:dyDescent="0.3">
      <c r="A101" s="26">
        <v>45391</v>
      </c>
      <c r="B101" s="27">
        <f t="shared" si="5"/>
        <v>2024</v>
      </c>
      <c r="C101" s="27">
        <f t="shared" si="6"/>
        <v>4</v>
      </c>
      <c r="D101" s="27">
        <f t="shared" si="7"/>
        <v>9</v>
      </c>
      <c r="E101" s="27">
        <f t="shared" si="8"/>
        <v>3</v>
      </c>
      <c r="F101" s="27">
        <f>VLOOKUP(E101,[1]t_calendarioPolitica!A:C,3,FALSE)</f>
        <v>1</v>
      </c>
      <c r="G101" s="1">
        <v>1</v>
      </c>
      <c r="H101" s="1">
        <v>1</v>
      </c>
      <c r="I101" s="1">
        <f t="shared" si="9"/>
        <v>1</v>
      </c>
    </row>
    <row r="102" spans="1:9" x14ac:dyDescent="0.3">
      <c r="A102" s="26">
        <v>45392</v>
      </c>
      <c r="B102" s="27">
        <f t="shared" si="5"/>
        <v>2024</v>
      </c>
      <c r="C102" s="27">
        <f t="shared" si="6"/>
        <v>4</v>
      </c>
      <c r="D102" s="27">
        <f t="shared" si="7"/>
        <v>10</v>
      </c>
      <c r="E102" s="27">
        <f t="shared" si="8"/>
        <v>4</v>
      </c>
      <c r="F102" s="27">
        <f>VLOOKUP(E102,[1]t_calendarioPolitica!A:C,3,FALSE)</f>
        <v>1</v>
      </c>
      <c r="G102" s="1">
        <v>1</v>
      </c>
      <c r="H102" s="1">
        <v>1</v>
      </c>
      <c r="I102" s="1">
        <f t="shared" si="9"/>
        <v>1</v>
      </c>
    </row>
    <row r="103" spans="1:9" x14ac:dyDescent="0.3">
      <c r="A103" s="26">
        <v>45393</v>
      </c>
      <c r="B103" s="27">
        <f t="shared" si="5"/>
        <v>2024</v>
      </c>
      <c r="C103" s="27">
        <f t="shared" si="6"/>
        <v>4</v>
      </c>
      <c r="D103" s="27">
        <f t="shared" si="7"/>
        <v>11</v>
      </c>
      <c r="E103" s="27">
        <f t="shared" si="8"/>
        <v>5</v>
      </c>
      <c r="F103" s="27">
        <f>VLOOKUP(E103,[1]t_calendarioPolitica!A:C,3,FALSE)</f>
        <v>1</v>
      </c>
      <c r="G103" s="1">
        <v>1</v>
      </c>
      <c r="H103" s="1">
        <v>1</v>
      </c>
      <c r="I103" s="1">
        <f t="shared" si="9"/>
        <v>1</v>
      </c>
    </row>
    <row r="104" spans="1:9" x14ac:dyDescent="0.3">
      <c r="A104" s="26">
        <v>45394</v>
      </c>
      <c r="B104" s="27">
        <f t="shared" si="5"/>
        <v>2024</v>
      </c>
      <c r="C104" s="27">
        <f t="shared" si="6"/>
        <v>4</v>
      </c>
      <c r="D104" s="27">
        <f t="shared" si="7"/>
        <v>12</v>
      </c>
      <c r="E104" s="27">
        <f t="shared" si="8"/>
        <v>6</v>
      </c>
      <c r="F104" s="27">
        <f>VLOOKUP(E104,[1]t_calendarioPolitica!A:C,3,FALSE)</f>
        <v>1</v>
      </c>
      <c r="G104" s="1">
        <v>1</v>
      </c>
      <c r="H104" s="1">
        <v>1</v>
      </c>
      <c r="I104" s="1">
        <f t="shared" si="9"/>
        <v>1</v>
      </c>
    </row>
    <row r="105" spans="1:9" x14ac:dyDescent="0.3">
      <c r="A105" s="26">
        <v>45395</v>
      </c>
      <c r="B105" s="27">
        <f t="shared" si="5"/>
        <v>2024</v>
      </c>
      <c r="C105" s="27">
        <f t="shared" si="6"/>
        <v>4</v>
      </c>
      <c r="D105" s="27">
        <f t="shared" si="7"/>
        <v>13</v>
      </c>
      <c r="E105" s="27">
        <f t="shared" si="8"/>
        <v>7</v>
      </c>
      <c r="F105" s="27">
        <f>VLOOKUP(E105,[1]t_calendarioPolitica!A:C,3,FALSE)</f>
        <v>2</v>
      </c>
      <c r="G105" s="1">
        <v>1</v>
      </c>
      <c r="H105" s="1">
        <v>1</v>
      </c>
      <c r="I105" s="1">
        <f t="shared" si="9"/>
        <v>1</v>
      </c>
    </row>
    <row r="106" spans="1:9" x14ac:dyDescent="0.3">
      <c r="A106" s="26">
        <v>45396</v>
      </c>
      <c r="B106" s="27">
        <f t="shared" si="5"/>
        <v>2024</v>
      </c>
      <c r="C106" s="27">
        <f t="shared" si="6"/>
        <v>4</v>
      </c>
      <c r="D106" s="27">
        <f t="shared" si="7"/>
        <v>14</v>
      </c>
      <c r="E106" s="27">
        <f t="shared" si="8"/>
        <v>1</v>
      </c>
      <c r="F106" s="27">
        <f>VLOOKUP(E106,[1]t_calendarioPolitica!A:C,3,FALSE)</f>
        <v>0</v>
      </c>
      <c r="G106" s="1">
        <v>1</v>
      </c>
      <c r="H106" s="1">
        <v>1</v>
      </c>
      <c r="I106" s="1">
        <f t="shared" si="9"/>
        <v>0</v>
      </c>
    </row>
    <row r="107" spans="1:9" x14ac:dyDescent="0.3">
      <c r="A107" s="26">
        <v>45397</v>
      </c>
      <c r="B107" s="27">
        <f t="shared" si="5"/>
        <v>2024</v>
      </c>
      <c r="C107" s="27">
        <f t="shared" si="6"/>
        <v>4</v>
      </c>
      <c r="D107" s="27">
        <f t="shared" si="7"/>
        <v>15</v>
      </c>
      <c r="E107" s="27">
        <f t="shared" si="8"/>
        <v>2</v>
      </c>
      <c r="F107" s="27">
        <f>VLOOKUP(E107,[1]t_calendarioPolitica!A:C,3,FALSE)</f>
        <v>1</v>
      </c>
      <c r="G107" s="1">
        <v>1</v>
      </c>
      <c r="H107" s="1">
        <v>1</v>
      </c>
      <c r="I107" s="1">
        <f t="shared" si="9"/>
        <v>1</v>
      </c>
    </row>
    <row r="108" spans="1:9" x14ac:dyDescent="0.3">
      <c r="A108" s="26">
        <v>45398</v>
      </c>
      <c r="B108" s="27">
        <f t="shared" si="5"/>
        <v>2024</v>
      </c>
      <c r="C108" s="27">
        <f t="shared" si="6"/>
        <v>4</v>
      </c>
      <c r="D108" s="27">
        <f t="shared" si="7"/>
        <v>16</v>
      </c>
      <c r="E108" s="27">
        <f t="shared" si="8"/>
        <v>3</v>
      </c>
      <c r="F108" s="27">
        <f>VLOOKUP(E108,[1]t_calendarioPolitica!A:C,3,FALSE)</f>
        <v>1</v>
      </c>
      <c r="G108" s="1">
        <v>1</v>
      </c>
      <c r="H108" s="1">
        <v>1</v>
      </c>
      <c r="I108" s="1">
        <f t="shared" si="9"/>
        <v>1</v>
      </c>
    </row>
    <row r="109" spans="1:9" x14ac:dyDescent="0.3">
      <c r="A109" s="26">
        <v>45399</v>
      </c>
      <c r="B109" s="27">
        <f t="shared" si="5"/>
        <v>2024</v>
      </c>
      <c r="C109" s="27">
        <f t="shared" si="6"/>
        <v>4</v>
      </c>
      <c r="D109" s="27">
        <f t="shared" si="7"/>
        <v>17</v>
      </c>
      <c r="E109" s="27">
        <f t="shared" si="8"/>
        <v>4</v>
      </c>
      <c r="F109" s="27">
        <f>VLOOKUP(E109,[1]t_calendarioPolitica!A:C,3,FALSE)</f>
        <v>1</v>
      </c>
      <c r="G109" s="1">
        <v>1</v>
      </c>
      <c r="H109" s="1">
        <v>1</v>
      </c>
      <c r="I109" s="1">
        <f t="shared" si="9"/>
        <v>1</v>
      </c>
    </row>
    <row r="110" spans="1:9" x14ac:dyDescent="0.3">
      <c r="A110" s="26">
        <v>45400</v>
      </c>
      <c r="B110" s="27">
        <f t="shared" si="5"/>
        <v>2024</v>
      </c>
      <c r="C110" s="27">
        <f t="shared" si="6"/>
        <v>4</v>
      </c>
      <c r="D110" s="27">
        <f t="shared" si="7"/>
        <v>18</v>
      </c>
      <c r="E110" s="27">
        <f t="shared" si="8"/>
        <v>5</v>
      </c>
      <c r="F110" s="27">
        <f>VLOOKUP(E110,[1]t_calendarioPolitica!A:C,3,FALSE)</f>
        <v>1</v>
      </c>
      <c r="G110" s="1">
        <v>1</v>
      </c>
      <c r="H110" s="1">
        <v>1</v>
      </c>
      <c r="I110" s="1">
        <f t="shared" si="9"/>
        <v>1</v>
      </c>
    </row>
    <row r="111" spans="1:9" x14ac:dyDescent="0.3">
      <c r="A111" s="26">
        <v>45401</v>
      </c>
      <c r="B111" s="27">
        <f t="shared" si="5"/>
        <v>2024</v>
      </c>
      <c r="C111" s="27">
        <f t="shared" si="6"/>
        <v>4</v>
      </c>
      <c r="D111" s="27">
        <f t="shared" si="7"/>
        <v>19</v>
      </c>
      <c r="E111" s="27">
        <f t="shared" si="8"/>
        <v>6</v>
      </c>
      <c r="F111" s="27">
        <f>VLOOKUP(E111,[1]t_calendarioPolitica!A:C,3,FALSE)</f>
        <v>1</v>
      </c>
      <c r="G111" s="1">
        <v>1</v>
      </c>
      <c r="H111" s="1">
        <v>1</v>
      </c>
      <c r="I111" s="1">
        <f t="shared" si="9"/>
        <v>1</v>
      </c>
    </row>
    <row r="112" spans="1:9" x14ac:dyDescent="0.3">
      <c r="A112" s="26">
        <v>45402</v>
      </c>
      <c r="B112" s="27">
        <f t="shared" si="5"/>
        <v>2024</v>
      </c>
      <c r="C112" s="27">
        <f t="shared" si="6"/>
        <v>4</v>
      </c>
      <c r="D112" s="27">
        <f t="shared" si="7"/>
        <v>20</v>
      </c>
      <c r="E112" s="27">
        <f t="shared" si="8"/>
        <v>7</v>
      </c>
      <c r="F112" s="27">
        <f>VLOOKUP(E112,[1]t_calendarioPolitica!A:C,3,FALSE)</f>
        <v>2</v>
      </c>
      <c r="G112" s="1">
        <v>1</v>
      </c>
      <c r="H112" s="1">
        <v>1</v>
      </c>
      <c r="I112" s="1">
        <f t="shared" si="9"/>
        <v>1</v>
      </c>
    </row>
    <row r="113" spans="1:9" x14ac:dyDescent="0.3">
      <c r="A113" s="26">
        <v>45403</v>
      </c>
      <c r="B113" s="27">
        <f t="shared" si="5"/>
        <v>2024</v>
      </c>
      <c r="C113" s="27">
        <f t="shared" si="6"/>
        <v>4</v>
      </c>
      <c r="D113" s="27">
        <f t="shared" si="7"/>
        <v>21</v>
      </c>
      <c r="E113" s="27">
        <f t="shared" si="8"/>
        <v>1</v>
      </c>
      <c r="F113" s="27">
        <f>VLOOKUP(E113,[1]t_calendarioPolitica!A:C,3,FALSE)</f>
        <v>0</v>
      </c>
      <c r="G113" s="1">
        <v>1</v>
      </c>
      <c r="H113" s="1">
        <v>1</v>
      </c>
      <c r="I113" s="1">
        <f t="shared" si="9"/>
        <v>0</v>
      </c>
    </row>
    <row r="114" spans="1:9" x14ac:dyDescent="0.3">
      <c r="A114" s="26">
        <v>45404</v>
      </c>
      <c r="B114" s="27">
        <f t="shared" si="5"/>
        <v>2024</v>
      </c>
      <c r="C114" s="27">
        <f t="shared" si="6"/>
        <v>4</v>
      </c>
      <c r="D114" s="27">
        <f t="shared" si="7"/>
        <v>22</v>
      </c>
      <c r="E114" s="27">
        <f t="shared" si="8"/>
        <v>2</v>
      </c>
      <c r="F114" s="27">
        <f>VLOOKUP(E114,[1]t_calendarioPolitica!A:C,3,FALSE)</f>
        <v>1</v>
      </c>
      <c r="G114" s="1">
        <v>1</v>
      </c>
      <c r="H114" s="1">
        <v>1</v>
      </c>
      <c r="I114" s="1">
        <f t="shared" si="9"/>
        <v>1</v>
      </c>
    </row>
    <row r="115" spans="1:9" x14ac:dyDescent="0.3">
      <c r="A115" s="26">
        <v>45405</v>
      </c>
      <c r="B115" s="27">
        <f t="shared" si="5"/>
        <v>2024</v>
      </c>
      <c r="C115" s="27">
        <f t="shared" si="6"/>
        <v>4</v>
      </c>
      <c r="D115" s="27">
        <f t="shared" si="7"/>
        <v>23</v>
      </c>
      <c r="E115" s="27">
        <f t="shared" si="8"/>
        <v>3</v>
      </c>
      <c r="F115" s="27">
        <f>VLOOKUP(E115,[1]t_calendarioPolitica!A:C,3,FALSE)</f>
        <v>1</v>
      </c>
      <c r="G115" s="1">
        <v>1</v>
      </c>
      <c r="H115" s="1">
        <v>1</v>
      </c>
      <c r="I115" s="1">
        <f t="shared" si="9"/>
        <v>1</v>
      </c>
    </row>
    <row r="116" spans="1:9" x14ac:dyDescent="0.3">
      <c r="A116" s="26">
        <v>45406</v>
      </c>
      <c r="B116" s="27">
        <f t="shared" si="5"/>
        <v>2024</v>
      </c>
      <c r="C116" s="27">
        <f t="shared" si="6"/>
        <v>4</v>
      </c>
      <c r="D116" s="27">
        <f t="shared" si="7"/>
        <v>24</v>
      </c>
      <c r="E116" s="27">
        <f t="shared" si="8"/>
        <v>4</v>
      </c>
      <c r="F116" s="27">
        <f>VLOOKUP(E116,[1]t_calendarioPolitica!A:C,3,FALSE)</f>
        <v>1</v>
      </c>
      <c r="G116" s="1">
        <v>1</v>
      </c>
      <c r="H116" s="1">
        <v>1</v>
      </c>
      <c r="I116" s="1">
        <f t="shared" si="9"/>
        <v>1</v>
      </c>
    </row>
    <row r="117" spans="1:9" x14ac:dyDescent="0.3">
      <c r="A117" s="26">
        <v>45407</v>
      </c>
      <c r="B117" s="27">
        <f t="shared" si="5"/>
        <v>2024</v>
      </c>
      <c r="C117" s="27">
        <f t="shared" si="6"/>
        <v>4</v>
      </c>
      <c r="D117" s="27">
        <f t="shared" si="7"/>
        <v>25</v>
      </c>
      <c r="E117" s="27">
        <f t="shared" si="8"/>
        <v>5</v>
      </c>
      <c r="F117" s="27">
        <f>VLOOKUP(E117,[1]t_calendarioPolitica!A:C,3,FALSE)</f>
        <v>1</v>
      </c>
      <c r="G117" s="1">
        <v>1</v>
      </c>
      <c r="H117" s="1">
        <v>1</v>
      </c>
      <c r="I117" s="1">
        <f t="shared" si="9"/>
        <v>1</v>
      </c>
    </row>
    <row r="118" spans="1:9" x14ac:dyDescent="0.3">
      <c r="A118" s="26">
        <v>45408</v>
      </c>
      <c r="B118" s="27">
        <f t="shared" si="5"/>
        <v>2024</v>
      </c>
      <c r="C118" s="27">
        <f t="shared" si="6"/>
        <v>4</v>
      </c>
      <c r="D118" s="27">
        <f t="shared" si="7"/>
        <v>26</v>
      </c>
      <c r="E118" s="27">
        <f t="shared" si="8"/>
        <v>6</v>
      </c>
      <c r="F118" s="27">
        <f>VLOOKUP(E118,[1]t_calendarioPolitica!A:C,3,FALSE)</f>
        <v>1</v>
      </c>
      <c r="G118" s="1">
        <v>1</v>
      </c>
      <c r="H118" s="1">
        <v>1</v>
      </c>
      <c r="I118" s="1">
        <f t="shared" si="9"/>
        <v>1</v>
      </c>
    </row>
    <row r="119" spans="1:9" x14ac:dyDescent="0.3">
      <c r="A119" s="26">
        <v>45409</v>
      </c>
      <c r="B119" s="27">
        <f t="shared" si="5"/>
        <v>2024</v>
      </c>
      <c r="C119" s="27">
        <f t="shared" si="6"/>
        <v>4</v>
      </c>
      <c r="D119" s="27">
        <f t="shared" si="7"/>
        <v>27</v>
      </c>
      <c r="E119" s="27">
        <f t="shared" si="8"/>
        <v>7</v>
      </c>
      <c r="F119" s="27">
        <f>VLOOKUP(E119,[1]t_calendarioPolitica!A:C,3,FALSE)</f>
        <v>2</v>
      </c>
      <c r="G119" s="1">
        <v>1</v>
      </c>
      <c r="H119" s="1">
        <v>1</v>
      </c>
      <c r="I119" s="1">
        <f t="shared" si="9"/>
        <v>1</v>
      </c>
    </row>
    <row r="120" spans="1:9" x14ac:dyDescent="0.3">
      <c r="A120" s="26">
        <v>45410</v>
      </c>
      <c r="B120" s="27">
        <f t="shared" si="5"/>
        <v>2024</v>
      </c>
      <c r="C120" s="27">
        <f t="shared" si="6"/>
        <v>4</v>
      </c>
      <c r="D120" s="27">
        <f t="shared" si="7"/>
        <v>28</v>
      </c>
      <c r="E120" s="27">
        <f t="shared" si="8"/>
        <v>1</v>
      </c>
      <c r="F120" s="27">
        <f>VLOOKUP(E120,[1]t_calendarioPolitica!A:C,3,FALSE)</f>
        <v>0</v>
      </c>
      <c r="G120" s="1">
        <v>1</v>
      </c>
      <c r="H120" s="1">
        <v>1</v>
      </c>
      <c r="I120" s="1">
        <f t="shared" si="9"/>
        <v>0</v>
      </c>
    </row>
    <row r="121" spans="1:9" x14ac:dyDescent="0.3">
      <c r="A121" s="26">
        <v>45411</v>
      </c>
      <c r="B121" s="27">
        <f t="shared" si="5"/>
        <v>2024</v>
      </c>
      <c r="C121" s="27">
        <f t="shared" si="6"/>
        <v>4</v>
      </c>
      <c r="D121" s="27">
        <f t="shared" si="7"/>
        <v>29</v>
      </c>
      <c r="E121" s="27">
        <f t="shared" si="8"/>
        <v>2</v>
      </c>
      <c r="F121" s="27">
        <f>VLOOKUP(E121,[1]t_calendarioPolitica!A:C,3,FALSE)</f>
        <v>1</v>
      </c>
      <c r="G121" s="1">
        <v>1</v>
      </c>
      <c r="H121" s="1">
        <v>1</v>
      </c>
      <c r="I121" s="1">
        <f t="shared" si="9"/>
        <v>1</v>
      </c>
    </row>
    <row r="122" spans="1:9" x14ac:dyDescent="0.3">
      <c r="A122" s="26">
        <v>45412</v>
      </c>
      <c r="B122" s="27">
        <f t="shared" si="5"/>
        <v>2024</v>
      </c>
      <c r="C122" s="27">
        <f t="shared" si="6"/>
        <v>4</v>
      </c>
      <c r="D122" s="27">
        <f t="shared" si="7"/>
        <v>30</v>
      </c>
      <c r="E122" s="27">
        <f t="shared" si="8"/>
        <v>3</v>
      </c>
      <c r="F122" s="27">
        <f>VLOOKUP(E122,[1]t_calendarioPolitica!A:C,3,FALSE)</f>
        <v>1</v>
      </c>
      <c r="G122" s="1">
        <v>1</v>
      </c>
      <c r="H122" s="1">
        <v>1</v>
      </c>
      <c r="I122" s="1">
        <f t="shared" si="9"/>
        <v>1</v>
      </c>
    </row>
    <row r="123" spans="1:9" x14ac:dyDescent="0.3">
      <c r="A123" s="26">
        <v>45413</v>
      </c>
      <c r="B123" s="27">
        <f t="shared" si="5"/>
        <v>2024</v>
      </c>
      <c r="C123" s="27">
        <f t="shared" si="6"/>
        <v>5</v>
      </c>
      <c r="D123" s="27">
        <f t="shared" si="7"/>
        <v>1</v>
      </c>
      <c r="E123" s="27">
        <f t="shared" si="8"/>
        <v>4</v>
      </c>
      <c r="F123" s="27">
        <f>VLOOKUP(E123,[1]t_calendarioPolitica!A:C,3,FALSE)</f>
        <v>1</v>
      </c>
      <c r="G123" s="1">
        <v>1</v>
      </c>
      <c r="H123" s="1">
        <v>1</v>
      </c>
      <c r="I123" s="1">
        <f t="shared" si="9"/>
        <v>1</v>
      </c>
    </row>
    <row r="124" spans="1:9" x14ac:dyDescent="0.3">
      <c r="A124" s="26">
        <v>45414</v>
      </c>
      <c r="B124" s="27">
        <f t="shared" si="5"/>
        <v>2024</v>
      </c>
      <c r="C124" s="27">
        <f t="shared" si="6"/>
        <v>5</v>
      </c>
      <c r="D124" s="27">
        <f t="shared" si="7"/>
        <v>2</v>
      </c>
      <c r="E124" s="27">
        <f t="shared" si="8"/>
        <v>5</v>
      </c>
      <c r="F124" s="27">
        <f>VLOOKUP(E124,[1]t_calendarioPolitica!A:C,3,FALSE)</f>
        <v>1</v>
      </c>
      <c r="G124" s="1">
        <v>1</v>
      </c>
      <c r="H124" s="1">
        <v>1</v>
      </c>
      <c r="I124" s="1">
        <f t="shared" si="9"/>
        <v>1</v>
      </c>
    </row>
    <row r="125" spans="1:9" x14ac:dyDescent="0.3">
      <c r="A125" s="26">
        <v>45415</v>
      </c>
      <c r="B125" s="27">
        <f t="shared" si="5"/>
        <v>2024</v>
      </c>
      <c r="C125" s="27">
        <f t="shared" si="6"/>
        <v>5</v>
      </c>
      <c r="D125" s="27">
        <f t="shared" si="7"/>
        <v>3</v>
      </c>
      <c r="E125" s="27">
        <f t="shared" si="8"/>
        <v>6</v>
      </c>
      <c r="F125" s="27">
        <f>VLOOKUP(E125,[1]t_calendarioPolitica!A:C,3,FALSE)</f>
        <v>1</v>
      </c>
      <c r="G125" s="1">
        <v>1</v>
      </c>
      <c r="H125" s="1">
        <v>1</v>
      </c>
      <c r="I125" s="1">
        <f t="shared" si="9"/>
        <v>1</v>
      </c>
    </row>
    <row r="126" spans="1:9" x14ac:dyDescent="0.3">
      <c r="A126" s="26">
        <v>45416</v>
      </c>
      <c r="B126" s="27">
        <f t="shared" si="5"/>
        <v>2024</v>
      </c>
      <c r="C126" s="27">
        <f t="shared" si="6"/>
        <v>5</v>
      </c>
      <c r="D126" s="27">
        <f t="shared" si="7"/>
        <v>4</v>
      </c>
      <c r="E126" s="27">
        <f t="shared" si="8"/>
        <v>7</v>
      </c>
      <c r="F126" s="27">
        <f>VLOOKUP(E126,[1]t_calendarioPolitica!A:C,3,FALSE)</f>
        <v>2</v>
      </c>
      <c r="G126" s="1">
        <v>1</v>
      </c>
      <c r="H126" s="1">
        <v>1</v>
      </c>
      <c r="I126" s="1">
        <f t="shared" si="9"/>
        <v>1</v>
      </c>
    </row>
    <row r="127" spans="1:9" x14ac:dyDescent="0.3">
      <c r="A127" s="26">
        <v>45417</v>
      </c>
      <c r="B127" s="27">
        <f t="shared" si="5"/>
        <v>2024</v>
      </c>
      <c r="C127" s="27">
        <f t="shared" si="6"/>
        <v>5</v>
      </c>
      <c r="D127" s="27">
        <f t="shared" si="7"/>
        <v>5</v>
      </c>
      <c r="E127" s="27">
        <f t="shared" si="8"/>
        <v>1</v>
      </c>
      <c r="F127" s="27">
        <f>VLOOKUP(E127,[1]t_calendarioPolitica!A:C,3,FALSE)</f>
        <v>0</v>
      </c>
      <c r="G127" s="1">
        <v>1</v>
      </c>
      <c r="H127" s="1">
        <v>1</v>
      </c>
      <c r="I127" s="1">
        <f t="shared" si="9"/>
        <v>0</v>
      </c>
    </row>
    <row r="128" spans="1:9" x14ac:dyDescent="0.3">
      <c r="A128" s="26">
        <v>45418</v>
      </c>
      <c r="B128" s="27">
        <f t="shared" si="5"/>
        <v>2024</v>
      </c>
      <c r="C128" s="27">
        <f t="shared" si="6"/>
        <v>5</v>
      </c>
      <c r="D128" s="27">
        <f t="shared" si="7"/>
        <v>6</v>
      </c>
      <c r="E128" s="27">
        <f t="shared" si="8"/>
        <v>2</v>
      </c>
      <c r="F128" s="27">
        <f>VLOOKUP(E128,[1]t_calendarioPolitica!A:C,3,FALSE)</f>
        <v>1</v>
      </c>
      <c r="G128" s="1">
        <v>1</v>
      </c>
      <c r="H128" s="1">
        <v>1</v>
      </c>
      <c r="I128" s="1">
        <f t="shared" si="9"/>
        <v>1</v>
      </c>
    </row>
    <row r="129" spans="1:9" x14ac:dyDescent="0.3">
      <c r="A129" s="26">
        <v>45419</v>
      </c>
      <c r="B129" s="27">
        <f t="shared" si="5"/>
        <v>2024</v>
      </c>
      <c r="C129" s="27">
        <f t="shared" si="6"/>
        <v>5</v>
      </c>
      <c r="D129" s="27">
        <f t="shared" si="7"/>
        <v>7</v>
      </c>
      <c r="E129" s="27">
        <f t="shared" si="8"/>
        <v>3</v>
      </c>
      <c r="F129" s="27">
        <f>VLOOKUP(E129,[1]t_calendarioPolitica!A:C,3,FALSE)</f>
        <v>1</v>
      </c>
      <c r="G129" s="1">
        <v>1</v>
      </c>
      <c r="H129" s="1">
        <v>1</v>
      </c>
      <c r="I129" s="1">
        <f t="shared" si="9"/>
        <v>1</v>
      </c>
    </row>
    <row r="130" spans="1:9" x14ac:dyDescent="0.3">
      <c r="A130" s="26">
        <v>45420</v>
      </c>
      <c r="B130" s="27">
        <f t="shared" si="5"/>
        <v>2024</v>
      </c>
      <c r="C130" s="27">
        <f t="shared" si="6"/>
        <v>5</v>
      </c>
      <c r="D130" s="27">
        <f t="shared" si="7"/>
        <v>8</v>
      </c>
      <c r="E130" s="27">
        <f t="shared" si="8"/>
        <v>4</v>
      </c>
      <c r="F130" s="27">
        <f>VLOOKUP(E130,[1]t_calendarioPolitica!A:C,3,FALSE)</f>
        <v>1</v>
      </c>
      <c r="G130" s="1">
        <v>1</v>
      </c>
      <c r="H130" s="1">
        <v>1</v>
      </c>
      <c r="I130" s="1">
        <f t="shared" si="9"/>
        <v>1</v>
      </c>
    </row>
    <row r="131" spans="1:9" x14ac:dyDescent="0.3">
      <c r="A131" s="26">
        <v>45421</v>
      </c>
      <c r="B131" s="27">
        <f t="shared" ref="B131:B194" si="10">YEAR(A131)</f>
        <v>2024</v>
      </c>
      <c r="C131" s="27">
        <f t="shared" ref="C131:C194" si="11">MONTH(A131)</f>
        <v>5</v>
      </c>
      <c r="D131" s="27">
        <f t="shared" ref="D131:D194" si="12">DAY(A131)</f>
        <v>9</v>
      </c>
      <c r="E131" s="27">
        <f t="shared" ref="E131:E194" si="13">WEEKDAY(A131)</f>
        <v>5</v>
      </c>
      <c r="F131" s="27">
        <f>VLOOKUP(E131,[1]t_calendarioPolitica!A:C,3,FALSE)</f>
        <v>1</v>
      </c>
      <c r="G131" s="1">
        <v>1</v>
      </c>
      <c r="H131" s="1">
        <v>1</v>
      </c>
      <c r="I131" s="1">
        <f t="shared" ref="I131:I194" si="14">IF(AND(F131&lt;&gt;0, H131&lt;&gt;0,G131&lt;&gt;0), 1, 0)</f>
        <v>1</v>
      </c>
    </row>
    <row r="132" spans="1:9" x14ac:dyDescent="0.3">
      <c r="A132" s="26">
        <v>45422</v>
      </c>
      <c r="B132" s="27">
        <f t="shared" si="10"/>
        <v>2024</v>
      </c>
      <c r="C132" s="27">
        <f t="shared" si="11"/>
        <v>5</v>
      </c>
      <c r="D132" s="27">
        <f t="shared" si="12"/>
        <v>10</v>
      </c>
      <c r="E132" s="27">
        <f t="shared" si="13"/>
        <v>6</v>
      </c>
      <c r="F132" s="27">
        <f>VLOOKUP(E132,[1]t_calendarioPolitica!A:C,3,FALSE)</f>
        <v>1</v>
      </c>
      <c r="G132" s="1">
        <v>1</v>
      </c>
      <c r="H132" s="1">
        <v>0</v>
      </c>
      <c r="I132" s="1">
        <f t="shared" si="14"/>
        <v>0</v>
      </c>
    </row>
    <row r="133" spans="1:9" x14ac:dyDescent="0.3">
      <c r="A133" s="26">
        <v>45423</v>
      </c>
      <c r="B133" s="27">
        <f t="shared" si="10"/>
        <v>2024</v>
      </c>
      <c r="C133" s="27">
        <f t="shared" si="11"/>
        <v>5</v>
      </c>
      <c r="D133" s="27">
        <f t="shared" si="12"/>
        <v>11</v>
      </c>
      <c r="E133" s="27">
        <f t="shared" si="13"/>
        <v>7</v>
      </c>
      <c r="F133" s="27">
        <f>VLOOKUP(E133,[1]t_calendarioPolitica!A:C,3,FALSE)</f>
        <v>2</v>
      </c>
      <c r="G133" s="1">
        <v>1</v>
      </c>
      <c r="H133" s="1">
        <v>1</v>
      </c>
      <c r="I133" s="1">
        <f t="shared" si="14"/>
        <v>1</v>
      </c>
    </row>
    <row r="134" spans="1:9" x14ac:dyDescent="0.3">
      <c r="A134" s="26">
        <v>45424</v>
      </c>
      <c r="B134" s="27">
        <f t="shared" si="10"/>
        <v>2024</v>
      </c>
      <c r="C134" s="27">
        <f t="shared" si="11"/>
        <v>5</v>
      </c>
      <c r="D134" s="27">
        <f t="shared" si="12"/>
        <v>12</v>
      </c>
      <c r="E134" s="27">
        <f t="shared" si="13"/>
        <v>1</v>
      </c>
      <c r="F134" s="27">
        <f>VLOOKUP(E134,[1]t_calendarioPolitica!A:C,3,FALSE)</f>
        <v>0</v>
      </c>
      <c r="G134" s="1">
        <v>1</v>
      </c>
      <c r="H134" s="1">
        <v>1</v>
      </c>
      <c r="I134" s="1">
        <f t="shared" si="14"/>
        <v>0</v>
      </c>
    </row>
    <row r="135" spans="1:9" x14ac:dyDescent="0.3">
      <c r="A135" s="26">
        <v>45425</v>
      </c>
      <c r="B135" s="27">
        <f t="shared" si="10"/>
        <v>2024</v>
      </c>
      <c r="C135" s="27">
        <f t="shared" si="11"/>
        <v>5</v>
      </c>
      <c r="D135" s="27">
        <f t="shared" si="12"/>
        <v>13</v>
      </c>
      <c r="E135" s="27">
        <f t="shared" si="13"/>
        <v>2</v>
      </c>
      <c r="F135" s="27">
        <f>VLOOKUP(E135,[1]t_calendarioPolitica!A:C,3,FALSE)</f>
        <v>1</v>
      </c>
      <c r="G135" s="1">
        <v>1</v>
      </c>
      <c r="H135" s="1">
        <v>1</v>
      </c>
      <c r="I135" s="1">
        <f t="shared" si="14"/>
        <v>1</v>
      </c>
    </row>
    <row r="136" spans="1:9" x14ac:dyDescent="0.3">
      <c r="A136" s="26">
        <v>45426</v>
      </c>
      <c r="B136" s="27">
        <f t="shared" si="10"/>
        <v>2024</v>
      </c>
      <c r="C136" s="27">
        <f t="shared" si="11"/>
        <v>5</v>
      </c>
      <c r="D136" s="27">
        <f t="shared" si="12"/>
        <v>14</v>
      </c>
      <c r="E136" s="27">
        <f t="shared" si="13"/>
        <v>3</v>
      </c>
      <c r="F136" s="27">
        <f>VLOOKUP(E136,[1]t_calendarioPolitica!A:C,3,FALSE)</f>
        <v>1</v>
      </c>
      <c r="G136" s="1">
        <v>1</v>
      </c>
      <c r="H136" s="1">
        <v>1</v>
      </c>
      <c r="I136" s="1">
        <f t="shared" si="14"/>
        <v>1</v>
      </c>
    </row>
    <row r="137" spans="1:9" x14ac:dyDescent="0.3">
      <c r="A137" s="26">
        <v>45427</v>
      </c>
      <c r="B137" s="27">
        <f t="shared" si="10"/>
        <v>2024</v>
      </c>
      <c r="C137" s="27">
        <f t="shared" si="11"/>
        <v>5</v>
      </c>
      <c r="D137" s="27">
        <f t="shared" si="12"/>
        <v>15</v>
      </c>
      <c r="E137" s="27">
        <f t="shared" si="13"/>
        <v>4</v>
      </c>
      <c r="F137" s="27">
        <f>VLOOKUP(E137,[1]t_calendarioPolitica!A:C,3,FALSE)</f>
        <v>1</v>
      </c>
      <c r="G137" s="1">
        <v>1</v>
      </c>
      <c r="H137" s="1">
        <v>1</v>
      </c>
      <c r="I137" s="1">
        <f t="shared" si="14"/>
        <v>1</v>
      </c>
    </row>
    <row r="138" spans="1:9" x14ac:dyDescent="0.3">
      <c r="A138" s="26">
        <v>45428</v>
      </c>
      <c r="B138" s="27">
        <f t="shared" si="10"/>
        <v>2024</v>
      </c>
      <c r="C138" s="27">
        <f t="shared" si="11"/>
        <v>5</v>
      </c>
      <c r="D138" s="27">
        <f t="shared" si="12"/>
        <v>16</v>
      </c>
      <c r="E138" s="27">
        <f t="shared" si="13"/>
        <v>5</v>
      </c>
      <c r="F138" s="27">
        <f>VLOOKUP(E138,[1]t_calendarioPolitica!A:C,3,FALSE)</f>
        <v>1</v>
      </c>
      <c r="G138" s="1">
        <v>1</v>
      </c>
      <c r="H138" s="1">
        <v>1</v>
      </c>
      <c r="I138" s="1">
        <f t="shared" si="14"/>
        <v>1</v>
      </c>
    </row>
    <row r="139" spans="1:9" x14ac:dyDescent="0.3">
      <c r="A139" s="26">
        <v>45429</v>
      </c>
      <c r="B139" s="27">
        <f t="shared" si="10"/>
        <v>2024</v>
      </c>
      <c r="C139" s="27">
        <f t="shared" si="11"/>
        <v>5</v>
      </c>
      <c r="D139" s="27">
        <f t="shared" si="12"/>
        <v>17</v>
      </c>
      <c r="E139" s="27">
        <f t="shared" si="13"/>
        <v>6</v>
      </c>
      <c r="F139" s="27">
        <f>VLOOKUP(E139,[1]t_calendarioPolitica!A:C,3,FALSE)</f>
        <v>1</v>
      </c>
      <c r="G139" s="1">
        <v>1</v>
      </c>
      <c r="H139" s="1">
        <v>1</v>
      </c>
      <c r="I139" s="1">
        <f t="shared" si="14"/>
        <v>1</v>
      </c>
    </row>
    <row r="140" spans="1:9" x14ac:dyDescent="0.3">
      <c r="A140" s="26">
        <v>45430</v>
      </c>
      <c r="B140" s="27">
        <f t="shared" si="10"/>
        <v>2024</v>
      </c>
      <c r="C140" s="27">
        <f t="shared" si="11"/>
        <v>5</v>
      </c>
      <c r="D140" s="27">
        <f t="shared" si="12"/>
        <v>18</v>
      </c>
      <c r="E140" s="27">
        <f t="shared" si="13"/>
        <v>7</v>
      </c>
      <c r="F140" s="27">
        <f>VLOOKUP(E140,[1]t_calendarioPolitica!A:C,3,FALSE)</f>
        <v>2</v>
      </c>
      <c r="G140" s="1">
        <v>1</v>
      </c>
      <c r="H140" s="1">
        <v>1</v>
      </c>
      <c r="I140" s="1">
        <f t="shared" si="14"/>
        <v>1</v>
      </c>
    </row>
    <row r="141" spans="1:9" x14ac:dyDescent="0.3">
      <c r="A141" s="26">
        <v>45431</v>
      </c>
      <c r="B141" s="27">
        <f t="shared" si="10"/>
        <v>2024</v>
      </c>
      <c r="C141" s="27">
        <f t="shared" si="11"/>
        <v>5</v>
      </c>
      <c r="D141" s="27">
        <f t="shared" si="12"/>
        <v>19</v>
      </c>
      <c r="E141" s="27">
        <f t="shared" si="13"/>
        <v>1</v>
      </c>
      <c r="F141" s="27">
        <f>VLOOKUP(E141,[1]t_calendarioPolitica!A:C,3,FALSE)</f>
        <v>0</v>
      </c>
      <c r="G141" s="1">
        <v>1</v>
      </c>
      <c r="H141" s="1">
        <v>1</v>
      </c>
      <c r="I141" s="1">
        <f t="shared" si="14"/>
        <v>0</v>
      </c>
    </row>
    <row r="142" spans="1:9" x14ac:dyDescent="0.3">
      <c r="A142" s="26">
        <v>45432</v>
      </c>
      <c r="B142" s="27">
        <f t="shared" si="10"/>
        <v>2024</v>
      </c>
      <c r="C142" s="27">
        <f t="shared" si="11"/>
        <v>5</v>
      </c>
      <c r="D142" s="27">
        <f t="shared" si="12"/>
        <v>20</v>
      </c>
      <c r="E142" s="27">
        <f t="shared" si="13"/>
        <v>2</v>
      </c>
      <c r="F142" s="27">
        <f>VLOOKUP(E142,[1]t_calendarioPolitica!A:C,3,FALSE)</f>
        <v>1</v>
      </c>
      <c r="G142" s="1">
        <v>1</v>
      </c>
      <c r="H142" s="1">
        <v>1</v>
      </c>
      <c r="I142" s="1">
        <f t="shared" si="14"/>
        <v>1</v>
      </c>
    </row>
    <row r="143" spans="1:9" x14ac:dyDescent="0.3">
      <c r="A143" s="26">
        <v>45433</v>
      </c>
      <c r="B143" s="27">
        <f t="shared" si="10"/>
        <v>2024</v>
      </c>
      <c r="C143" s="27">
        <f t="shared" si="11"/>
        <v>5</v>
      </c>
      <c r="D143" s="27">
        <f t="shared" si="12"/>
        <v>21</v>
      </c>
      <c r="E143" s="27">
        <f t="shared" si="13"/>
        <v>3</v>
      </c>
      <c r="F143" s="27">
        <f>VLOOKUP(E143,[1]t_calendarioPolitica!A:C,3,FALSE)</f>
        <v>1</v>
      </c>
      <c r="G143" s="1">
        <v>1</v>
      </c>
      <c r="H143" s="1">
        <v>1</v>
      </c>
      <c r="I143" s="1">
        <f t="shared" si="14"/>
        <v>1</v>
      </c>
    </row>
    <row r="144" spans="1:9" x14ac:dyDescent="0.3">
      <c r="A144" s="26">
        <v>45434</v>
      </c>
      <c r="B144" s="27">
        <f t="shared" si="10"/>
        <v>2024</v>
      </c>
      <c r="C144" s="27">
        <f t="shared" si="11"/>
        <v>5</v>
      </c>
      <c r="D144" s="27">
        <f t="shared" si="12"/>
        <v>22</v>
      </c>
      <c r="E144" s="27">
        <f t="shared" si="13"/>
        <v>4</v>
      </c>
      <c r="F144" s="27">
        <f>VLOOKUP(E144,[1]t_calendarioPolitica!A:C,3,FALSE)</f>
        <v>1</v>
      </c>
      <c r="G144" s="1">
        <v>1</v>
      </c>
      <c r="H144" s="1">
        <v>1</v>
      </c>
      <c r="I144" s="1">
        <f t="shared" si="14"/>
        <v>1</v>
      </c>
    </row>
    <row r="145" spans="1:9" x14ac:dyDescent="0.3">
      <c r="A145" s="26">
        <v>45435</v>
      </c>
      <c r="B145" s="27">
        <f t="shared" si="10"/>
        <v>2024</v>
      </c>
      <c r="C145" s="27">
        <f t="shared" si="11"/>
        <v>5</v>
      </c>
      <c r="D145" s="27">
        <f t="shared" si="12"/>
        <v>23</v>
      </c>
      <c r="E145" s="27">
        <f t="shared" si="13"/>
        <v>5</v>
      </c>
      <c r="F145" s="27">
        <f>VLOOKUP(E145,[1]t_calendarioPolitica!A:C,3,FALSE)</f>
        <v>1</v>
      </c>
      <c r="G145" s="1">
        <v>1</v>
      </c>
      <c r="H145" s="1">
        <v>1</v>
      </c>
      <c r="I145" s="1">
        <f t="shared" si="14"/>
        <v>1</v>
      </c>
    </row>
    <row r="146" spans="1:9" x14ac:dyDescent="0.3">
      <c r="A146" s="26">
        <v>45436</v>
      </c>
      <c r="B146" s="27">
        <f t="shared" si="10"/>
        <v>2024</v>
      </c>
      <c r="C146" s="27">
        <f t="shared" si="11"/>
        <v>5</v>
      </c>
      <c r="D146" s="27">
        <f t="shared" si="12"/>
        <v>24</v>
      </c>
      <c r="E146" s="27">
        <f t="shared" si="13"/>
        <v>6</v>
      </c>
      <c r="F146" s="27">
        <f>VLOOKUP(E146,[1]t_calendarioPolitica!A:C,3,FALSE)</f>
        <v>1</v>
      </c>
      <c r="G146" s="1">
        <v>1</v>
      </c>
      <c r="H146" s="1">
        <v>1</v>
      </c>
      <c r="I146" s="1">
        <f t="shared" si="14"/>
        <v>1</v>
      </c>
    </row>
    <row r="147" spans="1:9" x14ac:dyDescent="0.3">
      <c r="A147" s="26">
        <v>45437</v>
      </c>
      <c r="B147" s="27">
        <f t="shared" si="10"/>
        <v>2024</v>
      </c>
      <c r="C147" s="27">
        <f t="shared" si="11"/>
        <v>5</v>
      </c>
      <c r="D147" s="27">
        <f t="shared" si="12"/>
        <v>25</v>
      </c>
      <c r="E147" s="27">
        <f t="shared" si="13"/>
        <v>7</v>
      </c>
      <c r="F147" s="27">
        <f>VLOOKUP(E147,[1]t_calendarioPolitica!A:C,3,FALSE)</f>
        <v>2</v>
      </c>
      <c r="G147" s="1">
        <v>1</v>
      </c>
      <c r="H147" s="1">
        <v>1</v>
      </c>
      <c r="I147" s="1">
        <f t="shared" si="14"/>
        <v>1</v>
      </c>
    </row>
    <row r="148" spans="1:9" x14ac:dyDescent="0.3">
      <c r="A148" s="26">
        <v>45438</v>
      </c>
      <c r="B148" s="27">
        <f t="shared" si="10"/>
        <v>2024</v>
      </c>
      <c r="C148" s="27">
        <f t="shared" si="11"/>
        <v>5</v>
      </c>
      <c r="D148" s="27">
        <f t="shared" si="12"/>
        <v>26</v>
      </c>
      <c r="E148" s="27">
        <f t="shared" si="13"/>
        <v>1</v>
      </c>
      <c r="F148" s="27">
        <f>VLOOKUP(E148,[1]t_calendarioPolitica!A:C,3,FALSE)</f>
        <v>0</v>
      </c>
      <c r="G148" s="1">
        <v>1</v>
      </c>
      <c r="H148" s="1">
        <v>1</v>
      </c>
      <c r="I148" s="1">
        <f t="shared" si="14"/>
        <v>0</v>
      </c>
    </row>
    <row r="149" spans="1:9" x14ac:dyDescent="0.3">
      <c r="A149" s="26">
        <v>45439</v>
      </c>
      <c r="B149" s="27">
        <f t="shared" si="10"/>
        <v>2024</v>
      </c>
      <c r="C149" s="27">
        <f t="shared" si="11"/>
        <v>5</v>
      </c>
      <c r="D149" s="27">
        <f t="shared" si="12"/>
        <v>27</v>
      </c>
      <c r="E149" s="27">
        <f t="shared" si="13"/>
        <v>2</v>
      </c>
      <c r="F149" s="27">
        <f>VLOOKUP(E149,[1]t_calendarioPolitica!A:C,3,FALSE)</f>
        <v>1</v>
      </c>
      <c r="G149" s="1">
        <v>1</v>
      </c>
      <c r="H149" s="1">
        <v>1</v>
      </c>
      <c r="I149" s="1">
        <f t="shared" si="14"/>
        <v>1</v>
      </c>
    </row>
    <row r="150" spans="1:9" x14ac:dyDescent="0.3">
      <c r="A150" s="26">
        <v>45440</v>
      </c>
      <c r="B150" s="27">
        <f t="shared" si="10"/>
        <v>2024</v>
      </c>
      <c r="C150" s="27">
        <f t="shared" si="11"/>
        <v>5</v>
      </c>
      <c r="D150" s="27">
        <f t="shared" si="12"/>
        <v>28</v>
      </c>
      <c r="E150" s="27">
        <f t="shared" si="13"/>
        <v>3</v>
      </c>
      <c r="F150" s="27">
        <f>VLOOKUP(E150,[1]t_calendarioPolitica!A:C,3,FALSE)</f>
        <v>1</v>
      </c>
      <c r="G150" s="1">
        <v>1</v>
      </c>
      <c r="H150" s="1">
        <v>1</v>
      </c>
      <c r="I150" s="1">
        <f t="shared" si="14"/>
        <v>1</v>
      </c>
    </row>
    <row r="151" spans="1:9" x14ac:dyDescent="0.3">
      <c r="A151" s="26">
        <v>45441</v>
      </c>
      <c r="B151" s="27">
        <f t="shared" si="10"/>
        <v>2024</v>
      </c>
      <c r="C151" s="27">
        <f t="shared" si="11"/>
        <v>5</v>
      </c>
      <c r="D151" s="27">
        <f t="shared" si="12"/>
        <v>29</v>
      </c>
      <c r="E151" s="27">
        <f t="shared" si="13"/>
        <v>4</v>
      </c>
      <c r="F151" s="27">
        <f>VLOOKUP(E151,[1]t_calendarioPolitica!A:C,3,FALSE)</f>
        <v>1</v>
      </c>
      <c r="G151" s="1">
        <v>1</v>
      </c>
      <c r="H151" s="1">
        <v>1</v>
      </c>
      <c r="I151" s="1">
        <f t="shared" si="14"/>
        <v>1</v>
      </c>
    </row>
    <row r="152" spans="1:9" x14ac:dyDescent="0.3">
      <c r="A152" s="26">
        <v>45442</v>
      </c>
      <c r="B152" s="27">
        <f t="shared" si="10"/>
        <v>2024</v>
      </c>
      <c r="C152" s="27">
        <f t="shared" si="11"/>
        <v>5</v>
      </c>
      <c r="D152" s="27">
        <f t="shared" si="12"/>
        <v>30</v>
      </c>
      <c r="E152" s="27">
        <f t="shared" si="13"/>
        <v>5</v>
      </c>
      <c r="F152" s="27">
        <f>VLOOKUP(E152,[1]t_calendarioPolitica!A:C,3,FALSE)</f>
        <v>1</v>
      </c>
      <c r="G152" s="1">
        <v>1</v>
      </c>
      <c r="H152" s="1">
        <v>1</v>
      </c>
      <c r="I152" s="1">
        <f t="shared" si="14"/>
        <v>1</v>
      </c>
    </row>
    <row r="153" spans="1:9" x14ac:dyDescent="0.3">
      <c r="A153" s="26">
        <v>45443</v>
      </c>
      <c r="B153" s="27">
        <f t="shared" si="10"/>
        <v>2024</v>
      </c>
      <c r="C153" s="27">
        <f t="shared" si="11"/>
        <v>5</v>
      </c>
      <c r="D153" s="27">
        <f t="shared" si="12"/>
        <v>31</v>
      </c>
      <c r="E153" s="27">
        <f t="shared" si="13"/>
        <v>6</v>
      </c>
      <c r="F153" s="27">
        <f>VLOOKUP(E153,[1]t_calendarioPolitica!A:C,3,FALSE)</f>
        <v>1</v>
      </c>
      <c r="G153" s="1">
        <v>1</v>
      </c>
      <c r="H153" s="1">
        <v>1</v>
      </c>
      <c r="I153" s="1">
        <f t="shared" si="14"/>
        <v>1</v>
      </c>
    </row>
    <row r="154" spans="1:9" x14ac:dyDescent="0.3">
      <c r="A154" s="26">
        <v>45444</v>
      </c>
      <c r="B154" s="27">
        <f t="shared" si="10"/>
        <v>2024</v>
      </c>
      <c r="C154" s="27">
        <f t="shared" si="11"/>
        <v>6</v>
      </c>
      <c r="D154" s="27">
        <f t="shared" si="12"/>
        <v>1</v>
      </c>
      <c r="E154" s="27">
        <f t="shared" si="13"/>
        <v>7</v>
      </c>
      <c r="F154" s="27">
        <f>VLOOKUP(E154,[1]t_calendarioPolitica!A:C,3,FALSE)</f>
        <v>2</v>
      </c>
      <c r="G154" s="1">
        <v>1</v>
      </c>
      <c r="H154" s="1">
        <v>1</v>
      </c>
      <c r="I154" s="1">
        <f t="shared" si="14"/>
        <v>1</v>
      </c>
    </row>
    <row r="155" spans="1:9" x14ac:dyDescent="0.3">
      <c r="A155" s="26">
        <v>45445</v>
      </c>
      <c r="B155" s="27">
        <f t="shared" si="10"/>
        <v>2024</v>
      </c>
      <c r="C155" s="27">
        <f t="shared" si="11"/>
        <v>6</v>
      </c>
      <c r="D155" s="27">
        <f t="shared" si="12"/>
        <v>2</v>
      </c>
      <c r="E155" s="27">
        <f t="shared" si="13"/>
        <v>1</v>
      </c>
      <c r="F155" s="27">
        <f>VLOOKUP(E155,[1]t_calendarioPolitica!A:C,3,FALSE)</f>
        <v>0</v>
      </c>
      <c r="G155" s="1">
        <v>1</v>
      </c>
      <c r="H155" s="1">
        <v>1</v>
      </c>
      <c r="I155" s="1">
        <f t="shared" si="14"/>
        <v>0</v>
      </c>
    </row>
    <row r="156" spans="1:9" x14ac:dyDescent="0.3">
      <c r="A156" s="26">
        <v>45446</v>
      </c>
      <c r="B156" s="27">
        <f t="shared" si="10"/>
        <v>2024</v>
      </c>
      <c r="C156" s="27">
        <f t="shared" si="11"/>
        <v>6</v>
      </c>
      <c r="D156" s="27">
        <f t="shared" si="12"/>
        <v>3</v>
      </c>
      <c r="E156" s="27">
        <f t="shared" si="13"/>
        <v>2</v>
      </c>
      <c r="F156" s="27">
        <f>VLOOKUP(E156,[1]t_calendarioPolitica!A:C,3,FALSE)</f>
        <v>1</v>
      </c>
      <c r="G156" s="1">
        <v>1</v>
      </c>
      <c r="H156" s="1">
        <v>1</v>
      </c>
      <c r="I156" s="1">
        <f t="shared" si="14"/>
        <v>1</v>
      </c>
    </row>
    <row r="157" spans="1:9" x14ac:dyDescent="0.3">
      <c r="A157" s="26">
        <v>45447</v>
      </c>
      <c r="B157" s="27">
        <f t="shared" si="10"/>
        <v>2024</v>
      </c>
      <c r="C157" s="27">
        <f t="shared" si="11"/>
        <v>6</v>
      </c>
      <c r="D157" s="27">
        <f t="shared" si="12"/>
        <v>4</v>
      </c>
      <c r="E157" s="27">
        <f t="shared" si="13"/>
        <v>3</v>
      </c>
      <c r="F157" s="27">
        <f>VLOOKUP(E157,[1]t_calendarioPolitica!A:C,3,FALSE)</f>
        <v>1</v>
      </c>
      <c r="G157" s="1">
        <v>1</v>
      </c>
      <c r="H157" s="1">
        <v>1</v>
      </c>
      <c r="I157" s="1">
        <f t="shared" si="14"/>
        <v>1</v>
      </c>
    </row>
    <row r="158" spans="1:9" x14ac:dyDescent="0.3">
      <c r="A158" s="26">
        <v>45448</v>
      </c>
      <c r="B158" s="27">
        <f t="shared" si="10"/>
        <v>2024</v>
      </c>
      <c r="C158" s="27">
        <f t="shared" si="11"/>
        <v>6</v>
      </c>
      <c r="D158" s="27">
        <f t="shared" si="12"/>
        <v>5</v>
      </c>
      <c r="E158" s="27">
        <f t="shared" si="13"/>
        <v>4</v>
      </c>
      <c r="F158" s="27">
        <f>VLOOKUP(E158,[1]t_calendarioPolitica!A:C,3,FALSE)</f>
        <v>1</v>
      </c>
      <c r="G158" s="1">
        <v>1</v>
      </c>
      <c r="H158" s="1">
        <v>1</v>
      </c>
      <c r="I158" s="1">
        <f t="shared" si="14"/>
        <v>1</v>
      </c>
    </row>
    <row r="159" spans="1:9" x14ac:dyDescent="0.3">
      <c r="A159" s="26">
        <v>45449</v>
      </c>
      <c r="B159" s="27">
        <f t="shared" si="10"/>
        <v>2024</v>
      </c>
      <c r="C159" s="27">
        <f t="shared" si="11"/>
        <v>6</v>
      </c>
      <c r="D159" s="27">
        <f t="shared" si="12"/>
        <v>6</v>
      </c>
      <c r="E159" s="27">
        <f t="shared" si="13"/>
        <v>5</v>
      </c>
      <c r="F159" s="27">
        <f>VLOOKUP(E159,[1]t_calendarioPolitica!A:C,3,FALSE)</f>
        <v>1</v>
      </c>
      <c r="G159" s="1">
        <v>1</v>
      </c>
      <c r="H159" s="1">
        <v>1</v>
      </c>
      <c r="I159" s="1">
        <f t="shared" si="14"/>
        <v>1</v>
      </c>
    </row>
    <row r="160" spans="1:9" x14ac:dyDescent="0.3">
      <c r="A160" s="26">
        <v>45450</v>
      </c>
      <c r="B160" s="27">
        <f t="shared" si="10"/>
        <v>2024</v>
      </c>
      <c r="C160" s="27">
        <f t="shared" si="11"/>
        <v>6</v>
      </c>
      <c r="D160" s="27">
        <f t="shared" si="12"/>
        <v>7</v>
      </c>
      <c r="E160" s="27">
        <f t="shared" si="13"/>
        <v>6</v>
      </c>
      <c r="F160" s="27">
        <f>VLOOKUP(E160,[1]t_calendarioPolitica!A:C,3,FALSE)</f>
        <v>1</v>
      </c>
      <c r="G160" s="1">
        <v>1</v>
      </c>
      <c r="H160" s="1">
        <v>1</v>
      </c>
      <c r="I160" s="1">
        <f t="shared" si="14"/>
        <v>1</v>
      </c>
    </row>
    <row r="161" spans="1:9" x14ac:dyDescent="0.3">
      <c r="A161" s="26">
        <v>45451</v>
      </c>
      <c r="B161" s="27">
        <f t="shared" si="10"/>
        <v>2024</v>
      </c>
      <c r="C161" s="27">
        <f t="shared" si="11"/>
        <v>6</v>
      </c>
      <c r="D161" s="27">
        <f t="shared" si="12"/>
        <v>8</v>
      </c>
      <c r="E161" s="27">
        <f t="shared" si="13"/>
        <v>7</v>
      </c>
      <c r="F161" s="27">
        <f>VLOOKUP(E161,[1]t_calendarioPolitica!A:C,3,FALSE)</f>
        <v>2</v>
      </c>
      <c r="G161" s="1">
        <v>1</v>
      </c>
      <c r="H161" s="1">
        <v>1</v>
      </c>
      <c r="I161" s="1">
        <f t="shared" si="14"/>
        <v>1</v>
      </c>
    </row>
    <row r="162" spans="1:9" x14ac:dyDescent="0.3">
      <c r="A162" s="26">
        <v>45452</v>
      </c>
      <c r="B162" s="27">
        <f t="shared" si="10"/>
        <v>2024</v>
      </c>
      <c r="C162" s="27">
        <f t="shared" si="11"/>
        <v>6</v>
      </c>
      <c r="D162" s="27">
        <f t="shared" si="12"/>
        <v>9</v>
      </c>
      <c r="E162" s="27">
        <f t="shared" si="13"/>
        <v>1</v>
      </c>
      <c r="F162" s="27">
        <f>VLOOKUP(E162,[1]t_calendarioPolitica!A:C,3,FALSE)</f>
        <v>0</v>
      </c>
      <c r="G162" s="1">
        <v>1</v>
      </c>
      <c r="H162" s="1">
        <v>1</v>
      </c>
      <c r="I162" s="1">
        <f t="shared" si="14"/>
        <v>0</v>
      </c>
    </row>
    <row r="163" spans="1:9" x14ac:dyDescent="0.3">
      <c r="A163" s="26">
        <v>45453</v>
      </c>
      <c r="B163" s="27">
        <f t="shared" si="10"/>
        <v>2024</v>
      </c>
      <c r="C163" s="27">
        <f t="shared" si="11"/>
        <v>6</v>
      </c>
      <c r="D163" s="27">
        <f t="shared" si="12"/>
        <v>10</v>
      </c>
      <c r="E163" s="27">
        <f t="shared" si="13"/>
        <v>2</v>
      </c>
      <c r="F163" s="27">
        <f>VLOOKUP(E163,[1]t_calendarioPolitica!A:C,3,FALSE)</f>
        <v>1</v>
      </c>
      <c r="G163" s="1">
        <v>1</v>
      </c>
      <c r="H163" s="1">
        <v>1</v>
      </c>
      <c r="I163" s="1">
        <f t="shared" si="14"/>
        <v>1</v>
      </c>
    </row>
    <row r="164" spans="1:9" x14ac:dyDescent="0.3">
      <c r="A164" s="26">
        <v>45454</v>
      </c>
      <c r="B164" s="27">
        <f t="shared" si="10"/>
        <v>2024</v>
      </c>
      <c r="C164" s="27">
        <f t="shared" si="11"/>
        <v>6</v>
      </c>
      <c r="D164" s="27">
        <f t="shared" si="12"/>
        <v>11</v>
      </c>
      <c r="E164" s="27">
        <f t="shared" si="13"/>
        <v>3</v>
      </c>
      <c r="F164" s="27">
        <f>VLOOKUP(E164,[1]t_calendarioPolitica!A:C,3,FALSE)</f>
        <v>1</v>
      </c>
      <c r="G164" s="1">
        <v>1</v>
      </c>
      <c r="H164" s="1">
        <v>1</v>
      </c>
      <c r="I164" s="1">
        <f t="shared" si="14"/>
        <v>1</v>
      </c>
    </row>
    <row r="165" spans="1:9" x14ac:dyDescent="0.3">
      <c r="A165" s="26">
        <v>45455</v>
      </c>
      <c r="B165" s="27">
        <f t="shared" si="10"/>
        <v>2024</v>
      </c>
      <c r="C165" s="27">
        <f t="shared" si="11"/>
        <v>6</v>
      </c>
      <c r="D165" s="27">
        <f t="shared" si="12"/>
        <v>12</v>
      </c>
      <c r="E165" s="27">
        <f t="shared" si="13"/>
        <v>4</v>
      </c>
      <c r="F165" s="27">
        <f>VLOOKUP(E165,[1]t_calendarioPolitica!A:C,3,FALSE)</f>
        <v>1</v>
      </c>
      <c r="G165" s="1">
        <v>1</v>
      </c>
      <c r="H165" s="1">
        <v>1</v>
      </c>
      <c r="I165" s="1">
        <f t="shared" si="14"/>
        <v>1</v>
      </c>
    </row>
    <row r="166" spans="1:9" x14ac:dyDescent="0.3">
      <c r="A166" s="26">
        <v>45456</v>
      </c>
      <c r="B166" s="27">
        <f t="shared" si="10"/>
        <v>2024</v>
      </c>
      <c r="C166" s="27">
        <f t="shared" si="11"/>
        <v>6</v>
      </c>
      <c r="D166" s="27">
        <f t="shared" si="12"/>
        <v>13</v>
      </c>
      <c r="E166" s="27">
        <f t="shared" si="13"/>
        <v>5</v>
      </c>
      <c r="F166" s="27">
        <f>VLOOKUP(E166,[1]t_calendarioPolitica!A:C,3,FALSE)</f>
        <v>1</v>
      </c>
      <c r="G166" s="1">
        <v>1</v>
      </c>
      <c r="H166" s="1">
        <v>1</v>
      </c>
      <c r="I166" s="1">
        <f t="shared" si="14"/>
        <v>1</v>
      </c>
    </row>
    <row r="167" spans="1:9" x14ac:dyDescent="0.3">
      <c r="A167" s="26">
        <v>45457</v>
      </c>
      <c r="B167" s="27">
        <f t="shared" si="10"/>
        <v>2024</v>
      </c>
      <c r="C167" s="27">
        <f t="shared" si="11"/>
        <v>6</v>
      </c>
      <c r="D167" s="27">
        <f t="shared" si="12"/>
        <v>14</v>
      </c>
      <c r="E167" s="27">
        <f t="shared" si="13"/>
        <v>6</v>
      </c>
      <c r="F167" s="27">
        <f>VLOOKUP(E167,[1]t_calendarioPolitica!A:C,3,FALSE)</f>
        <v>1</v>
      </c>
      <c r="G167" s="1">
        <v>1</v>
      </c>
      <c r="H167" s="1">
        <v>1</v>
      </c>
      <c r="I167" s="1">
        <f t="shared" si="14"/>
        <v>1</v>
      </c>
    </row>
    <row r="168" spans="1:9" x14ac:dyDescent="0.3">
      <c r="A168" s="26">
        <v>45458</v>
      </c>
      <c r="B168" s="27">
        <f t="shared" si="10"/>
        <v>2024</v>
      </c>
      <c r="C168" s="27">
        <f t="shared" si="11"/>
        <v>6</v>
      </c>
      <c r="D168" s="27">
        <f t="shared" si="12"/>
        <v>15</v>
      </c>
      <c r="E168" s="27">
        <f t="shared" si="13"/>
        <v>7</v>
      </c>
      <c r="F168" s="27">
        <f>VLOOKUP(E168,[1]t_calendarioPolitica!A:C,3,FALSE)</f>
        <v>2</v>
      </c>
      <c r="G168" s="1">
        <v>1</v>
      </c>
      <c r="H168" s="1">
        <v>1</v>
      </c>
      <c r="I168" s="1">
        <f t="shared" si="14"/>
        <v>1</v>
      </c>
    </row>
    <row r="169" spans="1:9" x14ac:dyDescent="0.3">
      <c r="A169" s="26">
        <v>45459</v>
      </c>
      <c r="B169" s="27">
        <f t="shared" si="10"/>
        <v>2024</v>
      </c>
      <c r="C169" s="27">
        <f t="shared" si="11"/>
        <v>6</v>
      </c>
      <c r="D169" s="27">
        <f t="shared" si="12"/>
        <v>16</v>
      </c>
      <c r="E169" s="27">
        <f t="shared" si="13"/>
        <v>1</v>
      </c>
      <c r="F169" s="27">
        <f>VLOOKUP(E169,[1]t_calendarioPolitica!A:C,3,FALSE)</f>
        <v>0</v>
      </c>
      <c r="G169" s="1">
        <v>1</v>
      </c>
      <c r="H169" s="1">
        <v>1</v>
      </c>
      <c r="I169" s="1">
        <f t="shared" si="14"/>
        <v>0</v>
      </c>
    </row>
    <row r="170" spans="1:9" x14ac:dyDescent="0.3">
      <c r="A170" s="26">
        <v>45460</v>
      </c>
      <c r="B170" s="27">
        <f t="shared" si="10"/>
        <v>2024</v>
      </c>
      <c r="C170" s="27">
        <f t="shared" si="11"/>
        <v>6</v>
      </c>
      <c r="D170" s="27">
        <f t="shared" si="12"/>
        <v>17</v>
      </c>
      <c r="E170" s="27">
        <f t="shared" si="13"/>
        <v>2</v>
      </c>
      <c r="F170" s="27">
        <f>VLOOKUP(E170,[1]t_calendarioPolitica!A:C,3,FALSE)</f>
        <v>1</v>
      </c>
      <c r="G170" s="1">
        <v>1</v>
      </c>
      <c r="H170" s="1">
        <v>1</v>
      </c>
      <c r="I170" s="1">
        <f t="shared" si="14"/>
        <v>1</v>
      </c>
    </row>
    <row r="171" spans="1:9" x14ac:dyDescent="0.3">
      <c r="A171" s="26">
        <v>45461</v>
      </c>
      <c r="B171" s="27">
        <f t="shared" si="10"/>
        <v>2024</v>
      </c>
      <c r="C171" s="27">
        <f t="shared" si="11"/>
        <v>6</v>
      </c>
      <c r="D171" s="27">
        <f t="shared" si="12"/>
        <v>18</v>
      </c>
      <c r="E171" s="27">
        <f t="shared" si="13"/>
        <v>3</v>
      </c>
      <c r="F171" s="27">
        <f>VLOOKUP(E171,[1]t_calendarioPolitica!A:C,3,FALSE)</f>
        <v>1</v>
      </c>
      <c r="G171" s="1">
        <v>1</v>
      </c>
      <c r="H171" s="1">
        <v>1</v>
      </c>
      <c r="I171" s="1">
        <f t="shared" si="14"/>
        <v>1</v>
      </c>
    </row>
    <row r="172" spans="1:9" x14ac:dyDescent="0.3">
      <c r="A172" s="26">
        <v>45462</v>
      </c>
      <c r="B172" s="27">
        <f t="shared" si="10"/>
        <v>2024</v>
      </c>
      <c r="C172" s="27">
        <f t="shared" si="11"/>
        <v>6</v>
      </c>
      <c r="D172" s="27">
        <f t="shared" si="12"/>
        <v>19</v>
      </c>
      <c r="E172" s="27">
        <f t="shared" si="13"/>
        <v>4</v>
      </c>
      <c r="F172" s="27">
        <f>VLOOKUP(E172,[1]t_calendarioPolitica!A:C,3,FALSE)</f>
        <v>1</v>
      </c>
      <c r="G172" s="1">
        <v>1</v>
      </c>
      <c r="H172" s="1">
        <v>1</v>
      </c>
      <c r="I172" s="1">
        <f t="shared" si="14"/>
        <v>1</v>
      </c>
    </row>
    <row r="173" spans="1:9" x14ac:dyDescent="0.3">
      <c r="A173" s="26">
        <v>45463</v>
      </c>
      <c r="B173" s="27">
        <f t="shared" si="10"/>
        <v>2024</v>
      </c>
      <c r="C173" s="27">
        <f t="shared" si="11"/>
        <v>6</v>
      </c>
      <c r="D173" s="27">
        <f t="shared" si="12"/>
        <v>20</v>
      </c>
      <c r="E173" s="27">
        <f t="shared" si="13"/>
        <v>5</v>
      </c>
      <c r="F173" s="27">
        <f>VLOOKUP(E173,[1]t_calendarioPolitica!A:C,3,FALSE)</f>
        <v>1</v>
      </c>
      <c r="G173" s="1">
        <v>1</v>
      </c>
      <c r="H173" s="1">
        <v>1</v>
      </c>
      <c r="I173" s="1">
        <f t="shared" si="14"/>
        <v>1</v>
      </c>
    </row>
    <row r="174" spans="1:9" x14ac:dyDescent="0.3">
      <c r="A174" s="26">
        <v>45464</v>
      </c>
      <c r="B174" s="27">
        <f t="shared" si="10"/>
        <v>2024</v>
      </c>
      <c r="C174" s="27">
        <f t="shared" si="11"/>
        <v>6</v>
      </c>
      <c r="D174" s="27">
        <f t="shared" si="12"/>
        <v>21</v>
      </c>
      <c r="E174" s="27">
        <f t="shared" si="13"/>
        <v>6</v>
      </c>
      <c r="F174" s="27">
        <f>VLOOKUP(E174,[1]t_calendarioPolitica!A:C,3,FALSE)</f>
        <v>1</v>
      </c>
      <c r="G174" s="1">
        <v>1</v>
      </c>
      <c r="H174" s="1">
        <v>1</v>
      </c>
      <c r="I174" s="1">
        <f t="shared" si="14"/>
        <v>1</v>
      </c>
    </row>
    <row r="175" spans="1:9" x14ac:dyDescent="0.3">
      <c r="A175" s="26">
        <v>45465</v>
      </c>
      <c r="B175" s="27">
        <f t="shared" si="10"/>
        <v>2024</v>
      </c>
      <c r="C175" s="27">
        <f t="shared" si="11"/>
        <v>6</v>
      </c>
      <c r="D175" s="27">
        <f t="shared" si="12"/>
        <v>22</v>
      </c>
      <c r="E175" s="27">
        <f t="shared" si="13"/>
        <v>7</v>
      </c>
      <c r="F175" s="27">
        <f>VLOOKUP(E175,[1]t_calendarioPolitica!A:C,3,FALSE)</f>
        <v>2</v>
      </c>
      <c r="G175" s="1">
        <v>1</v>
      </c>
      <c r="H175" s="1">
        <v>1</v>
      </c>
      <c r="I175" s="1">
        <f t="shared" si="14"/>
        <v>1</v>
      </c>
    </row>
    <row r="176" spans="1:9" x14ac:dyDescent="0.3">
      <c r="A176" s="26">
        <v>45466</v>
      </c>
      <c r="B176" s="27">
        <f t="shared" si="10"/>
        <v>2024</v>
      </c>
      <c r="C176" s="27">
        <f t="shared" si="11"/>
        <v>6</v>
      </c>
      <c r="D176" s="27">
        <f t="shared" si="12"/>
        <v>23</v>
      </c>
      <c r="E176" s="27">
        <f t="shared" si="13"/>
        <v>1</v>
      </c>
      <c r="F176" s="27">
        <f>VLOOKUP(E176,[1]t_calendarioPolitica!A:C,3,FALSE)</f>
        <v>0</v>
      </c>
      <c r="G176" s="1">
        <v>1</v>
      </c>
      <c r="H176" s="1">
        <v>1</v>
      </c>
      <c r="I176" s="1">
        <f t="shared" si="14"/>
        <v>0</v>
      </c>
    </row>
    <row r="177" spans="1:9" x14ac:dyDescent="0.3">
      <c r="A177" s="26">
        <v>45467</v>
      </c>
      <c r="B177" s="27">
        <f t="shared" si="10"/>
        <v>2024</v>
      </c>
      <c r="C177" s="27">
        <f t="shared" si="11"/>
        <v>6</v>
      </c>
      <c r="D177" s="27">
        <f t="shared" si="12"/>
        <v>24</v>
      </c>
      <c r="E177" s="27">
        <f t="shared" si="13"/>
        <v>2</v>
      </c>
      <c r="F177" s="27">
        <f>VLOOKUP(E177,[1]t_calendarioPolitica!A:C,3,FALSE)</f>
        <v>1</v>
      </c>
      <c r="G177" s="1">
        <v>1</v>
      </c>
      <c r="H177" s="1">
        <v>1</v>
      </c>
      <c r="I177" s="1">
        <f t="shared" si="14"/>
        <v>1</v>
      </c>
    </row>
    <row r="178" spans="1:9" x14ac:dyDescent="0.3">
      <c r="A178" s="26">
        <v>45468</v>
      </c>
      <c r="B178" s="27">
        <f t="shared" si="10"/>
        <v>2024</v>
      </c>
      <c r="C178" s="27">
        <f t="shared" si="11"/>
        <v>6</v>
      </c>
      <c r="D178" s="27">
        <f t="shared" si="12"/>
        <v>25</v>
      </c>
      <c r="E178" s="27">
        <f t="shared" si="13"/>
        <v>3</v>
      </c>
      <c r="F178" s="27">
        <f>VLOOKUP(E178,[1]t_calendarioPolitica!A:C,3,FALSE)</f>
        <v>1</v>
      </c>
      <c r="G178" s="1">
        <v>1</v>
      </c>
      <c r="H178" s="1">
        <v>1</v>
      </c>
      <c r="I178" s="1">
        <f t="shared" si="14"/>
        <v>1</v>
      </c>
    </row>
    <row r="179" spans="1:9" x14ac:dyDescent="0.3">
      <c r="A179" s="26">
        <v>45469</v>
      </c>
      <c r="B179" s="27">
        <f t="shared" si="10"/>
        <v>2024</v>
      </c>
      <c r="C179" s="27">
        <f t="shared" si="11"/>
        <v>6</v>
      </c>
      <c r="D179" s="27">
        <f t="shared" si="12"/>
        <v>26</v>
      </c>
      <c r="E179" s="27">
        <f t="shared" si="13"/>
        <v>4</v>
      </c>
      <c r="F179" s="27">
        <f>VLOOKUP(E179,[1]t_calendarioPolitica!A:C,3,FALSE)</f>
        <v>1</v>
      </c>
      <c r="G179" s="1">
        <v>1</v>
      </c>
      <c r="H179" s="1">
        <v>1</v>
      </c>
      <c r="I179" s="1">
        <f t="shared" si="14"/>
        <v>1</v>
      </c>
    </row>
    <row r="180" spans="1:9" x14ac:dyDescent="0.3">
      <c r="A180" s="26">
        <v>45470</v>
      </c>
      <c r="B180" s="27">
        <f t="shared" si="10"/>
        <v>2024</v>
      </c>
      <c r="C180" s="27">
        <f t="shared" si="11"/>
        <v>6</v>
      </c>
      <c r="D180" s="27">
        <f t="shared" si="12"/>
        <v>27</v>
      </c>
      <c r="E180" s="27">
        <f t="shared" si="13"/>
        <v>5</v>
      </c>
      <c r="F180" s="27">
        <f>VLOOKUP(E180,[1]t_calendarioPolitica!A:C,3,FALSE)</f>
        <v>1</v>
      </c>
      <c r="G180" s="1">
        <v>1</v>
      </c>
      <c r="H180" s="1">
        <v>1</v>
      </c>
      <c r="I180" s="1">
        <f t="shared" si="14"/>
        <v>1</v>
      </c>
    </row>
    <row r="181" spans="1:9" x14ac:dyDescent="0.3">
      <c r="A181" s="26">
        <v>45471</v>
      </c>
      <c r="B181" s="27">
        <f t="shared" si="10"/>
        <v>2024</v>
      </c>
      <c r="C181" s="27">
        <f t="shared" si="11"/>
        <v>6</v>
      </c>
      <c r="D181" s="27">
        <f t="shared" si="12"/>
        <v>28</v>
      </c>
      <c r="E181" s="27">
        <f t="shared" si="13"/>
        <v>6</v>
      </c>
      <c r="F181" s="27">
        <f>VLOOKUP(E181,[1]t_calendarioPolitica!A:C,3,FALSE)</f>
        <v>1</v>
      </c>
      <c r="G181" s="1">
        <v>1</v>
      </c>
      <c r="H181" s="1">
        <v>1</v>
      </c>
      <c r="I181" s="1">
        <f t="shared" si="14"/>
        <v>1</v>
      </c>
    </row>
    <row r="182" spans="1:9" x14ac:dyDescent="0.3">
      <c r="A182" s="26">
        <v>45472</v>
      </c>
      <c r="B182" s="27">
        <f t="shared" si="10"/>
        <v>2024</v>
      </c>
      <c r="C182" s="27">
        <f t="shared" si="11"/>
        <v>6</v>
      </c>
      <c r="D182" s="27">
        <f t="shared" si="12"/>
        <v>29</v>
      </c>
      <c r="E182" s="27">
        <f t="shared" si="13"/>
        <v>7</v>
      </c>
      <c r="F182" s="27">
        <f>VLOOKUP(E182,[1]t_calendarioPolitica!A:C,3,FALSE)</f>
        <v>2</v>
      </c>
      <c r="G182" s="1">
        <v>1</v>
      </c>
      <c r="H182" s="1">
        <v>1</v>
      </c>
      <c r="I182" s="1">
        <f t="shared" si="14"/>
        <v>1</v>
      </c>
    </row>
    <row r="183" spans="1:9" x14ac:dyDescent="0.3">
      <c r="A183" s="26">
        <v>45473</v>
      </c>
      <c r="B183" s="27">
        <f t="shared" si="10"/>
        <v>2024</v>
      </c>
      <c r="C183" s="27">
        <f t="shared" si="11"/>
        <v>6</v>
      </c>
      <c r="D183" s="27">
        <f t="shared" si="12"/>
        <v>30</v>
      </c>
      <c r="E183" s="27">
        <f t="shared" si="13"/>
        <v>1</v>
      </c>
      <c r="F183" s="27">
        <f>VLOOKUP(E183,[1]t_calendarioPolitica!A:C,3,FALSE)</f>
        <v>0</v>
      </c>
      <c r="G183" s="1">
        <v>1</v>
      </c>
      <c r="H183" s="1">
        <v>1</v>
      </c>
      <c r="I183" s="1">
        <f t="shared" si="14"/>
        <v>0</v>
      </c>
    </row>
    <row r="184" spans="1:9" x14ac:dyDescent="0.3">
      <c r="A184" s="26">
        <v>45474</v>
      </c>
      <c r="B184" s="27">
        <f t="shared" si="10"/>
        <v>2024</v>
      </c>
      <c r="C184" s="27">
        <f t="shared" si="11"/>
        <v>7</v>
      </c>
      <c r="D184" s="27">
        <f t="shared" si="12"/>
        <v>1</v>
      </c>
      <c r="E184" s="27">
        <f t="shared" si="13"/>
        <v>2</v>
      </c>
      <c r="F184" s="27">
        <f>VLOOKUP(E184,[1]t_calendarioPolitica!A:C,3,FALSE)</f>
        <v>1</v>
      </c>
      <c r="G184" s="1">
        <v>1</v>
      </c>
      <c r="H184" s="1">
        <v>1</v>
      </c>
      <c r="I184" s="1">
        <f t="shared" si="14"/>
        <v>1</v>
      </c>
    </row>
    <row r="185" spans="1:9" x14ac:dyDescent="0.3">
      <c r="A185" s="26">
        <v>45475</v>
      </c>
      <c r="B185" s="27">
        <f t="shared" si="10"/>
        <v>2024</v>
      </c>
      <c r="C185" s="27">
        <f t="shared" si="11"/>
        <v>7</v>
      </c>
      <c r="D185" s="27">
        <f t="shared" si="12"/>
        <v>2</v>
      </c>
      <c r="E185" s="27">
        <f t="shared" si="13"/>
        <v>3</v>
      </c>
      <c r="F185" s="27">
        <f>VLOOKUP(E185,[1]t_calendarioPolitica!A:C,3,FALSE)</f>
        <v>1</v>
      </c>
      <c r="G185" s="1">
        <v>1</v>
      </c>
      <c r="H185" s="1">
        <v>1</v>
      </c>
      <c r="I185" s="1">
        <f t="shared" si="14"/>
        <v>1</v>
      </c>
    </row>
    <row r="186" spans="1:9" x14ac:dyDescent="0.3">
      <c r="A186" s="26">
        <v>45476</v>
      </c>
      <c r="B186" s="27">
        <f t="shared" si="10"/>
        <v>2024</v>
      </c>
      <c r="C186" s="27">
        <f t="shared" si="11"/>
        <v>7</v>
      </c>
      <c r="D186" s="27">
        <f t="shared" si="12"/>
        <v>3</v>
      </c>
      <c r="E186" s="27">
        <f t="shared" si="13"/>
        <v>4</v>
      </c>
      <c r="F186" s="27">
        <f>VLOOKUP(E186,[1]t_calendarioPolitica!A:C,3,FALSE)</f>
        <v>1</v>
      </c>
      <c r="G186" s="1">
        <v>1</v>
      </c>
      <c r="H186" s="1">
        <v>1</v>
      </c>
      <c r="I186" s="1">
        <f t="shared" si="14"/>
        <v>1</v>
      </c>
    </row>
    <row r="187" spans="1:9" x14ac:dyDescent="0.3">
      <c r="A187" s="26">
        <v>45477</v>
      </c>
      <c r="B187" s="27">
        <f t="shared" si="10"/>
        <v>2024</v>
      </c>
      <c r="C187" s="27">
        <f t="shared" si="11"/>
        <v>7</v>
      </c>
      <c r="D187" s="27">
        <f t="shared" si="12"/>
        <v>4</v>
      </c>
      <c r="E187" s="27">
        <f t="shared" si="13"/>
        <v>5</v>
      </c>
      <c r="F187" s="27">
        <f>VLOOKUP(E187,[1]t_calendarioPolitica!A:C,3,FALSE)</f>
        <v>1</v>
      </c>
      <c r="G187" s="1">
        <v>1</v>
      </c>
      <c r="H187" s="1">
        <v>1</v>
      </c>
      <c r="I187" s="1">
        <f t="shared" si="14"/>
        <v>1</v>
      </c>
    </row>
    <row r="188" spans="1:9" x14ac:dyDescent="0.3">
      <c r="A188" s="26">
        <v>45478</v>
      </c>
      <c r="B188" s="27">
        <f t="shared" si="10"/>
        <v>2024</v>
      </c>
      <c r="C188" s="27">
        <f t="shared" si="11"/>
        <v>7</v>
      </c>
      <c r="D188" s="27">
        <f t="shared" si="12"/>
        <v>5</v>
      </c>
      <c r="E188" s="27">
        <f t="shared" si="13"/>
        <v>6</v>
      </c>
      <c r="F188" s="27">
        <f>VLOOKUP(E188,[1]t_calendarioPolitica!A:C,3,FALSE)</f>
        <v>1</v>
      </c>
      <c r="G188" s="1">
        <v>1</v>
      </c>
      <c r="H188" s="1">
        <v>1</v>
      </c>
      <c r="I188" s="1">
        <f t="shared" si="14"/>
        <v>1</v>
      </c>
    </row>
    <row r="189" spans="1:9" x14ac:dyDescent="0.3">
      <c r="A189" s="26">
        <v>45479</v>
      </c>
      <c r="B189" s="27">
        <f t="shared" si="10"/>
        <v>2024</v>
      </c>
      <c r="C189" s="27">
        <f t="shared" si="11"/>
        <v>7</v>
      </c>
      <c r="D189" s="27">
        <f t="shared" si="12"/>
        <v>6</v>
      </c>
      <c r="E189" s="27">
        <f t="shared" si="13"/>
        <v>7</v>
      </c>
      <c r="F189" s="27">
        <f>VLOOKUP(E189,[1]t_calendarioPolitica!A:C,3,FALSE)</f>
        <v>2</v>
      </c>
      <c r="G189" s="1">
        <v>1</v>
      </c>
      <c r="H189" s="1">
        <v>1</v>
      </c>
      <c r="I189" s="1">
        <f t="shared" si="14"/>
        <v>1</v>
      </c>
    </row>
    <row r="190" spans="1:9" x14ac:dyDescent="0.3">
      <c r="A190" s="26">
        <v>45480</v>
      </c>
      <c r="B190" s="27">
        <f t="shared" si="10"/>
        <v>2024</v>
      </c>
      <c r="C190" s="27">
        <f t="shared" si="11"/>
        <v>7</v>
      </c>
      <c r="D190" s="27">
        <f t="shared" si="12"/>
        <v>7</v>
      </c>
      <c r="E190" s="27">
        <f t="shared" si="13"/>
        <v>1</v>
      </c>
      <c r="F190" s="27">
        <f>VLOOKUP(E190,[1]t_calendarioPolitica!A:C,3,FALSE)</f>
        <v>0</v>
      </c>
      <c r="G190" s="1">
        <v>1</v>
      </c>
      <c r="H190" s="1">
        <v>1</v>
      </c>
      <c r="I190" s="1">
        <f t="shared" si="14"/>
        <v>0</v>
      </c>
    </row>
    <row r="191" spans="1:9" x14ac:dyDescent="0.3">
      <c r="A191" s="26">
        <v>45481</v>
      </c>
      <c r="B191" s="27">
        <f t="shared" si="10"/>
        <v>2024</v>
      </c>
      <c r="C191" s="27">
        <f t="shared" si="11"/>
        <v>7</v>
      </c>
      <c r="D191" s="27">
        <f t="shared" si="12"/>
        <v>8</v>
      </c>
      <c r="E191" s="27">
        <f t="shared" si="13"/>
        <v>2</v>
      </c>
      <c r="F191" s="27">
        <f>VLOOKUP(E191,[1]t_calendarioPolitica!A:C,3,FALSE)</f>
        <v>1</v>
      </c>
      <c r="G191" s="1">
        <v>1</v>
      </c>
      <c r="H191" s="1">
        <v>1</v>
      </c>
      <c r="I191" s="1">
        <f t="shared" si="14"/>
        <v>1</v>
      </c>
    </row>
    <row r="192" spans="1:9" x14ac:dyDescent="0.3">
      <c r="A192" s="26">
        <v>45482</v>
      </c>
      <c r="B192" s="27">
        <f t="shared" si="10"/>
        <v>2024</v>
      </c>
      <c r="C192" s="27">
        <f t="shared" si="11"/>
        <v>7</v>
      </c>
      <c r="D192" s="27">
        <f t="shared" si="12"/>
        <v>9</v>
      </c>
      <c r="E192" s="27">
        <f t="shared" si="13"/>
        <v>3</v>
      </c>
      <c r="F192" s="27">
        <f>VLOOKUP(E192,[1]t_calendarioPolitica!A:C,3,FALSE)</f>
        <v>1</v>
      </c>
      <c r="G192" s="1">
        <v>1</v>
      </c>
      <c r="H192" s="1">
        <v>1</v>
      </c>
      <c r="I192" s="1">
        <f t="shared" si="14"/>
        <v>1</v>
      </c>
    </row>
    <row r="193" spans="1:9" x14ac:dyDescent="0.3">
      <c r="A193" s="26">
        <v>45483</v>
      </c>
      <c r="B193" s="27">
        <f t="shared" si="10"/>
        <v>2024</v>
      </c>
      <c r="C193" s="27">
        <f t="shared" si="11"/>
        <v>7</v>
      </c>
      <c r="D193" s="27">
        <f t="shared" si="12"/>
        <v>10</v>
      </c>
      <c r="E193" s="27">
        <f t="shared" si="13"/>
        <v>4</v>
      </c>
      <c r="F193" s="27">
        <f>VLOOKUP(E193,[1]t_calendarioPolitica!A:C,3,FALSE)</f>
        <v>1</v>
      </c>
      <c r="G193" s="1">
        <v>1</v>
      </c>
      <c r="H193" s="1">
        <v>1</v>
      </c>
      <c r="I193" s="1">
        <f t="shared" si="14"/>
        <v>1</v>
      </c>
    </row>
    <row r="194" spans="1:9" x14ac:dyDescent="0.3">
      <c r="A194" s="26">
        <v>45484</v>
      </c>
      <c r="B194" s="27">
        <f t="shared" si="10"/>
        <v>2024</v>
      </c>
      <c r="C194" s="27">
        <f t="shared" si="11"/>
        <v>7</v>
      </c>
      <c r="D194" s="27">
        <f t="shared" si="12"/>
        <v>11</v>
      </c>
      <c r="E194" s="27">
        <f t="shared" si="13"/>
        <v>5</v>
      </c>
      <c r="F194" s="27">
        <f>VLOOKUP(E194,[1]t_calendarioPolitica!A:C,3,FALSE)</f>
        <v>1</v>
      </c>
      <c r="G194" s="1">
        <v>1</v>
      </c>
      <c r="H194" s="1">
        <v>1</v>
      </c>
      <c r="I194" s="1">
        <f t="shared" si="14"/>
        <v>1</v>
      </c>
    </row>
    <row r="195" spans="1:9" x14ac:dyDescent="0.3">
      <c r="A195" s="26">
        <v>45485</v>
      </c>
      <c r="B195" s="27">
        <f t="shared" ref="B195:B258" si="15">YEAR(A195)</f>
        <v>2024</v>
      </c>
      <c r="C195" s="27">
        <f t="shared" ref="C195:C258" si="16">MONTH(A195)</f>
        <v>7</v>
      </c>
      <c r="D195" s="27">
        <f t="shared" ref="D195:D258" si="17">DAY(A195)</f>
        <v>12</v>
      </c>
      <c r="E195" s="27">
        <f t="shared" ref="E195:E258" si="18">WEEKDAY(A195)</f>
        <v>6</v>
      </c>
      <c r="F195" s="27">
        <f>VLOOKUP(E195,[1]t_calendarioPolitica!A:C,3,FALSE)</f>
        <v>1</v>
      </c>
      <c r="G195" s="1">
        <v>1</v>
      </c>
      <c r="H195" s="1">
        <v>1</v>
      </c>
      <c r="I195" s="1">
        <f t="shared" ref="I195:I258" si="19">IF(AND(F195&lt;&gt;0, H195&lt;&gt;0,G195&lt;&gt;0), 1, 0)</f>
        <v>1</v>
      </c>
    </row>
    <row r="196" spans="1:9" x14ac:dyDescent="0.3">
      <c r="A196" s="26">
        <v>45486</v>
      </c>
      <c r="B196" s="27">
        <f t="shared" si="15"/>
        <v>2024</v>
      </c>
      <c r="C196" s="27">
        <f t="shared" si="16"/>
        <v>7</v>
      </c>
      <c r="D196" s="27">
        <f t="shared" si="17"/>
        <v>13</v>
      </c>
      <c r="E196" s="27">
        <f t="shared" si="18"/>
        <v>7</v>
      </c>
      <c r="F196" s="27">
        <f>VLOOKUP(E196,[1]t_calendarioPolitica!A:C,3,FALSE)</f>
        <v>2</v>
      </c>
      <c r="G196" s="1">
        <v>1</v>
      </c>
      <c r="H196" s="1">
        <v>1</v>
      </c>
      <c r="I196" s="1">
        <f t="shared" si="19"/>
        <v>1</v>
      </c>
    </row>
    <row r="197" spans="1:9" x14ac:dyDescent="0.3">
      <c r="A197" s="26">
        <v>45487</v>
      </c>
      <c r="B197" s="27">
        <f t="shared" si="15"/>
        <v>2024</v>
      </c>
      <c r="C197" s="27">
        <f t="shared" si="16"/>
        <v>7</v>
      </c>
      <c r="D197" s="27">
        <f t="shared" si="17"/>
        <v>14</v>
      </c>
      <c r="E197" s="27">
        <f t="shared" si="18"/>
        <v>1</v>
      </c>
      <c r="F197" s="27">
        <f>VLOOKUP(E197,[1]t_calendarioPolitica!A:C,3,FALSE)</f>
        <v>0</v>
      </c>
      <c r="G197" s="1">
        <v>1</v>
      </c>
      <c r="H197" s="1">
        <v>1</v>
      </c>
      <c r="I197" s="1">
        <f t="shared" si="19"/>
        <v>0</v>
      </c>
    </row>
    <row r="198" spans="1:9" x14ac:dyDescent="0.3">
      <c r="A198" s="26">
        <v>45488</v>
      </c>
      <c r="B198" s="27">
        <f t="shared" si="15"/>
        <v>2024</v>
      </c>
      <c r="C198" s="27">
        <f t="shared" si="16"/>
        <v>7</v>
      </c>
      <c r="D198" s="27">
        <f t="shared" si="17"/>
        <v>15</v>
      </c>
      <c r="E198" s="27">
        <f t="shared" si="18"/>
        <v>2</v>
      </c>
      <c r="F198" s="27">
        <f>VLOOKUP(E198,[1]t_calendarioPolitica!A:C,3,FALSE)</f>
        <v>1</v>
      </c>
      <c r="G198" s="1">
        <v>1</v>
      </c>
      <c r="H198" s="1">
        <v>1</v>
      </c>
      <c r="I198" s="1">
        <f t="shared" si="19"/>
        <v>1</v>
      </c>
    </row>
    <row r="199" spans="1:9" x14ac:dyDescent="0.3">
      <c r="A199" s="26">
        <v>45489</v>
      </c>
      <c r="B199" s="27">
        <f t="shared" si="15"/>
        <v>2024</v>
      </c>
      <c r="C199" s="27">
        <f t="shared" si="16"/>
        <v>7</v>
      </c>
      <c r="D199" s="27">
        <f t="shared" si="17"/>
        <v>16</v>
      </c>
      <c r="E199" s="27">
        <f t="shared" si="18"/>
        <v>3</v>
      </c>
      <c r="F199" s="27">
        <f>VLOOKUP(E199,[1]t_calendarioPolitica!A:C,3,FALSE)</f>
        <v>1</v>
      </c>
      <c r="G199" s="1">
        <v>1</v>
      </c>
      <c r="H199" s="1">
        <v>1</v>
      </c>
      <c r="I199" s="1">
        <f t="shared" si="19"/>
        <v>1</v>
      </c>
    </row>
    <row r="200" spans="1:9" x14ac:dyDescent="0.3">
      <c r="A200" s="26">
        <v>45490</v>
      </c>
      <c r="B200" s="27">
        <f t="shared" si="15"/>
        <v>2024</v>
      </c>
      <c r="C200" s="27">
        <f t="shared" si="16"/>
        <v>7</v>
      </c>
      <c r="D200" s="27">
        <f t="shared" si="17"/>
        <v>17</v>
      </c>
      <c r="E200" s="27">
        <f t="shared" si="18"/>
        <v>4</v>
      </c>
      <c r="F200" s="27">
        <f>VLOOKUP(E200,[1]t_calendarioPolitica!A:C,3,FALSE)</f>
        <v>1</v>
      </c>
      <c r="G200" s="1">
        <v>1</v>
      </c>
      <c r="H200" s="1">
        <v>1</v>
      </c>
      <c r="I200" s="1">
        <f t="shared" si="19"/>
        <v>1</v>
      </c>
    </row>
    <row r="201" spans="1:9" x14ac:dyDescent="0.3">
      <c r="A201" s="26">
        <v>45491</v>
      </c>
      <c r="B201" s="27">
        <f t="shared" si="15"/>
        <v>2024</v>
      </c>
      <c r="C201" s="27">
        <f t="shared" si="16"/>
        <v>7</v>
      </c>
      <c r="D201" s="27">
        <f t="shared" si="17"/>
        <v>18</v>
      </c>
      <c r="E201" s="27">
        <f t="shared" si="18"/>
        <v>5</v>
      </c>
      <c r="F201" s="27">
        <f>VLOOKUP(E201,[1]t_calendarioPolitica!A:C,3,FALSE)</f>
        <v>1</v>
      </c>
      <c r="G201" s="1">
        <v>1</v>
      </c>
      <c r="H201" s="1">
        <v>1</v>
      </c>
      <c r="I201" s="1">
        <f t="shared" si="19"/>
        <v>1</v>
      </c>
    </row>
    <row r="202" spans="1:9" x14ac:dyDescent="0.3">
      <c r="A202" s="26">
        <v>45492</v>
      </c>
      <c r="B202" s="27">
        <f t="shared" si="15"/>
        <v>2024</v>
      </c>
      <c r="C202" s="27">
        <f t="shared" si="16"/>
        <v>7</v>
      </c>
      <c r="D202" s="27">
        <f t="shared" si="17"/>
        <v>19</v>
      </c>
      <c r="E202" s="27">
        <f t="shared" si="18"/>
        <v>6</v>
      </c>
      <c r="F202" s="27">
        <f>VLOOKUP(E202,[1]t_calendarioPolitica!A:C,3,FALSE)</f>
        <v>1</v>
      </c>
      <c r="G202" s="1">
        <v>1</v>
      </c>
      <c r="H202" s="1">
        <v>1</v>
      </c>
      <c r="I202" s="1">
        <f t="shared" si="19"/>
        <v>1</v>
      </c>
    </row>
    <row r="203" spans="1:9" x14ac:dyDescent="0.3">
      <c r="A203" s="26">
        <v>45493</v>
      </c>
      <c r="B203" s="27">
        <f t="shared" si="15"/>
        <v>2024</v>
      </c>
      <c r="C203" s="27">
        <f t="shared" si="16"/>
        <v>7</v>
      </c>
      <c r="D203" s="27">
        <f t="shared" si="17"/>
        <v>20</v>
      </c>
      <c r="E203" s="27">
        <f t="shared" si="18"/>
        <v>7</v>
      </c>
      <c r="F203" s="27">
        <f>VLOOKUP(E203,[1]t_calendarioPolitica!A:C,3,FALSE)</f>
        <v>2</v>
      </c>
      <c r="G203" s="1">
        <v>1</v>
      </c>
      <c r="H203" s="1">
        <v>1</v>
      </c>
      <c r="I203" s="1">
        <f t="shared" si="19"/>
        <v>1</v>
      </c>
    </row>
    <row r="204" spans="1:9" x14ac:dyDescent="0.3">
      <c r="A204" s="26">
        <v>45494</v>
      </c>
      <c r="B204" s="27">
        <f t="shared" si="15"/>
        <v>2024</v>
      </c>
      <c r="C204" s="27">
        <f t="shared" si="16"/>
        <v>7</v>
      </c>
      <c r="D204" s="27">
        <f t="shared" si="17"/>
        <v>21</v>
      </c>
      <c r="E204" s="27">
        <f t="shared" si="18"/>
        <v>1</v>
      </c>
      <c r="F204" s="27">
        <f>VLOOKUP(E204,[1]t_calendarioPolitica!A:C,3,FALSE)</f>
        <v>0</v>
      </c>
      <c r="G204" s="1">
        <v>1</v>
      </c>
      <c r="H204" s="1">
        <v>1</v>
      </c>
      <c r="I204" s="1">
        <f t="shared" si="19"/>
        <v>0</v>
      </c>
    </row>
    <row r="205" spans="1:9" x14ac:dyDescent="0.3">
      <c r="A205" s="26">
        <v>45495</v>
      </c>
      <c r="B205" s="27">
        <f t="shared" si="15"/>
        <v>2024</v>
      </c>
      <c r="C205" s="27">
        <f t="shared" si="16"/>
        <v>7</v>
      </c>
      <c r="D205" s="27">
        <f t="shared" si="17"/>
        <v>22</v>
      </c>
      <c r="E205" s="27">
        <f t="shared" si="18"/>
        <v>2</v>
      </c>
      <c r="F205" s="27">
        <f>VLOOKUP(E205,[1]t_calendarioPolitica!A:C,3,FALSE)</f>
        <v>1</v>
      </c>
      <c r="G205" s="1">
        <v>1</v>
      </c>
      <c r="H205" s="1">
        <v>1</v>
      </c>
      <c r="I205" s="1">
        <f t="shared" si="19"/>
        <v>1</v>
      </c>
    </row>
    <row r="206" spans="1:9" x14ac:dyDescent="0.3">
      <c r="A206" s="26">
        <v>45496</v>
      </c>
      <c r="B206" s="27">
        <f t="shared" si="15"/>
        <v>2024</v>
      </c>
      <c r="C206" s="27">
        <f t="shared" si="16"/>
        <v>7</v>
      </c>
      <c r="D206" s="27">
        <f t="shared" si="17"/>
        <v>23</v>
      </c>
      <c r="E206" s="27">
        <f t="shared" si="18"/>
        <v>3</v>
      </c>
      <c r="F206" s="27">
        <f>VLOOKUP(E206,[1]t_calendarioPolitica!A:C,3,FALSE)</f>
        <v>1</v>
      </c>
      <c r="G206" s="1">
        <v>1</v>
      </c>
      <c r="H206" s="1">
        <v>1</v>
      </c>
      <c r="I206" s="1">
        <f t="shared" si="19"/>
        <v>1</v>
      </c>
    </row>
    <row r="207" spans="1:9" x14ac:dyDescent="0.3">
      <c r="A207" s="26">
        <v>45497</v>
      </c>
      <c r="B207" s="27">
        <f t="shared" si="15"/>
        <v>2024</v>
      </c>
      <c r="C207" s="27">
        <f t="shared" si="16"/>
        <v>7</v>
      </c>
      <c r="D207" s="27">
        <f t="shared" si="17"/>
        <v>24</v>
      </c>
      <c r="E207" s="27">
        <f t="shared" si="18"/>
        <v>4</v>
      </c>
      <c r="F207" s="27">
        <f>VLOOKUP(E207,[1]t_calendarioPolitica!A:C,3,FALSE)</f>
        <v>1</v>
      </c>
      <c r="G207" s="1">
        <v>1</v>
      </c>
      <c r="H207" s="1">
        <v>1</v>
      </c>
      <c r="I207" s="1">
        <f t="shared" si="19"/>
        <v>1</v>
      </c>
    </row>
    <row r="208" spans="1:9" x14ac:dyDescent="0.3">
      <c r="A208" s="26">
        <v>45498</v>
      </c>
      <c r="B208" s="27">
        <f t="shared" si="15"/>
        <v>2024</v>
      </c>
      <c r="C208" s="27">
        <f t="shared" si="16"/>
        <v>7</v>
      </c>
      <c r="D208" s="27">
        <f t="shared" si="17"/>
        <v>25</v>
      </c>
      <c r="E208" s="27">
        <f t="shared" si="18"/>
        <v>5</v>
      </c>
      <c r="F208" s="27">
        <f>VLOOKUP(E208,[1]t_calendarioPolitica!A:C,3,FALSE)</f>
        <v>1</v>
      </c>
      <c r="G208" s="1">
        <v>1</v>
      </c>
      <c r="H208" s="1">
        <v>1</v>
      </c>
      <c r="I208" s="1">
        <f t="shared" si="19"/>
        <v>1</v>
      </c>
    </row>
    <row r="209" spans="1:9" x14ac:dyDescent="0.3">
      <c r="A209" s="26">
        <v>45499</v>
      </c>
      <c r="B209" s="27">
        <f t="shared" si="15"/>
        <v>2024</v>
      </c>
      <c r="C209" s="27">
        <f t="shared" si="16"/>
        <v>7</v>
      </c>
      <c r="D209" s="27">
        <f t="shared" si="17"/>
        <v>26</v>
      </c>
      <c r="E209" s="27">
        <f t="shared" si="18"/>
        <v>6</v>
      </c>
      <c r="F209" s="27">
        <f>VLOOKUP(E209,[1]t_calendarioPolitica!A:C,3,FALSE)</f>
        <v>1</v>
      </c>
      <c r="G209" s="1">
        <v>1</v>
      </c>
      <c r="H209" s="1">
        <v>1</v>
      </c>
      <c r="I209" s="1">
        <f t="shared" si="19"/>
        <v>1</v>
      </c>
    </row>
    <row r="210" spans="1:9" x14ac:dyDescent="0.3">
      <c r="A210" s="26">
        <v>45500</v>
      </c>
      <c r="B210" s="27">
        <f t="shared" si="15"/>
        <v>2024</v>
      </c>
      <c r="C210" s="27">
        <f t="shared" si="16"/>
        <v>7</v>
      </c>
      <c r="D210" s="27">
        <f t="shared" si="17"/>
        <v>27</v>
      </c>
      <c r="E210" s="27">
        <f t="shared" si="18"/>
        <v>7</v>
      </c>
      <c r="F210" s="27">
        <f>VLOOKUP(E210,[1]t_calendarioPolitica!A:C,3,FALSE)</f>
        <v>2</v>
      </c>
      <c r="G210" s="1">
        <v>1</v>
      </c>
      <c r="H210" s="1">
        <v>1</v>
      </c>
      <c r="I210" s="1">
        <f t="shared" si="19"/>
        <v>1</v>
      </c>
    </row>
    <row r="211" spans="1:9" x14ac:dyDescent="0.3">
      <c r="A211" s="26">
        <v>45501</v>
      </c>
      <c r="B211" s="27">
        <f t="shared" si="15"/>
        <v>2024</v>
      </c>
      <c r="C211" s="27">
        <f t="shared" si="16"/>
        <v>7</v>
      </c>
      <c r="D211" s="27">
        <f t="shared" si="17"/>
        <v>28</v>
      </c>
      <c r="E211" s="27">
        <f t="shared" si="18"/>
        <v>1</v>
      </c>
      <c r="F211" s="27">
        <f>VLOOKUP(E211,[1]t_calendarioPolitica!A:C,3,FALSE)</f>
        <v>0</v>
      </c>
      <c r="G211" s="1">
        <v>1</v>
      </c>
      <c r="H211" s="1">
        <v>1</v>
      </c>
      <c r="I211" s="1">
        <f t="shared" si="19"/>
        <v>0</v>
      </c>
    </row>
    <row r="212" spans="1:9" x14ac:dyDescent="0.3">
      <c r="A212" s="26">
        <v>45502</v>
      </c>
      <c r="B212" s="27">
        <f t="shared" si="15"/>
        <v>2024</v>
      </c>
      <c r="C212" s="27">
        <f t="shared" si="16"/>
        <v>7</v>
      </c>
      <c r="D212" s="27">
        <f t="shared" si="17"/>
        <v>29</v>
      </c>
      <c r="E212" s="27">
        <f t="shared" si="18"/>
        <v>2</v>
      </c>
      <c r="F212" s="27">
        <f>VLOOKUP(E212,[1]t_calendarioPolitica!A:C,3,FALSE)</f>
        <v>1</v>
      </c>
      <c r="G212" s="1">
        <v>1</v>
      </c>
      <c r="H212" s="1">
        <v>1</v>
      </c>
      <c r="I212" s="1">
        <f t="shared" si="19"/>
        <v>1</v>
      </c>
    </row>
    <row r="213" spans="1:9" x14ac:dyDescent="0.3">
      <c r="A213" s="26">
        <v>45503</v>
      </c>
      <c r="B213" s="27">
        <f t="shared" si="15"/>
        <v>2024</v>
      </c>
      <c r="C213" s="27">
        <f t="shared" si="16"/>
        <v>7</v>
      </c>
      <c r="D213" s="27">
        <f t="shared" si="17"/>
        <v>30</v>
      </c>
      <c r="E213" s="27">
        <f t="shared" si="18"/>
        <v>3</v>
      </c>
      <c r="F213" s="27">
        <f>VLOOKUP(E213,[1]t_calendarioPolitica!A:C,3,FALSE)</f>
        <v>1</v>
      </c>
      <c r="G213" s="1">
        <v>1</v>
      </c>
      <c r="H213" s="1">
        <v>1</v>
      </c>
      <c r="I213" s="1">
        <f t="shared" si="19"/>
        <v>1</v>
      </c>
    </row>
    <row r="214" spans="1:9" x14ac:dyDescent="0.3">
      <c r="A214" s="26">
        <v>45504</v>
      </c>
      <c r="B214" s="27">
        <f t="shared" si="15"/>
        <v>2024</v>
      </c>
      <c r="C214" s="27">
        <f t="shared" si="16"/>
        <v>7</v>
      </c>
      <c r="D214" s="27">
        <f t="shared" si="17"/>
        <v>31</v>
      </c>
      <c r="E214" s="27">
        <f t="shared" si="18"/>
        <v>4</v>
      </c>
      <c r="F214" s="27">
        <f>VLOOKUP(E214,[1]t_calendarioPolitica!A:C,3,FALSE)</f>
        <v>1</v>
      </c>
      <c r="G214" s="1">
        <v>1</v>
      </c>
      <c r="H214" s="1">
        <v>1</v>
      </c>
      <c r="I214" s="1">
        <f t="shared" si="19"/>
        <v>1</v>
      </c>
    </row>
    <row r="215" spans="1:9" x14ac:dyDescent="0.3">
      <c r="A215" s="26">
        <v>45505</v>
      </c>
      <c r="B215" s="27">
        <f t="shared" si="15"/>
        <v>2024</v>
      </c>
      <c r="C215" s="27">
        <f t="shared" si="16"/>
        <v>8</v>
      </c>
      <c r="D215" s="27">
        <f t="shared" si="17"/>
        <v>1</v>
      </c>
      <c r="E215" s="27">
        <f t="shared" si="18"/>
        <v>5</v>
      </c>
      <c r="F215" s="27">
        <f>VLOOKUP(E215,[1]t_calendarioPolitica!A:C,3,FALSE)</f>
        <v>1</v>
      </c>
      <c r="G215" s="1">
        <v>1</v>
      </c>
      <c r="H215" s="1">
        <v>1</v>
      </c>
      <c r="I215" s="1">
        <f t="shared" si="19"/>
        <v>1</v>
      </c>
    </row>
    <row r="216" spans="1:9" x14ac:dyDescent="0.3">
      <c r="A216" s="26">
        <v>45506</v>
      </c>
      <c r="B216" s="27">
        <f t="shared" si="15"/>
        <v>2024</v>
      </c>
      <c r="C216" s="27">
        <f t="shared" si="16"/>
        <v>8</v>
      </c>
      <c r="D216" s="27">
        <f t="shared" si="17"/>
        <v>2</v>
      </c>
      <c r="E216" s="27">
        <f t="shared" si="18"/>
        <v>6</v>
      </c>
      <c r="F216" s="27">
        <f>VLOOKUP(E216,[1]t_calendarioPolitica!A:C,3,FALSE)</f>
        <v>1</v>
      </c>
      <c r="G216" s="1">
        <v>1</v>
      </c>
      <c r="H216" s="1">
        <v>1</v>
      </c>
      <c r="I216" s="1">
        <f t="shared" si="19"/>
        <v>1</v>
      </c>
    </row>
    <row r="217" spans="1:9" x14ac:dyDescent="0.3">
      <c r="A217" s="26">
        <v>45507</v>
      </c>
      <c r="B217" s="27">
        <f t="shared" si="15"/>
        <v>2024</v>
      </c>
      <c r="C217" s="27">
        <f t="shared" si="16"/>
        <v>8</v>
      </c>
      <c r="D217" s="27">
        <f t="shared" si="17"/>
        <v>3</v>
      </c>
      <c r="E217" s="27">
        <f t="shared" si="18"/>
        <v>7</v>
      </c>
      <c r="F217" s="27">
        <f>VLOOKUP(E217,[1]t_calendarioPolitica!A:C,3,FALSE)</f>
        <v>2</v>
      </c>
      <c r="G217" s="1">
        <v>1</v>
      </c>
      <c r="H217" s="1">
        <v>1</v>
      </c>
      <c r="I217" s="1">
        <f t="shared" si="19"/>
        <v>1</v>
      </c>
    </row>
    <row r="218" spans="1:9" x14ac:dyDescent="0.3">
      <c r="A218" s="26">
        <v>45508</v>
      </c>
      <c r="B218" s="27">
        <f t="shared" si="15"/>
        <v>2024</v>
      </c>
      <c r="C218" s="27">
        <f t="shared" si="16"/>
        <v>8</v>
      </c>
      <c r="D218" s="27">
        <f t="shared" si="17"/>
        <v>4</v>
      </c>
      <c r="E218" s="27">
        <f t="shared" si="18"/>
        <v>1</v>
      </c>
      <c r="F218" s="27">
        <f>VLOOKUP(E218,[1]t_calendarioPolitica!A:C,3,FALSE)</f>
        <v>0</v>
      </c>
      <c r="G218" s="1">
        <v>1</v>
      </c>
      <c r="H218" s="1">
        <v>1</v>
      </c>
      <c r="I218" s="1">
        <f t="shared" si="19"/>
        <v>0</v>
      </c>
    </row>
    <row r="219" spans="1:9" x14ac:dyDescent="0.3">
      <c r="A219" s="26">
        <v>45509</v>
      </c>
      <c r="B219" s="27">
        <f t="shared" si="15"/>
        <v>2024</v>
      </c>
      <c r="C219" s="27">
        <f t="shared" si="16"/>
        <v>8</v>
      </c>
      <c r="D219" s="27">
        <f t="shared" si="17"/>
        <v>5</v>
      </c>
      <c r="E219" s="27">
        <f t="shared" si="18"/>
        <v>2</v>
      </c>
      <c r="F219" s="27">
        <f>VLOOKUP(E219,[1]t_calendarioPolitica!A:C,3,FALSE)</f>
        <v>1</v>
      </c>
      <c r="G219" s="1">
        <v>1</v>
      </c>
      <c r="H219" s="1">
        <v>1</v>
      </c>
      <c r="I219" s="1">
        <f t="shared" si="19"/>
        <v>1</v>
      </c>
    </row>
    <row r="220" spans="1:9" x14ac:dyDescent="0.3">
      <c r="A220" s="26">
        <v>45510</v>
      </c>
      <c r="B220" s="27">
        <f t="shared" si="15"/>
        <v>2024</v>
      </c>
      <c r="C220" s="27">
        <f t="shared" si="16"/>
        <v>8</v>
      </c>
      <c r="D220" s="27">
        <f t="shared" si="17"/>
        <v>6</v>
      </c>
      <c r="E220" s="27">
        <f t="shared" si="18"/>
        <v>3</v>
      </c>
      <c r="F220" s="27">
        <f>VLOOKUP(E220,[1]t_calendarioPolitica!A:C,3,FALSE)</f>
        <v>1</v>
      </c>
      <c r="G220" s="1">
        <v>1</v>
      </c>
      <c r="H220" s="1">
        <v>1</v>
      </c>
      <c r="I220" s="1">
        <f t="shared" si="19"/>
        <v>1</v>
      </c>
    </row>
    <row r="221" spans="1:9" x14ac:dyDescent="0.3">
      <c r="A221" s="26">
        <v>45511</v>
      </c>
      <c r="B221" s="27">
        <f t="shared" si="15"/>
        <v>2024</v>
      </c>
      <c r="C221" s="27">
        <f t="shared" si="16"/>
        <v>8</v>
      </c>
      <c r="D221" s="27">
        <f t="shared" si="17"/>
        <v>7</v>
      </c>
      <c r="E221" s="27">
        <f t="shared" si="18"/>
        <v>4</v>
      </c>
      <c r="F221" s="27">
        <f>VLOOKUP(E221,[1]t_calendarioPolitica!A:C,3,FALSE)</f>
        <v>1</v>
      </c>
      <c r="G221" s="1">
        <v>1</v>
      </c>
      <c r="H221" s="1">
        <v>1</v>
      </c>
      <c r="I221" s="1">
        <f t="shared" si="19"/>
        <v>1</v>
      </c>
    </row>
    <row r="222" spans="1:9" x14ac:dyDescent="0.3">
      <c r="A222" s="26">
        <v>45512</v>
      </c>
      <c r="B222" s="27">
        <f t="shared" si="15"/>
        <v>2024</v>
      </c>
      <c r="C222" s="27">
        <f t="shared" si="16"/>
        <v>8</v>
      </c>
      <c r="D222" s="27">
        <f t="shared" si="17"/>
        <v>8</v>
      </c>
      <c r="E222" s="27">
        <f t="shared" si="18"/>
        <v>5</v>
      </c>
      <c r="F222" s="27">
        <f>VLOOKUP(E222,[1]t_calendarioPolitica!A:C,3,FALSE)</f>
        <v>1</v>
      </c>
      <c r="G222" s="1">
        <v>1</v>
      </c>
      <c r="H222" s="1">
        <v>1</v>
      </c>
      <c r="I222" s="1">
        <f t="shared" si="19"/>
        <v>1</v>
      </c>
    </row>
    <row r="223" spans="1:9" x14ac:dyDescent="0.3">
      <c r="A223" s="26">
        <v>45513</v>
      </c>
      <c r="B223" s="27">
        <f t="shared" si="15"/>
        <v>2024</v>
      </c>
      <c r="C223" s="27">
        <f t="shared" si="16"/>
        <v>8</v>
      </c>
      <c r="D223" s="27">
        <f t="shared" si="17"/>
        <v>9</v>
      </c>
      <c r="E223" s="27">
        <f t="shared" si="18"/>
        <v>6</v>
      </c>
      <c r="F223" s="27">
        <f>VLOOKUP(E223,[1]t_calendarioPolitica!A:C,3,FALSE)</f>
        <v>1</v>
      </c>
      <c r="G223" s="1">
        <v>1</v>
      </c>
      <c r="H223" s="1">
        <v>1</v>
      </c>
      <c r="I223" s="1">
        <f t="shared" si="19"/>
        <v>1</v>
      </c>
    </row>
    <row r="224" spans="1:9" x14ac:dyDescent="0.3">
      <c r="A224" s="26">
        <v>45514</v>
      </c>
      <c r="B224" s="27">
        <f t="shared" si="15"/>
        <v>2024</v>
      </c>
      <c r="C224" s="27">
        <f t="shared" si="16"/>
        <v>8</v>
      </c>
      <c r="D224" s="27">
        <f t="shared" si="17"/>
        <v>10</v>
      </c>
      <c r="E224" s="27">
        <f t="shared" si="18"/>
        <v>7</v>
      </c>
      <c r="F224" s="27">
        <f>VLOOKUP(E224,[1]t_calendarioPolitica!A:C,3,FALSE)</f>
        <v>2</v>
      </c>
      <c r="G224" s="1">
        <v>1</v>
      </c>
      <c r="H224" s="1">
        <v>1</v>
      </c>
      <c r="I224" s="1">
        <f t="shared" si="19"/>
        <v>1</v>
      </c>
    </row>
    <row r="225" spans="1:9" x14ac:dyDescent="0.3">
      <c r="A225" s="26">
        <v>45515</v>
      </c>
      <c r="B225" s="27">
        <f t="shared" si="15"/>
        <v>2024</v>
      </c>
      <c r="C225" s="27">
        <f t="shared" si="16"/>
        <v>8</v>
      </c>
      <c r="D225" s="27">
        <f t="shared" si="17"/>
        <v>11</v>
      </c>
      <c r="E225" s="27">
        <f t="shared" si="18"/>
        <v>1</v>
      </c>
      <c r="F225" s="27">
        <f>VLOOKUP(E225,[1]t_calendarioPolitica!A:C,3,FALSE)</f>
        <v>0</v>
      </c>
      <c r="G225" s="1">
        <v>1</v>
      </c>
      <c r="H225" s="1">
        <v>1</v>
      </c>
      <c r="I225" s="1">
        <f t="shared" si="19"/>
        <v>0</v>
      </c>
    </row>
    <row r="226" spans="1:9" x14ac:dyDescent="0.3">
      <c r="A226" s="26">
        <v>45516</v>
      </c>
      <c r="B226" s="27">
        <f t="shared" si="15"/>
        <v>2024</v>
      </c>
      <c r="C226" s="27">
        <f t="shared" si="16"/>
        <v>8</v>
      </c>
      <c r="D226" s="27">
        <f t="shared" si="17"/>
        <v>12</v>
      </c>
      <c r="E226" s="27">
        <f t="shared" si="18"/>
        <v>2</v>
      </c>
      <c r="F226" s="27">
        <f>VLOOKUP(E226,[1]t_calendarioPolitica!A:C,3,FALSE)</f>
        <v>1</v>
      </c>
      <c r="G226" s="1">
        <v>1</v>
      </c>
      <c r="H226" s="1">
        <v>1</v>
      </c>
      <c r="I226" s="1">
        <f t="shared" si="19"/>
        <v>1</v>
      </c>
    </row>
    <row r="227" spans="1:9" x14ac:dyDescent="0.3">
      <c r="A227" s="26">
        <v>45517</v>
      </c>
      <c r="B227" s="27">
        <f t="shared" si="15"/>
        <v>2024</v>
      </c>
      <c r="C227" s="27">
        <f t="shared" si="16"/>
        <v>8</v>
      </c>
      <c r="D227" s="27">
        <f t="shared" si="17"/>
        <v>13</v>
      </c>
      <c r="E227" s="27">
        <f t="shared" si="18"/>
        <v>3</v>
      </c>
      <c r="F227" s="27">
        <f>VLOOKUP(E227,[1]t_calendarioPolitica!A:C,3,FALSE)</f>
        <v>1</v>
      </c>
      <c r="G227" s="1">
        <v>1</v>
      </c>
      <c r="H227" s="1">
        <v>1</v>
      </c>
      <c r="I227" s="1">
        <f t="shared" si="19"/>
        <v>1</v>
      </c>
    </row>
    <row r="228" spans="1:9" x14ac:dyDescent="0.3">
      <c r="A228" s="26">
        <v>45518</v>
      </c>
      <c r="B228" s="27">
        <f t="shared" si="15"/>
        <v>2024</v>
      </c>
      <c r="C228" s="27">
        <f t="shared" si="16"/>
        <v>8</v>
      </c>
      <c r="D228" s="27">
        <f t="shared" si="17"/>
        <v>14</v>
      </c>
      <c r="E228" s="27">
        <f t="shared" si="18"/>
        <v>4</v>
      </c>
      <c r="F228" s="27">
        <f>VLOOKUP(E228,[1]t_calendarioPolitica!A:C,3,FALSE)</f>
        <v>1</v>
      </c>
      <c r="G228" s="1">
        <v>1</v>
      </c>
      <c r="H228" s="1">
        <v>1</v>
      </c>
      <c r="I228" s="1">
        <f t="shared" si="19"/>
        <v>1</v>
      </c>
    </row>
    <row r="229" spans="1:9" x14ac:dyDescent="0.3">
      <c r="A229" s="26">
        <v>45519</v>
      </c>
      <c r="B229" s="27">
        <f t="shared" si="15"/>
        <v>2024</v>
      </c>
      <c r="C229" s="27">
        <f t="shared" si="16"/>
        <v>8</v>
      </c>
      <c r="D229" s="27">
        <f t="shared" si="17"/>
        <v>15</v>
      </c>
      <c r="E229" s="27">
        <f t="shared" si="18"/>
        <v>5</v>
      </c>
      <c r="F229" s="27">
        <f>VLOOKUP(E229,[1]t_calendarioPolitica!A:C,3,FALSE)</f>
        <v>1</v>
      </c>
      <c r="G229" s="1">
        <v>1</v>
      </c>
      <c r="H229" s="1">
        <v>1</v>
      </c>
      <c r="I229" s="1">
        <f t="shared" si="19"/>
        <v>1</v>
      </c>
    </row>
    <row r="230" spans="1:9" x14ac:dyDescent="0.3">
      <c r="A230" s="26">
        <v>45520</v>
      </c>
      <c r="B230" s="27">
        <f t="shared" si="15"/>
        <v>2024</v>
      </c>
      <c r="C230" s="27">
        <f t="shared" si="16"/>
        <v>8</v>
      </c>
      <c r="D230" s="27">
        <f t="shared" si="17"/>
        <v>16</v>
      </c>
      <c r="E230" s="27">
        <f t="shared" si="18"/>
        <v>6</v>
      </c>
      <c r="F230" s="27">
        <f>VLOOKUP(E230,[1]t_calendarioPolitica!A:C,3,FALSE)</f>
        <v>1</v>
      </c>
      <c r="G230" s="1">
        <v>1</v>
      </c>
      <c r="H230" s="1">
        <v>1</v>
      </c>
      <c r="I230" s="1">
        <f t="shared" si="19"/>
        <v>1</v>
      </c>
    </row>
    <row r="231" spans="1:9" x14ac:dyDescent="0.3">
      <c r="A231" s="26">
        <v>45521</v>
      </c>
      <c r="B231" s="27">
        <f t="shared" si="15"/>
        <v>2024</v>
      </c>
      <c r="C231" s="27">
        <f t="shared" si="16"/>
        <v>8</v>
      </c>
      <c r="D231" s="27">
        <f t="shared" si="17"/>
        <v>17</v>
      </c>
      <c r="E231" s="27">
        <f t="shared" si="18"/>
        <v>7</v>
      </c>
      <c r="F231" s="27">
        <f>VLOOKUP(E231,[1]t_calendarioPolitica!A:C,3,FALSE)</f>
        <v>2</v>
      </c>
      <c r="G231" s="1">
        <v>1</v>
      </c>
      <c r="H231" s="1">
        <v>1</v>
      </c>
      <c r="I231" s="1">
        <f t="shared" si="19"/>
        <v>1</v>
      </c>
    </row>
    <row r="232" spans="1:9" x14ac:dyDescent="0.3">
      <c r="A232" s="26">
        <v>45522</v>
      </c>
      <c r="B232" s="27">
        <f t="shared" si="15"/>
        <v>2024</v>
      </c>
      <c r="C232" s="27">
        <f t="shared" si="16"/>
        <v>8</v>
      </c>
      <c r="D232" s="27">
        <f t="shared" si="17"/>
        <v>18</v>
      </c>
      <c r="E232" s="27">
        <f t="shared" si="18"/>
        <v>1</v>
      </c>
      <c r="F232" s="27">
        <f>VLOOKUP(E232,[1]t_calendarioPolitica!A:C,3,FALSE)</f>
        <v>0</v>
      </c>
      <c r="G232" s="1">
        <v>1</v>
      </c>
      <c r="H232" s="1">
        <v>1</v>
      </c>
      <c r="I232" s="1">
        <f t="shared" si="19"/>
        <v>0</v>
      </c>
    </row>
    <row r="233" spans="1:9" x14ac:dyDescent="0.3">
      <c r="A233" s="26">
        <v>45523</v>
      </c>
      <c r="B233" s="27">
        <f t="shared" si="15"/>
        <v>2024</v>
      </c>
      <c r="C233" s="27">
        <f t="shared" si="16"/>
        <v>8</v>
      </c>
      <c r="D233" s="27">
        <f t="shared" si="17"/>
        <v>19</v>
      </c>
      <c r="E233" s="27">
        <f t="shared" si="18"/>
        <v>2</v>
      </c>
      <c r="F233" s="27">
        <f>VLOOKUP(E233,[1]t_calendarioPolitica!A:C,3,FALSE)</f>
        <v>1</v>
      </c>
      <c r="G233" s="1">
        <v>1</v>
      </c>
      <c r="H233" s="1">
        <v>1</v>
      </c>
      <c r="I233" s="1">
        <f t="shared" si="19"/>
        <v>1</v>
      </c>
    </row>
    <row r="234" spans="1:9" x14ac:dyDescent="0.3">
      <c r="A234" s="26">
        <v>45524</v>
      </c>
      <c r="B234" s="27">
        <f t="shared" si="15"/>
        <v>2024</v>
      </c>
      <c r="C234" s="27">
        <f t="shared" si="16"/>
        <v>8</v>
      </c>
      <c r="D234" s="27">
        <f t="shared" si="17"/>
        <v>20</v>
      </c>
      <c r="E234" s="27">
        <f t="shared" si="18"/>
        <v>3</v>
      </c>
      <c r="F234" s="27">
        <f>VLOOKUP(E234,[1]t_calendarioPolitica!A:C,3,FALSE)</f>
        <v>1</v>
      </c>
      <c r="G234" s="1">
        <v>1</v>
      </c>
      <c r="H234" s="1">
        <v>1</v>
      </c>
      <c r="I234" s="1">
        <f t="shared" si="19"/>
        <v>1</v>
      </c>
    </row>
    <row r="235" spans="1:9" x14ac:dyDescent="0.3">
      <c r="A235" s="26">
        <v>45525</v>
      </c>
      <c r="B235" s="27">
        <f t="shared" si="15"/>
        <v>2024</v>
      </c>
      <c r="C235" s="27">
        <f t="shared" si="16"/>
        <v>8</v>
      </c>
      <c r="D235" s="27">
        <f t="shared" si="17"/>
        <v>21</v>
      </c>
      <c r="E235" s="27">
        <f t="shared" si="18"/>
        <v>4</v>
      </c>
      <c r="F235" s="27">
        <f>VLOOKUP(E235,[1]t_calendarioPolitica!A:C,3,FALSE)</f>
        <v>1</v>
      </c>
      <c r="G235" s="1">
        <v>1</v>
      </c>
      <c r="H235" s="1">
        <v>1</v>
      </c>
      <c r="I235" s="1">
        <f t="shared" si="19"/>
        <v>1</v>
      </c>
    </row>
    <row r="236" spans="1:9" x14ac:dyDescent="0.3">
      <c r="A236" s="26">
        <v>45526</v>
      </c>
      <c r="B236" s="27">
        <f t="shared" si="15"/>
        <v>2024</v>
      </c>
      <c r="C236" s="27">
        <f t="shared" si="16"/>
        <v>8</v>
      </c>
      <c r="D236" s="27">
        <f t="shared" si="17"/>
        <v>22</v>
      </c>
      <c r="E236" s="27">
        <f t="shared" si="18"/>
        <v>5</v>
      </c>
      <c r="F236" s="27">
        <f>VLOOKUP(E236,[1]t_calendarioPolitica!A:C,3,FALSE)</f>
        <v>1</v>
      </c>
      <c r="G236" s="1">
        <v>1</v>
      </c>
      <c r="H236" s="1">
        <v>1</v>
      </c>
      <c r="I236" s="1">
        <f t="shared" si="19"/>
        <v>1</v>
      </c>
    </row>
    <row r="237" spans="1:9" x14ac:dyDescent="0.3">
      <c r="A237" s="26">
        <v>45527</v>
      </c>
      <c r="B237" s="27">
        <f t="shared" si="15"/>
        <v>2024</v>
      </c>
      <c r="C237" s="27">
        <f t="shared" si="16"/>
        <v>8</v>
      </c>
      <c r="D237" s="27">
        <f t="shared" si="17"/>
        <v>23</v>
      </c>
      <c r="E237" s="27">
        <f t="shared" si="18"/>
        <v>6</v>
      </c>
      <c r="F237" s="27">
        <f>VLOOKUP(E237,[1]t_calendarioPolitica!A:C,3,FALSE)</f>
        <v>1</v>
      </c>
      <c r="G237" s="1">
        <v>1</v>
      </c>
      <c r="H237" s="1">
        <v>1</v>
      </c>
      <c r="I237" s="1">
        <f t="shared" si="19"/>
        <v>1</v>
      </c>
    </row>
    <row r="238" spans="1:9" x14ac:dyDescent="0.3">
      <c r="A238" s="26">
        <v>45528</v>
      </c>
      <c r="B238" s="27">
        <f t="shared" si="15"/>
        <v>2024</v>
      </c>
      <c r="C238" s="27">
        <f t="shared" si="16"/>
        <v>8</v>
      </c>
      <c r="D238" s="27">
        <f t="shared" si="17"/>
        <v>24</v>
      </c>
      <c r="E238" s="27">
        <f t="shared" si="18"/>
        <v>7</v>
      </c>
      <c r="F238" s="27">
        <f>VLOOKUP(E238,[1]t_calendarioPolitica!A:C,3,FALSE)</f>
        <v>2</v>
      </c>
      <c r="G238" s="1">
        <v>1</v>
      </c>
      <c r="H238" s="1">
        <v>1</v>
      </c>
      <c r="I238" s="1">
        <f t="shared" si="19"/>
        <v>1</v>
      </c>
    </row>
    <row r="239" spans="1:9" x14ac:dyDescent="0.3">
      <c r="A239" s="26">
        <v>45529</v>
      </c>
      <c r="B239" s="27">
        <f t="shared" si="15"/>
        <v>2024</v>
      </c>
      <c r="C239" s="27">
        <f t="shared" si="16"/>
        <v>8</v>
      </c>
      <c r="D239" s="27">
        <f t="shared" si="17"/>
        <v>25</v>
      </c>
      <c r="E239" s="27">
        <f t="shared" si="18"/>
        <v>1</v>
      </c>
      <c r="F239" s="27">
        <f>VLOOKUP(E239,[1]t_calendarioPolitica!A:C,3,FALSE)</f>
        <v>0</v>
      </c>
      <c r="G239" s="1">
        <v>1</v>
      </c>
      <c r="H239" s="1">
        <v>1</v>
      </c>
      <c r="I239" s="1">
        <f t="shared" si="19"/>
        <v>0</v>
      </c>
    </row>
    <row r="240" spans="1:9" x14ac:dyDescent="0.3">
      <c r="A240" s="26">
        <v>45530</v>
      </c>
      <c r="B240" s="27">
        <f t="shared" si="15"/>
        <v>2024</v>
      </c>
      <c r="C240" s="27">
        <f t="shared" si="16"/>
        <v>8</v>
      </c>
      <c r="D240" s="27">
        <f t="shared" si="17"/>
        <v>26</v>
      </c>
      <c r="E240" s="27">
        <f t="shared" si="18"/>
        <v>2</v>
      </c>
      <c r="F240" s="27">
        <f>VLOOKUP(E240,[1]t_calendarioPolitica!A:C,3,FALSE)</f>
        <v>1</v>
      </c>
      <c r="G240" s="1">
        <v>1</v>
      </c>
      <c r="H240" s="1">
        <v>1</v>
      </c>
      <c r="I240" s="1">
        <f t="shared" si="19"/>
        <v>1</v>
      </c>
    </row>
    <row r="241" spans="1:9" x14ac:dyDescent="0.3">
      <c r="A241" s="26">
        <v>45531</v>
      </c>
      <c r="B241" s="27">
        <f t="shared" si="15"/>
        <v>2024</v>
      </c>
      <c r="C241" s="27">
        <f t="shared" si="16"/>
        <v>8</v>
      </c>
      <c r="D241" s="27">
        <f t="shared" si="17"/>
        <v>27</v>
      </c>
      <c r="E241" s="27">
        <f t="shared" si="18"/>
        <v>3</v>
      </c>
      <c r="F241" s="27">
        <f>VLOOKUP(E241,[1]t_calendarioPolitica!A:C,3,FALSE)</f>
        <v>1</v>
      </c>
      <c r="G241" s="1">
        <v>1</v>
      </c>
      <c r="H241" s="1">
        <v>1</v>
      </c>
      <c r="I241" s="1">
        <f t="shared" si="19"/>
        <v>1</v>
      </c>
    </row>
    <row r="242" spans="1:9" x14ac:dyDescent="0.3">
      <c r="A242" s="26">
        <v>45532</v>
      </c>
      <c r="B242" s="27">
        <f t="shared" si="15"/>
        <v>2024</v>
      </c>
      <c r="C242" s="27">
        <f t="shared" si="16"/>
        <v>8</v>
      </c>
      <c r="D242" s="27">
        <f t="shared" si="17"/>
        <v>28</v>
      </c>
      <c r="E242" s="27">
        <f t="shared" si="18"/>
        <v>4</v>
      </c>
      <c r="F242" s="27">
        <f>VLOOKUP(E242,[1]t_calendarioPolitica!A:C,3,FALSE)</f>
        <v>1</v>
      </c>
      <c r="G242" s="1">
        <v>1</v>
      </c>
      <c r="H242" s="1">
        <v>1</v>
      </c>
      <c r="I242" s="1">
        <f t="shared" si="19"/>
        <v>1</v>
      </c>
    </row>
    <row r="243" spans="1:9" x14ac:dyDescent="0.3">
      <c r="A243" s="26">
        <v>45533</v>
      </c>
      <c r="B243" s="27">
        <f t="shared" si="15"/>
        <v>2024</v>
      </c>
      <c r="C243" s="27">
        <f t="shared" si="16"/>
        <v>8</v>
      </c>
      <c r="D243" s="27">
        <f t="shared" si="17"/>
        <v>29</v>
      </c>
      <c r="E243" s="27">
        <f t="shared" si="18"/>
        <v>5</v>
      </c>
      <c r="F243" s="27">
        <f>VLOOKUP(E243,[1]t_calendarioPolitica!A:C,3,FALSE)</f>
        <v>1</v>
      </c>
      <c r="G243" s="1">
        <v>1</v>
      </c>
      <c r="H243" s="1">
        <v>1</v>
      </c>
      <c r="I243" s="1">
        <f t="shared" si="19"/>
        <v>1</v>
      </c>
    </row>
    <row r="244" spans="1:9" x14ac:dyDescent="0.3">
      <c r="A244" s="26">
        <v>45534</v>
      </c>
      <c r="B244" s="27">
        <f t="shared" si="15"/>
        <v>2024</v>
      </c>
      <c r="C244" s="27">
        <f t="shared" si="16"/>
        <v>8</v>
      </c>
      <c r="D244" s="27">
        <f t="shared" si="17"/>
        <v>30</v>
      </c>
      <c r="E244" s="27">
        <f t="shared" si="18"/>
        <v>6</v>
      </c>
      <c r="F244" s="27">
        <f>VLOOKUP(E244,[1]t_calendarioPolitica!A:C,3,FALSE)</f>
        <v>1</v>
      </c>
      <c r="G244" s="1">
        <v>1</v>
      </c>
      <c r="H244" s="1">
        <v>1</v>
      </c>
      <c r="I244" s="1">
        <f t="shared" si="19"/>
        <v>1</v>
      </c>
    </row>
    <row r="245" spans="1:9" x14ac:dyDescent="0.3">
      <c r="A245" s="26">
        <v>45535</v>
      </c>
      <c r="B245" s="27">
        <f t="shared" si="15"/>
        <v>2024</v>
      </c>
      <c r="C245" s="27">
        <f t="shared" si="16"/>
        <v>8</v>
      </c>
      <c r="D245" s="27">
        <f t="shared" si="17"/>
        <v>31</v>
      </c>
      <c r="E245" s="27">
        <f t="shared" si="18"/>
        <v>7</v>
      </c>
      <c r="F245" s="27">
        <f>VLOOKUP(E245,[1]t_calendarioPolitica!A:C,3,FALSE)</f>
        <v>2</v>
      </c>
      <c r="G245" s="1">
        <v>1</v>
      </c>
      <c r="H245" s="1">
        <v>1</v>
      </c>
      <c r="I245" s="1">
        <f t="shared" si="19"/>
        <v>1</v>
      </c>
    </row>
    <row r="246" spans="1:9" x14ac:dyDescent="0.3">
      <c r="A246" s="26">
        <v>45536</v>
      </c>
      <c r="B246" s="27">
        <f t="shared" si="15"/>
        <v>2024</v>
      </c>
      <c r="C246" s="27">
        <f t="shared" si="16"/>
        <v>9</v>
      </c>
      <c r="D246" s="27">
        <f t="shared" si="17"/>
        <v>1</v>
      </c>
      <c r="E246" s="27">
        <f t="shared" si="18"/>
        <v>1</v>
      </c>
      <c r="F246" s="27">
        <f>VLOOKUP(E246,[1]t_calendarioPolitica!A:C,3,FALSE)</f>
        <v>0</v>
      </c>
      <c r="G246" s="1">
        <v>1</v>
      </c>
      <c r="H246" s="1">
        <v>1</v>
      </c>
      <c r="I246" s="1">
        <f t="shared" si="19"/>
        <v>0</v>
      </c>
    </row>
    <row r="247" spans="1:9" x14ac:dyDescent="0.3">
      <c r="A247" s="26">
        <v>45537</v>
      </c>
      <c r="B247" s="27">
        <f t="shared" si="15"/>
        <v>2024</v>
      </c>
      <c r="C247" s="27">
        <f t="shared" si="16"/>
        <v>9</v>
      </c>
      <c r="D247" s="27">
        <f t="shared" si="17"/>
        <v>2</v>
      </c>
      <c r="E247" s="27">
        <f t="shared" si="18"/>
        <v>2</v>
      </c>
      <c r="F247" s="27">
        <f>VLOOKUP(E247,[1]t_calendarioPolitica!A:C,3,FALSE)</f>
        <v>1</v>
      </c>
      <c r="G247" s="1">
        <v>1</v>
      </c>
      <c r="H247" s="1">
        <v>1</v>
      </c>
      <c r="I247" s="1">
        <f t="shared" si="19"/>
        <v>1</v>
      </c>
    </row>
    <row r="248" spans="1:9" x14ac:dyDescent="0.3">
      <c r="A248" s="26">
        <v>45538</v>
      </c>
      <c r="B248" s="27">
        <f t="shared" si="15"/>
        <v>2024</v>
      </c>
      <c r="C248" s="27">
        <f t="shared" si="16"/>
        <v>9</v>
      </c>
      <c r="D248" s="27">
        <f t="shared" si="17"/>
        <v>3</v>
      </c>
      <c r="E248" s="27">
        <f t="shared" si="18"/>
        <v>3</v>
      </c>
      <c r="F248" s="27">
        <f>VLOOKUP(E248,[1]t_calendarioPolitica!A:C,3,FALSE)</f>
        <v>1</v>
      </c>
      <c r="G248" s="1">
        <v>1</v>
      </c>
      <c r="H248" s="1">
        <v>1</v>
      </c>
      <c r="I248" s="1">
        <f t="shared" si="19"/>
        <v>1</v>
      </c>
    </row>
    <row r="249" spans="1:9" x14ac:dyDescent="0.3">
      <c r="A249" s="26">
        <v>45539</v>
      </c>
      <c r="B249" s="27">
        <f t="shared" si="15"/>
        <v>2024</v>
      </c>
      <c r="C249" s="27">
        <f t="shared" si="16"/>
        <v>9</v>
      </c>
      <c r="D249" s="27">
        <f t="shared" si="17"/>
        <v>4</v>
      </c>
      <c r="E249" s="27">
        <f t="shared" si="18"/>
        <v>4</v>
      </c>
      <c r="F249" s="27">
        <f>VLOOKUP(E249,[1]t_calendarioPolitica!A:C,3,FALSE)</f>
        <v>1</v>
      </c>
      <c r="G249" s="1">
        <v>1</v>
      </c>
      <c r="H249" s="1">
        <v>1</v>
      </c>
      <c r="I249" s="1">
        <f t="shared" si="19"/>
        <v>1</v>
      </c>
    </row>
    <row r="250" spans="1:9" x14ac:dyDescent="0.3">
      <c r="A250" s="26">
        <v>45540</v>
      </c>
      <c r="B250" s="27">
        <f t="shared" si="15"/>
        <v>2024</v>
      </c>
      <c r="C250" s="27">
        <f t="shared" si="16"/>
        <v>9</v>
      </c>
      <c r="D250" s="27">
        <f t="shared" si="17"/>
        <v>5</v>
      </c>
      <c r="E250" s="27">
        <f t="shared" si="18"/>
        <v>5</v>
      </c>
      <c r="F250" s="27">
        <f>VLOOKUP(E250,[1]t_calendarioPolitica!A:C,3,FALSE)</f>
        <v>1</v>
      </c>
      <c r="G250" s="1">
        <v>1</v>
      </c>
      <c r="H250" s="1">
        <v>1</v>
      </c>
      <c r="I250" s="1">
        <f t="shared" si="19"/>
        <v>1</v>
      </c>
    </row>
    <row r="251" spans="1:9" x14ac:dyDescent="0.3">
      <c r="A251" s="26">
        <v>45541</v>
      </c>
      <c r="B251" s="27">
        <f t="shared" si="15"/>
        <v>2024</v>
      </c>
      <c r="C251" s="27">
        <f t="shared" si="16"/>
        <v>9</v>
      </c>
      <c r="D251" s="27">
        <f t="shared" si="17"/>
        <v>6</v>
      </c>
      <c r="E251" s="27">
        <f t="shared" si="18"/>
        <v>6</v>
      </c>
      <c r="F251" s="27">
        <f>VLOOKUP(E251,[1]t_calendarioPolitica!A:C,3,FALSE)</f>
        <v>1</v>
      </c>
      <c r="G251" s="1">
        <v>1</v>
      </c>
      <c r="H251" s="1">
        <v>1</v>
      </c>
      <c r="I251" s="1">
        <f t="shared" si="19"/>
        <v>1</v>
      </c>
    </row>
    <row r="252" spans="1:9" x14ac:dyDescent="0.3">
      <c r="A252" s="26">
        <v>45542</v>
      </c>
      <c r="B252" s="27">
        <f t="shared" si="15"/>
        <v>2024</v>
      </c>
      <c r="C252" s="27">
        <f t="shared" si="16"/>
        <v>9</v>
      </c>
      <c r="D252" s="27">
        <f t="shared" si="17"/>
        <v>7</v>
      </c>
      <c r="E252" s="27">
        <f t="shared" si="18"/>
        <v>7</v>
      </c>
      <c r="F252" s="27">
        <f>VLOOKUP(E252,[1]t_calendarioPolitica!A:C,3,FALSE)</f>
        <v>2</v>
      </c>
      <c r="G252" s="1">
        <v>1</v>
      </c>
      <c r="H252" s="1">
        <v>1</v>
      </c>
      <c r="I252" s="1">
        <f t="shared" si="19"/>
        <v>1</v>
      </c>
    </row>
    <row r="253" spans="1:9" x14ac:dyDescent="0.3">
      <c r="A253" s="26">
        <v>45543</v>
      </c>
      <c r="B253" s="27">
        <f t="shared" si="15"/>
        <v>2024</v>
      </c>
      <c r="C253" s="27">
        <f t="shared" si="16"/>
        <v>9</v>
      </c>
      <c r="D253" s="27">
        <f t="shared" si="17"/>
        <v>8</v>
      </c>
      <c r="E253" s="27">
        <f t="shared" si="18"/>
        <v>1</v>
      </c>
      <c r="F253" s="27">
        <f>VLOOKUP(E253,[1]t_calendarioPolitica!A:C,3,FALSE)</f>
        <v>0</v>
      </c>
      <c r="G253" s="1">
        <v>1</v>
      </c>
      <c r="H253" s="1">
        <v>1</v>
      </c>
      <c r="I253" s="1">
        <f t="shared" si="19"/>
        <v>0</v>
      </c>
    </row>
    <row r="254" spans="1:9" x14ac:dyDescent="0.3">
      <c r="A254" s="26">
        <v>45544</v>
      </c>
      <c r="B254" s="27">
        <f t="shared" si="15"/>
        <v>2024</v>
      </c>
      <c r="C254" s="27">
        <f t="shared" si="16"/>
        <v>9</v>
      </c>
      <c r="D254" s="27">
        <f t="shared" si="17"/>
        <v>9</v>
      </c>
      <c r="E254" s="27">
        <f t="shared" si="18"/>
        <v>2</v>
      </c>
      <c r="F254" s="27">
        <f>VLOOKUP(E254,[1]t_calendarioPolitica!A:C,3,FALSE)</f>
        <v>1</v>
      </c>
      <c r="G254" s="1">
        <v>1</v>
      </c>
      <c r="H254" s="1">
        <v>1</v>
      </c>
      <c r="I254" s="1">
        <f t="shared" si="19"/>
        <v>1</v>
      </c>
    </row>
    <row r="255" spans="1:9" x14ac:dyDescent="0.3">
      <c r="A255" s="26">
        <v>45545</v>
      </c>
      <c r="B255" s="27">
        <f t="shared" si="15"/>
        <v>2024</v>
      </c>
      <c r="C255" s="27">
        <f t="shared" si="16"/>
        <v>9</v>
      </c>
      <c r="D255" s="27">
        <f t="shared" si="17"/>
        <v>10</v>
      </c>
      <c r="E255" s="27">
        <f t="shared" si="18"/>
        <v>3</v>
      </c>
      <c r="F255" s="27">
        <f>VLOOKUP(E255,[1]t_calendarioPolitica!A:C,3,FALSE)</f>
        <v>1</v>
      </c>
      <c r="G255" s="1">
        <v>1</v>
      </c>
      <c r="H255" s="1">
        <v>1</v>
      </c>
      <c r="I255" s="1">
        <f t="shared" si="19"/>
        <v>1</v>
      </c>
    </row>
    <row r="256" spans="1:9" x14ac:dyDescent="0.3">
      <c r="A256" s="26">
        <v>45546</v>
      </c>
      <c r="B256" s="27">
        <f t="shared" si="15"/>
        <v>2024</v>
      </c>
      <c r="C256" s="27">
        <f t="shared" si="16"/>
        <v>9</v>
      </c>
      <c r="D256" s="27">
        <f t="shared" si="17"/>
        <v>11</v>
      </c>
      <c r="E256" s="27">
        <f t="shared" si="18"/>
        <v>4</v>
      </c>
      <c r="F256" s="27">
        <f>VLOOKUP(E256,[1]t_calendarioPolitica!A:C,3,FALSE)</f>
        <v>1</v>
      </c>
      <c r="G256" s="1">
        <v>1</v>
      </c>
      <c r="H256" s="1">
        <v>1</v>
      </c>
      <c r="I256" s="1">
        <f t="shared" si="19"/>
        <v>1</v>
      </c>
    </row>
    <row r="257" spans="1:9" x14ac:dyDescent="0.3">
      <c r="A257" s="26">
        <v>45547</v>
      </c>
      <c r="B257" s="27">
        <f t="shared" si="15"/>
        <v>2024</v>
      </c>
      <c r="C257" s="27">
        <f t="shared" si="16"/>
        <v>9</v>
      </c>
      <c r="D257" s="27">
        <f t="shared" si="17"/>
        <v>12</v>
      </c>
      <c r="E257" s="27">
        <f t="shared" si="18"/>
        <v>5</v>
      </c>
      <c r="F257" s="27">
        <f>VLOOKUP(E257,[1]t_calendarioPolitica!A:C,3,FALSE)</f>
        <v>1</v>
      </c>
      <c r="G257" s="1">
        <v>1</v>
      </c>
      <c r="H257" s="1">
        <v>1</v>
      </c>
      <c r="I257" s="1">
        <f t="shared" si="19"/>
        <v>1</v>
      </c>
    </row>
    <row r="258" spans="1:9" x14ac:dyDescent="0.3">
      <c r="A258" s="26">
        <v>45548</v>
      </c>
      <c r="B258" s="27">
        <f t="shared" si="15"/>
        <v>2024</v>
      </c>
      <c r="C258" s="27">
        <f t="shared" si="16"/>
        <v>9</v>
      </c>
      <c r="D258" s="27">
        <f t="shared" si="17"/>
        <v>13</v>
      </c>
      <c r="E258" s="27">
        <f t="shared" si="18"/>
        <v>6</v>
      </c>
      <c r="F258" s="27">
        <f>VLOOKUP(E258,[1]t_calendarioPolitica!A:C,3,FALSE)</f>
        <v>1</v>
      </c>
      <c r="G258" s="1">
        <v>1</v>
      </c>
      <c r="H258" s="1">
        <v>1</v>
      </c>
      <c r="I258" s="1">
        <f t="shared" si="19"/>
        <v>1</v>
      </c>
    </row>
    <row r="259" spans="1:9" x14ac:dyDescent="0.3">
      <c r="A259" s="26">
        <v>45549</v>
      </c>
      <c r="B259" s="27">
        <f t="shared" ref="B259:B322" si="20">YEAR(A259)</f>
        <v>2024</v>
      </c>
      <c r="C259" s="27">
        <f t="shared" ref="C259:C322" si="21">MONTH(A259)</f>
        <v>9</v>
      </c>
      <c r="D259" s="27">
        <f t="shared" ref="D259:D322" si="22">DAY(A259)</f>
        <v>14</v>
      </c>
      <c r="E259" s="27">
        <f t="shared" ref="E259:E322" si="23">WEEKDAY(A259)</f>
        <v>7</v>
      </c>
      <c r="F259" s="27">
        <f>VLOOKUP(E259,[1]t_calendarioPolitica!A:C,3,FALSE)</f>
        <v>2</v>
      </c>
      <c r="G259" s="1">
        <v>1</v>
      </c>
      <c r="H259" s="1">
        <v>1</v>
      </c>
      <c r="I259" s="1">
        <f t="shared" ref="I259:I322" si="24">IF(AND(F259&lt;&gt;0, H259&lt;&gt;0,G259&lt;&gt;0), 1, 0)</f>
        <v>1</v>
      </c>
    </row>
    <row r="260" spans="1:9" x14ac:dyDescent="0.3">
      <c r="A260" s="26">
        <v>45550</v>
      </c>
      <c r="B260" s="27">
        <f t="shared" si="20"/>
        <v>2024</v>
      </c>
      <c r="C260" s="27">
        <f t="shared" si="21"/>
        <v>9</v>
      </c>
      <c r="D260" s="27">
        <f t="shared" si="22"/>
        <v>15</v>
      </c>
      <c r="E260" s="27">
        <f t="shared" si="23"/>
        <v>1</v>
      </c>
      <c r="F260" s="27">
        <f>VLOOKUP(E260,[1]t_calendarioPolitica!A:C,3,FALSE)</f>
        <v>0</v>
      </c>
      <c r="G260" s="1">
        <v>1</v>
      </c>
      <c r="H260" s="1">
        <v>0</v>
      </c>
      <c r="I260" s="1">
        <f t="shared" si="24"/>
        <v>0</v>
      </c>
    </row>
    <row r="261" spans="1:9" x14ac:dyDescent="0.3">
      <c r="A261" s="26">
        <v>45551</v>
      </c>
      <c r="B261" s="27">
        <f t="shared" si="20"/>
        <v>2024</v>
      </c>
      <c r="C261" s="27">
        <f t="shared" si="21"/>
        <v>9</v>
      </c>
      <c r="D261" s="27">
        <f t="shared" si="22"/>
        <v>16</v>
      </c>
      <c r="E261" s="27">
        <f t="shared" si="23"/>
        <v>2</v>
      </c>
      <c r="F261" s="27">
        <f>VLOOKUP(E261,[1]t_calendarioPolitica!A:C,3,FALSE)</f>
        <v>1</v>
      </c>
      <c r="G261" s="1">
        <v>0</v>
      </c>
      <c r="H261" s="1">
        <v>1</v>
      </c>
      <c r="I261" s="1">
        <f t="shared" si="24"/>
        <v>0</v>
      </c>
    </row>
    <row r="262" spans="1:9" x14ac:dyDescent="0.3">
      <c r="A262" s="26">
        <v>45552</v>
      </c>
      <c r="B262" s="27">
        <f t="shared" si="20"/>
        <v>2024</v>
      </c>
      <c r="C262" s="27">
        <f t="shared" si="21"/>
        <v>9</v>
      </c>
      <c r="D262" s="27">
        <f t="shared" si="22"/>
        <v>17</v>
      </c>
      <c r="E262" s="27">
        <f t="shared" si="23"/>
        <v>3</v>
      </c>
      <c r="F262" s="27">
        <f>VLOOKUP(E262,[1]t_calendarioPolitica!A:C,3,FALSE)</f>
        <v>1</v>
      </c>
      <c r="G262" s="1">
        <v>1</v>
      </c>
      <c r="H262" s="1">
        <v>1</v>
      </c>
      <c r="I262" s="1">
        <f t="shared" si="24"/>
        <v>1</v>
      </c>
    </row>
    <row r="263" spans="1:9" x14ac:dyDescent="0.3">
      <c r="A263" s="26">
        <v>45553</v>
      </c>
      <c r="B263" s="27">
        <f t="shared" si="20"/>
        <v>2024</v>
      </c>
      <c r="C263" s="27">
        <f t="shared" si="21"/>
        <v>9</v>
      </c>
      <c r="D263" s="27">
        <f t="shared" si="22"/>
        <v>18</v>
      </c>
      <c r="E263" s="27">
        <f t="shared" si="23"/>
        <v>4</v>
      </c>
      <c r="F263" s="27">
        <f>VLOOKUP(E263,[1]t_calendarioPolitica!A:C,3,FALSE)</f>
        <v>1</v>
      </c>
      <c r="G263" s="1">
        <v>1</v>
      </c>
      <c r="H263" s="1">
        <v>1</v>
      </c>
      <c r="I263" s="1">
        <f t="shared" si="24"/>
        <v>1</v>
      </c>
    </row>
    <row r="264" spans="1:9" x14ac:dyDescent="0.3">
      <c r="A264" s="26">
        <v>45554</v>
      </c>
      <c r="B264" s="27">
        <f t="shared" si="20"/>
        <v>2024</v>
      </c>
      <c r="C264" s="27">
        <f t="shared" si="21"/>
        <v>9</v>
      </c>
      <c r="D264" s="27">
        <f t="shared" si="22"/>
        <v>19</v>
      </c>
      <c r="E264" s="27">
        <f t="shared" si="23"/>
        <v>5</v>
      </c>
      <c r="F264" s="27">
        <f>VLOOKUP(E264,[1]t_calendarioPolitica!A:C,3,FALSE)</f>
        <v>1</v>
      </c>
      <c r="G264" s="1">
        <v>1</v>
      </c>
      <c r="H264" s="1">
        <v>1</v>
      </c>
      <c r="I264" s="1">
        <f t="shared" si="24"/>
        <v>1</v>
      </c>
    </row>
    <row r="265" spans="1:9" x14ac:dyDescent="0.3">
      <c r="A265" s="26">
        <v>45555</v>
      </c>
      <c r="B265" s="27">
        <f t="shared" si="20"/>
        <v>2024</v>
      </c>
      <c r="C265" s="27">
        <f t="shared" si="21"/>
        <v>9</v>
      </c>
      <c r="D265" s="27">
        <f t="shared" si="22"/>
        <v>20</v>
      </c>
      <c r="E265" s="27">
        <f t="shared" si="23"/>
        <v>6</v>
      </c>
      <c r="F265" s="27">
        <f>VLOOKUP(E265,[1]t_calendarioPolitica!A:C,3,FALSE)</f>
        <v>1</v>
      </c>
      <c r="G265" s="1">
        <v>1</v>
      </c>
      <c r="H265" s="1">
        <v>1</v>
      </c>
      <c r="I265" s="1">
        <f t="shared" si="24"/>
        <v>1</v>
      </c>
    </row>
    <row r="266" spans="1:9" x14ac:dyDescent="0.3">
      <c r="A266" s="26">
        <v>45556</v>
      </c>
      <c r="B266" s="27">
        <f t="shared" si="20"/>
        <v>2024</v>
      </c>
      <c r="C266" s="27">
        <f t="shared" si="21"/>
        <v>9</v>
      </c>
      <c r="D266" s="27">
        <f t="shared" si="22"/>
        <v>21</v>
      </c>
      <c r="E266" s="27">
        <f t="shared" si="23"/>
        <v>7</v>
      </c>
      <c r="F266" s="27">
        <f>VLOOKUP(E266,[1]t_calendarioPolitica!A:C,3,FALSE)</f>
        <v>2</v>
      </c>
      <c r="G266" s="1">
        <v>1</v>
      </c>
      <c r="H266" s="1">
        <v>1</v>
      </c>
      <c r="I266" s="1">
        <f t="shared" si="24"/>
        <v>1</v>
      </c>
    </row>
    <row r="267" spans="1:9" x14ac:dyDescent="0.3">
      <c r="A267" s="26">
        <v>45557</v>
      </c>
      <c r="B267" s="27">
        <f t="shared" si="20"/>
        <v>2024</v>
      </c>
      <c r="C267" s="27">
        <f t="shared" si="21"/>
        <v>9</v>
      </c>
      <c r="D267" s="27">
        <f t="shared" si="22"/>
        <v>22</v>
      </c>
      <c r="E267" s="27">
        <f t="shared" si="23"/>
        <v>1</v>
      </c>
      <c r="F267" s="27">
        <f>VLOOKUP(E267,[1]t_calendarioPolitica!A:C,3,FALSE)</f>
        <v>0</v>
      </c>
      <c r="G267" s="1">
        <v>1</v>
      </c>
      <c r="H267" s="1">
        <v>1</v>
      </c>
      <c r="I267" s="1">
        <f t="shared" si="24"/>
        <v>0</v>
      </c>
    </row>
    <row r="268" spans="1:9" x14ac:dyDescent="0.3">
      <c r="A268" s="26">
        <v>45558</v>
      </c>
      <c r="B268" s="27">
        <f t="shared" si="20"/>
        <v>2024</v>
      </c>
      <c r="C268" s="27">
        <f t="shared" si="21"/>
        <v>9</v>
      </c>
      <c r="D268" s="27">
        <f t="shared" si="22"/>
        <v>23</v>
      </c>
      <c r="E268" s="27">
        <f t="shared" si="23"/>
        <v>2</v>
      </c>
      <c r="F268" s="27">
        <f>VLOOKUP(E268,[1]t_calendarioPolitica!A:C,3,FALSE)</f>
        <v>1</v>
      </c>
      <c r="G268" s="1">
        <v>1</v>
      </c>
      <c r="H268" s="1">
        <v>1</v>
      </c>
      <c r="I268" s="1">
        <f t="shared" si="24"/>
        <v>1</v>
      </c>
    </row>
    <row r="269" spans="1:9" x14ac:dyDescent="0.3">
      <c r="A269" s="26">
        <v>45559</v>
      </c>
      <c r="B269" s="27">
        <f t="shared" si="20"/>
        <v>2024</v>
      </c>
      <c r="C269" s="27">
        <f t="shared" si="21"/>
        <v>9</v>
      </c>
      <c r="D269" s="27">
        <f t="shared" si="22"/>
        <v>24</v>
      </c>
      <c r="E269" s="27">
        <f t="shared" si="23"/>
        <v>3</v>
      </c>
      <c r="F269" s="27">
        <f>VLOOKUP(E269,[1]t_calendarioPolitica!A:C,3,FALSE)</f>
        <v>1</v>
      </c>
      <c r="G269" s="1">
        <v>1</v>
      </c>
      <c r="H269" s="1">
        <v>1</v>
      </c>
      <c r="I269" s="1">
        <f t="shared" si="24"/>
        <v>1</v>
      </c>
    </row>
    <row r="270" spans="1:9" x14ac:dyDescent="0.3">
      <c r="A270" s="26">
        <v>45560</v>
      </c>
      <c r="B270" s="27">
        <f t="shared" si="20"/>
        <v>2024</v>
      </c>
      <c r="C270" s="27">
        <f t="shared" si="21"/>
        <v>9</v>
      </c>
      <c r="D270" s="27">
        <f t="shared" si="22"/>
        <v>25</v>
      </c>
      <c r="E270" s="27">
        <f t="shared" si="23"/>
        <v>4</v>
      </c>
      <c r="F270" s="27">
        <f>VLOOKUP(E270,[1]t_calendarioPolitica!A:C,3,FALSE)</f>
        <v>1</v>
      </c>
      <c r="G270" s="1">
        <v>1</v>
      </c>
      <c r="H270" s="1">
        <v>1</v>
      </c>
      <c r="I270" s="1">
        <f t="shared" si="24"/>
        <v>1</v>
      </c>
    </row>
    <row r="271" spans="1:9" x14ac:dyDescent="0.3">
      <c r="A271" s="26">
        <v>45561</v>
      </c>
      <c r="B271" s="27">
        <f t="shared" si="20"/>
        <v>2024</v>
      </c>
      <c r="C271" s="27">
        <f t="shared" si="21"/>
        <v>9</v>
      </c>
      <c r="D271" s="27">
        <f t="shared" si="22"/>
        <v>26</v>
      </c>
      <c r="E271" s="27">
        <f t="shared" si="23"/>
        <v>5</v>
      </c>
      <c r="F271" s="27">
        <f>VLOOKUP(E271,[1]t_calendarioPolitica!A:C,3,FALSE)</f>
        <v>1</v>
      </c>
      <c r="G271" s="1">
        <v>1</v>
      </c>
      <c r="H271" s="1">
        <v>1</v>
      </c>
      <c r="I271" s="1">
        <f t="shared" si="24"/>
        <v>1</v>
      </c>
    </row>
    <row r="272" spans="1:9" x14ac:dyDescent="0.3">
      <c r="A272" s="26">
        <v>45562</v>
      </c>
      <c r="B272" s="27">
        <f t="shared" si="20"/>
        <v>2024</v>
      </c>
      <c r="C272" s="27">
        <f t="shared" si="21"/>
        <v>9</v>
      </c>
      <c r="D272" s="27">
        <f t="shared" si="22"/>
        <v>27</v>
      </c>
      <c r="E272" s="27">
        <f t="shared" si="23"/>
        <v>6</v>
      </c>
      <c r="F272" s="27">
        <f>VLOOKUP(E272,[1]t_calendarioPolitica!A:C,3,FALSE)</f>
        <v>1</v>
      </c>
      <c r="G272" s="1">
        <v>1</v>
      </c>
      <c r="H272" s="1">
        <v>1</v>
      </c>
      <c r="I272" s="1">
        <f t="shared" si="24"/>
        <v>1</v>
      </c>
    </row>
    <row r="273" spans="1:9" x14ac:dyDescent="0.3">
      <c r="A273" s="26">
        <v>45563</v>
      </c>
      <c r="B273" s="27">
        <f t="shared" si="20"/>
        <v>2024</v>
      </c>
      <c r="C273" s="27">
        <f t="shared" si="21"/>
        <v>9</v>
      </c>
      <c r="D273" s="27">
        <f t="shared" si="22"/>
        <v>28</v>
      </c>
      <c r="E273" s="27">
        <f t="shared" si="23"/>
        <v>7</v>
      </c>
      <c r="F273" s="27">
        <f>VLOOKUP(E273,[1]t_calendarioPolitica!A:C,3,FALSE)</f>
        <v>2</v>
      </c>
      <c r="G273" s="1">
        <v>1</v>
      </c>
      <c r="H273" s="1">
        <v>1</v>
      </c>
      <c r="I273" s="1">
        <f t="shared" si="24"/>
        <v>1</v>
      </c>
    </row>
    <row r="274" spans="1:9" x14ac:dyDescent="0.3">
      <c r="A274" s="26">
        <v>45564</v>
      </c>
      <c r="B274" s="27">
        <f t="shared" si="20"/>
        <v>2024</v>
      </c>
      <c r="C274" s="27">
        <f t="shared" si="21"/>
        <v>9</v>
      </c>
      <c r="D274" s="27">
        <f t="shared" si="22"/>
        <v>29</v>
      </c>
      <c r="E274" s="27">
        <f t="shared" si="23"/>
        <v>1</v>
      </c>
      <c r="F274" s="27">
        <f>VLOOKUP(E274,[1]t_calendarioPolitica!A:C,3,FALSE)</f>
        <v>0</v>
      </c>
      <c r="G274" s="1">
        <v>1</v>
      </c>
      <c r="H274" s="1">
        <v>1</v>
      </c>
      <c r="I274" s="1">
        <f t="shared" si="24"/>
        <v>0</v>
      </c>
    </row>
    <row r="275" spans="1:9" x14ac:dyDescent="0.3">
      <c r="A275" s="26">
        <v>45565</v>
      </c>
      <c r="B275" s="27">
        <f t="shared" si="20"/>
        <v>2024</v>
      </c>
      <c r="C275" s="27">
        <f t="shared" si="21"/>
        <v>9</v>
      </c>
      <c r="D275" s="27">
        <f t="shared" si="22"/>
        <v>30</v>
      </c>
      <c r="E275" s="27">
        <f t="shared" si="23"/>
        <v>2</v>
      </c>
      <c r="F275" s="27">
        <f>VLOOKUP(E275,[1]t_calendarioPolitica!A:C,3,FALSE)</f>
        <v>1</v>
      </c>
      <c r="G275" s="1">
        <v>1</v>
      </c>
      <c r="H275" s="1">
        <v>1</v>
      </c>
      <c r="I275" s="1">
        <f t="shared" si="24"/>
        <v>1</v>
      </c>
    </row>
    <row r="276" spans="1:9" x14ac:dyDescent="0.3">
      <c r="A276" s="26">
        <v>45566</v>
      </c>
      <c r="B276" s="27">
        <f t="shared" si="20"/>
        <v>2024</v>
      </c>
      <c r="C276" s="27">
        <f t="shared" si="21"/>
        <v>10</v>
      </c>
      <c r="D276" s="27">
        <f t="shared" si="22"/>
        <v>1</v>
      </c>
      <c r="E276" s="27">
        <f t="shared" si="23"/>
        <v>3</v>
      </c>
      <c r="F276" s="27">
        <f>VLOOKUP(E276,[1]t_calendarioPolitica!A:C,3,FALSE)</f>
        <v>1</v>
      </c>
      <c r="G276" s="1">
        <v>0</v>
      </c>
      <c r="H276" s="1">
        <v>1</v>
      </c>
      <c r="I276" s="1">
        <f t="shared" si="24"/>
        <v>0</v>
      </c>
    </row>
    <row r="277" spans="1:9" x14ac:dyDescent="0.3">
      <c r="A277" s="26">
        <v>45567</v>
      </c>
      <c r="B277" s="27">
        <f t="shared" si="20"/>
        <v>2024</v>
      </c>
      <c r="C277" s="27">
        <f t="shared" si="21"/>
        <v>10</v>
      </c>
      <c r="D277" s="27">
        <f t="shared" si="22"/>
        <v>2</v>
      </c>
      <c r="E277" s="27">
        <f t="shared" si="23"/>
        <v>4</v>
      </c>
      <c r="F277" s="27">
        <f>VLOOKUP(E277,[1]t_calendarioPolitica!A:C,3,FALSE)</f>
        <v>1</v>
      </c>
      <c r="G277" s="1">
        <v>1</v>
      </c>
      <c r="H277" s="1">
        <v>1</v>
      </c>
      <c r="I277" s="1">
        <f t="shared" si="24"/>
        <v>1</v>
      </c>
    </row>
    <row r="278" spans="1:9" x14ac:dyDescent="0.3">
      <c r="A278" s="26">
        <v>45568</v>
      </c>
      <c r="B278" s="27">
        <f t="shared" si="20"/>
        <v>2024</v>
      </c>
      <c r="C278" s="27">
        <f t="shared" si="21"/>
        <v>10</v>
      </c>
      <c r="D278" s="27">
        <f t="shared" si="22"/>
        <v>3</v>
      </c>
      <c r="E278" s="27">
        <f t="shared" si="23"/>
        <v>5</v>
      </c>
      <c r="F278" s="27">
        <f>VLOOKUP(E278,[1]t_calendarioPolitica!A:C,3,FALSE)</f>
        <v>1</v>
      </c>
      <c r="G278" s="1">
        <v>1</v>
      </c>
      <c r="H278" s="1">
        <v>1</v>
      </c>
      <c r="I278" s="1">
        <f t="shared" si="24"/>
        <v>1</v>
      </c>
    </row>
    <row r="279" spans="1:9" x14ac:dyDescent="0.3">
      <c r="A279" s="26">
        <v>45569</v>
      </c>
      <c r="B279" s="27">
        <f t="shared" si="20"/>
        <v>2024</v>
      </c>
      <c r="C279" s="27">
        <f t="shared" si="21"/>
        <v>10</v>
      </c>
      <c r="D279" s="27">
        <f t="shared" si="22"/>
        <v>4</v>
      </c>
      <c r="E279" s="27">
        <f t="shared" si="23"/>
        <v>6</v>
      </c>
      <c r="F279" s="27">
        <f>VLOOKUP(E279,[1]t_calendarioPolitica!A:C,3,FALSE)</f>
        <v>1</v>
      </c>
      <c r="G279" s="1">
        <v>1</v>
      </c>
      <c r="H279" s="1">
        <v>1</v>
      </c>
      <c r="I279" s="1">
        <f t="shared" si="24"/>
        <v>1</v>
      </c>
    </row>
    <row r="280" spans="1:9" x14ac:dyDescent="0.3">
      <c r="A280" s="26">
        <v>45570</v>
      </c>
      <c r="B280" s="27">
        <f t="shared" si="20"/>
        <v>2024</v>
      </c>
      <c r="C280" s="27">
        <f t="shared" si="21"/>
        <v>10</v>
      </c>
      <c r="D280" s="27">
        <f t="shared" si="22"/>
        <v>5</v>
      </c>
      <c r="E280" s="27">
        <f t="shared" si="23"/>
        <v>7</v>
      </c>
      <c r="F280" s="27">
        <f>VLOOKUP(E280,[1]t_calendarioPolitica!A:C,3,FALSE)</f>
        <v>2</v>
      </c>
      <c r="G280" s="1">
        <v>1</v>
      </c>
      <c r="H280" s="1">
        <v>1</v>
      </c>
      <c r="I280" s="1">
        <f t="shared" si="24"/>
        <v>1</v>
      </c>
    </row>
    <row r="281" spans="1:9" x14ac:dyDescent="0.3">
      <c r="A281" s="26">
        <v>45571</v>
      </c>
      <c r="B281" s="27">
        <f t="shared" si="20"/>
        <v>2024</v>
      </c>
      <c r="C281" s="27">
        <f t="shared" si="21"/>
        <v>10</v>
      </c>
      <c r="D281" s="27">
        <f t="shared" si="22"/>
        <v>6</v>
      </c>
      <c r="E281" s="27">
        <f t="shared" si="23"/>
        <v>1</v>
      </c>
      <c r="F281" s="27">
        <f>VLOOKUP(E281,[1]t_calendarioPolitica!A:C,3,FALSE)</f>
        <v>0</v>
      </c>
      <c r="G281" s="1">
        <v>1</v>
      </c>
      <c r="H281" s="1">
        <v>1</v>
      </c>
      <c r="I281" s="1">
        <f t="shared" si="24"/>
        <v>0</v>
      </c>
    </row>
    <row r="282" spans="1:9" x14ac:dyDescent="0.3">
      <c r="A282" s="26">
        <v>45572</v>
      </c>
      <c r="B282" s="27">
        <f t="shared" si="20"/>
        <v>2024</v>
      </c>
      <c r="C282" s="27">
        <f t="shared" si="21"/>
        <v>10</v>
      </c>
      <c r="D282" s="27">
        <f t="shared" si="22"/>
        <v>7</v>
      </c>
      <c r="E282" s="27">
        <f t="shared" si="23"/>
        <v>2</v>
      </c>
      <c r="F282" s="27">
        <f>VLOOKUP(E282,[1]t_calendarioPolitica!A:C,3,FALSE)</f>
        <v>1</v>
      </c>
      <c r="G282" s="1">
        <v>1</v>
      </c>
      <c r="H282" s="1">
        <v>1</v>
      </c>
      <c r="I282" s="1">
        <f t="shared" si="24"/>
        <v>1</v>
      </c>
    </row>
    <row r="283" spans="1:9" x14ac:dyDescent="0.3">
      <c r="A283" s="26">
        <v>45573</v>
      </c>
      <c r="B283" s="27">
        <f t="shared" si="20"/>
        <v>2024</v>
      </c>
      <c r="C283" s="27">
        <f t="shared" si="21"/>
        <v>10</v>
      </c>
      <c r="D283" s="27">
        <f t="shared" si="22"/>
        <v>8</v>
      </c>
      <c r="E283" s="27">
        <f t="shared" si="23"/>
        <v>3</v>
      </c>
      <c r="F283" s="27">
        <f>VLOOKUP(E283,[1]t_calendarioPolitica!A:C,3,FALSE)</f>
        <v>1</v>
      </c>
      <c r="G283" s="1">
        <v>1</v>
      </c>
      <c r="H283" s="1">
        <v>1</v>
      </c>
      <c r="I283" s="1">
        <f t="shared" si="24"/>
        <v>1</v>
      </c>
    </row>
    <row r="284" spans="1:9" x14ac:dyDescent="0.3">
      <c r="A284" s="26">
        <v>45574</v>
      </c>
      <c r="B284" s="27">
        <f t="shared" si="20"/>
        <v>2024</v>
      </c>
      <c r="C284" s="27">
        <f t="shared" si="21"/>
        <v>10</v>
      </c>
      <c r="D284" s="27">
        <f t="shared" si="22"/>
        <v>9</v>
      </c>
      <c r="E284" s="27">
        <f t="shared" si="23"/>
        <v>4</v>
      </c>
      <c r="F284" s="27">
        <f>VLOOKUP(E284,[1]t_calendarioPolitica!A:C,3,FALSE)</f>
        <v>1</v>
      </c>
      <c r="G284" s="1">
        <v>1</v>
      </c>
      <c r="H284" s="1">
        <v>1</v>
      </c>
      <c r="I284" s="1">
        <f t="shared" si="24"/>
        <v>1</v>
      </c>
    </row>
    <row r="285" spans="1:9" x14ac:dyDescent="0.3">
      <c r="A285" s="26">
        <v>45575</v>
      </c>
      <c r="B285" s="27">
        <f t="shared" si="20"/>
        <v>2024</v>
      </c>
      <c r="C285" s="27">
        <f t="shared" si="21"/>
        <v>10</v>
      </c>
      <c r="D285" s="27">
        <f t="shared" si="22"/>
        <v>10</v>
      </c>
      <c r="E285" s="27">
        <f t="shared" si="23"/>
        <v>5</v>
      </c>
      <c r="F285" s="27">
        <f>VLOOKUP(E285,[1]t_calendarioPolitica!A:C,3,FALSE)</f>
        <v>1</v>
      </c>
      <c r="G285" s="1">
        <v>1</v>
      </c>
      <c r="H285" s="1">
        <v>1</v>
      </c>
      <c r="I285" s="1">
        <f t="shared" si="24"/>
        <v>1</v>
      </c>
    </row>
    <row r="286" spans="1:9" x14ac:dyDescent="0.3">
      <c r="A286" s="26">
        <v>45576</v>
      </c>
      <c r="B286" s="27">
        <f t="shared" si="20"/>
        <v>2024</v>
      </c>
      <c r="C286" s="27">
        <f t="shared" si="21"/>
        <v>10</v>
      </c>
      <c r="D286" s="27">
        <f t="shared" si="22"/>
        <v>11</v>
      </c>
      <c r="E286" s="27">
        <f t="shared" si="23"/>
        <v>6</v>
      </c>
      <c r="F286" s="27">
        <f>VLOOKUP(E286,[1]t_calendarioPolitica!A:C,3,FALSE)</f>
        <v>1</v>
      </c>
      <c r="G286" s="1">
        <v>1</v>
      </c>
      <c r="H286" s="1">
        <v>1</v>
      </c>
      <c r="I286" s="1">
        <f t="shared" si="24"/>
        <v>1</v>
      </c>
    </row>
    <row r="287" spans="1:9" x14ac:dyDescent="0.3">
      <c r="A287" s="26">
        <v>45577</v>
      </c>
      <c r="B287" s="27">
        <f t="shared" si="20"/>
        <v>2024</v>
      </c>
      <c r="C287" s="27">
        <f t="shared" si="21"/>
        <v>10</v>
      </c>
      <c r="D287" s="27">
        <f t="shared" si="22"/>
        <v>12</v>
      </c>
      <c r="E287" s="27">
        <f t="shared" si="23"/>
        <v>7</v>
      </c>
      <c r="F287" s="27">
        <f>VLOOKUP(E287,[1]t_calendarioPolitica!A:C,3,FALSE)</f>
        <v>2</v>
      </c>
      <c r="G287" s="1">
        <v>1</v>
      </c>
      <c r="H287" s="1">
        <v>1</v>
      </c>
      <c r="I287" s="1">
        <f t="shared" si="24"/>
        <v>1</v>
      </c>
    </row>
    <row r="288" spans="1:9" x14ac:dyDescent="0.3">
      <c r="A288" s="26">
        <v>45578</v>
      </c>
      <c r="B288" s="27">
        <f t="shared" si="20"/>
        <v>2024</v>
      </c>
      <c r="C288" s="27">
        <f t="shared" si="21"/>
        <v>10</v>
      </c>
      <c r="D288" s="27">
        <f t="shared" si="22"/>
        <v>13</v>
      </c>
      <c r="E288" s="27">
        <f t="shared" si="23"/>
        <v>1</v>
      </c>
      <c r="F288" s="27">
        <f>VLOOKUP(E288,[1]t_calendarioPolitica!A:C,3,FALSE)</f>
        <v>0</v>
      </c>
      <c r="G288" s="1">
        <v>1</v>
      </c>
      <c r="H288" s="1">
        <v>1</v>
      </c>
      <c r="I288" s="1">
        <f t="shared" si="24"/>
        <v>0</v>
      </c>
    </row>
    <row r="289" spans="1:9" x14ac:dyDescent="0.3">
      <c r="A289" s="26">
        <v>45579</v>
      </c>
      <c r="B289" s="27">
        <f t="shared" si="20"/>
        <v>2024</v>
      </c>
      <c r="C289" s="27">
        <f t="shared" si="21"/>
        <v>10</v>
      </c>
      <c r="D289" s="27">
        <f t="shared" si="22"/>
        <v>14</v>
      </c>
      <c r="E289" s="27">
        <f t="shared" si="23"/>
        <v>2</v>
      </c>
      <c r="F289" s="27">
        <f>VLOOKUP(E289,[1]t_calendarioPolitica!A:C,3,FALSE)</f>
        <v>1</v>
      </c>
      <c r="G289" s="1">
        <v>1</v>
      </c>
      <c r="H289" s="1">
        <v>1</v>
      </c>
      <c r="I289" s="1">
        <f t="shared" si="24"/>
        <v>1</v>
      </c>
    </row>
    <row r="290" spans="1:9" x14ac:dyDescent="0.3">
      <c r="A290" s="26">
        <v>45580</v>
      </c>
      <c r="B290" s="27">
        <f t="shared" si="20"/>
        <v>2024</v>
      </c>
      <c r="C290" s="27">
        <f t="shared" si="21"/>
        <v>10</v>
      </c>
      <c r="D290" s="27">
        <f t="shared" si="22"/>
        <v>15</v>
      </c>
      <c r="E290" s="27">
        <f t="shared" si="23"/>
        <v>3</v>
      </c>
      <c r="F290" s="27">
        <f>VLOOKUP(E290,[1]t_calendarioPolitica!A:C,3,FALSE)</f>
        <v>1</v>
      </c>
      <c r="G290" s="1">
        <v>1</v>
      </c>
      <c r="H290" s="1">
        <v>1</v>
      </c>
      <c r="I290" s="1">
        <f t="shared" si="24"/>
        <v>1</v>
      </c>
    </row>
    <row r="291" spans="1:9" x14ac:dyDescent="0.3">
      <c r="A291" s="26">
        <v>45581</v>
      </c>
      <c r="B291" s="27">
        <f t="shared" si="20"/>
        <v>2024</v>
      </c>
      <c r="C291" s="27">
        <f t="shared" si="21"/>
        <v>10</v>
      </c>
      <c r="D291" s="27">
        <f t="shared" si="22"/>
        <v>16</v>
      </c>
      <c r="E291" s="27">
        <f t="shared" si="23"/>
        <v>4</v>
      </c>
      <c r="F291" s="27">
        <f>VLOOKUP(E291,[1]t_calendarioPolitica!A:C,3,FALSE)</f>
        <v>1</v>
      </c>
      <c r="G291" s="1">
        <v>1</v>
      </c>
      <c r="H291" s="1">
        <v>1</v>
      </c>
      <c r="I291" s="1">
        <f t="shared" si="24"/>
        <v>1</v>
      </c>
    </row>
    <row r="292" spans="1:9" x14ac:dyDescent="0.3">
      <c r="A292" s="26">
        <v>45582</v>
      </c>
      <c r="B292" s="27">
        <f t="shared" si="20"/>
        <v>2024</v>
      </c>
      <c r="C292" s="27">
        <f t="shared" si="21"/>
        <v>10</v>
      </c>
      <c r="D292" s="27">
        <f t="shared" si="22"/>
        <v>17</v>
      </c>
      <c r="E292" s="27">
        <f t="shared" si="23"/>
        <v>5</v>
      </c>
      <c r="F292" s="27">
        <f>VLOOKUP(E292,[1]t_calendarioPolitica!A:C,3,FALSE)</f>
        <v>1</v>
      </c>
      <c r="G292" s="1">
        <v>1</v>
      </c>
      <c r="H292" s="1">
        <v>1</v>
      </c>
      <c r="I292" s="1">
        <f t="shared" si="24"/>
        <v>1</v>
      </c>
    </row>
    <row r="293" spans="1:9" x14ac:dyDescent="0.3">
      <c r="A293" s="26">
        <v>45583</v>
      </c>
      <c r="B293" s="27">
        <f t="shared" si="20"/>
        <v>2024</v>
      </c>
      <c r="C293" s="27">
        <f t="shared" si="21"/>
        <v>10</v>
      </c>
      <c r="D293" s="27">
        <f t="shared" si="22"/>
        <v>18</v>
      </c>
      <c r="E293" s="27">
        <f t="shared" si="23"/>
        <v>6</v>
      </c>
      <c r="F293" s="27">
        <f>VLOOKUP(E293,[1]t_calendarioPolitica!A:C,3,FALSE)</f>
        <v>1</v>
      </c>
      <c r="G293" s="1">
        <v>1</v>
      </c>
      <c r="H293" s="1">
        <v>1</v>
      </c>
      <c r="I293" s="1">
        <f t="shared" si="24"/>
        <v>1</v>
      </c>
    </row>
    <row r="294" spans="1:9" x14ac:dyDescent="0.3">
      <c r="A294" s="26">
        <v>45584</v>
      </c>
      <c r="B294" s="27">
        <f t="shared" si="20"/>
        <v>2024</v>
      </c>
      <c r="C294" s="27">
        <f t="shared" si="21"/>
        <v>10</v>
      </c>
      <c r="D294" s="27">
        <f t="shared" si="22"/>
        <v>19</v>
      </c>
      <c r="E294" s="27">
        <f t="shared" si="23"/>
        <v>7</v>
      </c>
      <c r="F294" s="27">
        <f>VLOOKUP(E294,[1]t_calendarioPolitica!A:C,3,FALSE)</f>
        <v>2</v>
      </c>
      <c r="G294" s="1">
        <v>1</v>
      </c>
      <c r="H294" s="1">
        <v>1</v>
      </c>
      <c r="I294" s="1">
        <f t="shared" si="24"/>
        <v>1</v>
      </c>
    </row>
    <row r="295" spans="1:9" x14ac:dyDescent="0.3">
      <c r="A295" s="26">
        <v>45585</v>
      </c>
      <c r="B295" s="27">
        <f t="shared" si="20"/>
        <v>2024</v>
      </c>
      <c r="C295" s="27">
        <f t="shared" si="21"/>
        <v>10</v>
      </c>
      <c r="D295" s="27">
        <f t="shared" si="22"/>
        <v>20</v>
      </c>
      <c r="E295" s="27">
        <f t="shared" si="23"/>
        <v>1</v>
      </c>
      <c r="F295" s="27">
        <f>VLOOKUP(E295,[1]t_calendarioPolitica!A:C,3,FALSE)</f>
        <v>0</v>
      </c>
      <c r="G295" s="1">
        <v>1</v>
      </c>
      <c r="H295" s="1">
        <v>1</v>
      </c>
      <c r="I295" s="1">
        <f t="shared" si="24"/>
        <v>0</v>
      </c>
    </row>
    <row r="296" spans="1:9" x14ac:dyDescent="0.3">
      <c r="A296" s="26">
        <v>45586</v>
      </c>
      <c r="B296" s="27">
        <f t="shared" si="20"/>
        <v>2024</v>
      </c>
      <c r="C296" s="27">
        <f t="shared" si="21"/>
        <v>10</v>
      </c>
      <c r="D296" s="27">
        <f t="shared" si="22"/>
        <v>21</v>
      </c>
      <c r="E296" s="27">
        <f t="shared" si="23"/>
        <v>2</v>
      </c>
      <c r="F296" s="27">
        <f>VLOOKUP(E296,[1]t_calendarioPolitica!A:C,3,FALSE)</f>
        <v>1</v>
      </c>
      <c r="G296" s="1">
        <v>1</v>
      </c>
      <c r="H296" s="1">
        <v>1</v>
      </c>
      <c r="I296" s="1">
        <f t="shared" si="24"/>
        <v>1</v>
      </c>
    </row>
    <row r="297" spans="1:9" x14ac:dyDescent="0.3">
      <c r="A297" s="26">
        <v>45587</v>
      </c>
      <c r="B297" s="27">
        <f t="shared" si="20"/>
        <v>2024</v>
      </c>
      <c r="C297" s="27">
        <f t="shared" si="21"/>
        <v>10</v>
      </c>
      <c r="D297" s="27">
        <f t="shared" si="22"/>
        <v>22</v>
      </c>
      <c r="E297" s="27">
        <f t="shared" si="23"/>
        <v>3</v>
      </c>
      <c r="F297" s="27">
        <f>VLOOKUP(E297,[1]t_calendarioPolitica!A:C,3,FALSE)</f>
        <v>1</v>
      </c>
      <c r="G297" s="1">
        <v>1</v>
      </c>
      <c r="H297" s="1">
        <v>1</v>
      </c>
      <c r="I297" s="1">
        <f t="shared" si="24"/>
        <v>1</v>
      </c>
    </row>
    <row r="298" spans="1:9" x14ac:dyDescent="0.3">
      <c r="A298" s="26">
        <v>45588</v>
      </c>
      <c r="B298" s="27">
        <f t="shared" si="20"/>
        <v>2024</v>
      </c>
      <c r="C298" s="27">
        <f t="shared" si="21"/>
        <v>10</v>
      </c>
      <c r="D298" s="27">
        <f t="shared" si="22"/>
        <v>23</v>
      </c>
      <c r="E298" s="27">
        <f t="shared" si="23"/>
        <v>4</v>
      </c>
      <c r="F298" s="27">
        <f>VLOOKUP(E298,[1]t_calendarioPolitica!A:C,3,FALSE)</f>
        <v>1</v>
      </c>
      <c r="G298" s="1">
        <v>1</v>
      </c>
      <c r="H298" s="1">
        <v>1</v>
      </c>
      <c r="I298" s="1">
        <f t="shared" si="24"/>
        <v>1</v>
      </c>
    </row>
    <row r="299" spans="1:9" x14ac:dyDescent="0.3">
      <c r="A299" s="26">
        <v>45589</v>
      </c>
      <c r="B299" s="27">
        <f t="shared" si="20"/>
        <v>2024</v>
      </c>
      <c r="C299" s="27">
        <f t="shared" si="21"/>
        <v>10</v>
      </c>
      <c r="D299" s="27">
        <f t="shared" si="22"/>
        <v>24</v>
      </c>
      <c r="E299" s="27">
        <f t="shared" si="23"/>
        <v>5</v>
      </c>
      <c r="F299" s="27">
        <f>VLOOKUP(E299,[1]t_calendarioPolitica!A:C,3,FALSE)</f>
        <v>1</v>
      </c>
      <c r="G299" s="1">
        <v>1</v>
      </c>
      <c r="H299" s="1">
        <v>1</v>
      </c>
      <c r="I299" s="1">
        <f t="shared" si="24"/>
        <v>1</v>
      </c>
    </row>
    <row r="300" spans="1:9" x14ac:dyDescent="0.3">
      <c r="A300" s="26">
        <v>45590</v>
      </c>
      <c r="B300" s="27">
        <f t="shared" si="20"/>
        <v>2024</v>
      </c>
      <c r="C300" s="27">
        <f t="shared" si="21"/>
        <v>10</v>
      </c>
      <c r="D300" s="27">
        <f t="shared" si="22"/>
        <v>25</v>
      </c>
      <c r="E300" s="27">
        <f t="shared" si="23"/>
        <v>6</v>
      </c>
      <c r="F300" s="27">
        <f>VLOOKUP(E300,[1]t_calendarioPolitica!A:C,3,FALSE)</f>
        <v>1</v>
      </c>
      <c r="G300" s="1">
        <v>1</v>
      </c>
      <c r="H300" s="1">
        <v>1</v>
      </c>
      <c r="I300" s="1">
        <f t="shared" si="24"/>
        <v>1</v>
      </c>
    </row>
    <row r="301" spans="1:9" x14ac:dyDescent="0.3">
      <c r="A301" s="26">
        <v>45591</v>
      </c>
      <c r="B301" s="27">
        <f t="shared" si="20"/>
        <v>2024</v>
      </c>
      <c r="C301" s="27">
        <f t="shared" si="21"/>
        <v>10</v>
      </c>
      <c r="D301" s="27">
        <f t="shared" si="22"/>
        <v>26</v>
      </c>
      <c r="E301" s="27">
        <f t="shared" si="23"/>
        <v>7</v>
      </c>
      <c r="F301" s="27">
        <f>VLOOKUP(E301,[1]t_calendarioPolitica!A:C,3,FALSE)</f>
        <v>2</v>
      </c>
      <c r="G301" s="1">
        <v>1</v>
      </c>
      <c r="H301" s="1">
        <v>1</v>
      </c>
      <c r="I301" s="1">
        <f t="shared" si="24"/>
        <v>1</v>
      </c>
    </row>
    <row r="302" spans="1:9" x14ac:dyDescent="0.3">
      <c r="A302" s="26">
        <v>45592</v>
      </c>
      <c r="B302" s="27">
        <f t="shared" si="20"/>
        <v>2024</v>
      </c>
      <c r="C302" s="27">
        <f t="shared" si="21"/>
        <v>10</v>
      </c>
      <c r="D302" s="27">
        <f t="shared" si="22"/>
        <v>27</v>
      </c>
      <c r="E302" s="27">
        <f t="shared" si="23"/>
        <v>1</v>
      </c>
      <c r="F302" s="27">
        <f>VLOOKUP(E302,[1]t_calendarioPolitica!A:C,3,FALSE)</f>
        <v>0</v>
      </c>
      <c r="G302" s="1">
        <v>1</v>
      </c>
      <c r="H302" s="1">
        <v>1</v>
      </c>
      <c r="I302" s="1">
        <f t="shared" si="24"/>
        <v>0</v>
      </c>
    </row>
    <row r="303" spans="1:9" x14ac:dyDescent="0.3">
      <c r="A303" s="26">
        <v>45593</v>
      </c>
      <c r="B303" s="27">
        <f t="shared" si="20"/>
        <v>2024</v>
      </c>
      <c r="C303" s="27">
        <f t="shared" si="21"/>
        <v>10</v>
      </c>
      <c r="D303" s="27">
        <f t="shared" si="22"/>
        <v>28</v>
      </c>
      <c r="E303" s="27">
        <f t="shared" si="23"/>
        <v>2</v>
      </c>
      <c r="F303" s="27">
        <f>VLOOKUP(E303,[1]t_calendarioPolitica!A:C,3,FALSE)</f>
        <v>1</v>
      </c>
      <c r="G303" s="1">
        <v>1</v>
      </c>
      <c r="H303" s="1">
        <v>1</v>
      </c>
      <c r="I303" s="1">
        <f t="shared" si="24"/>
        <v>1</v>
      </c>
    </row>
    <row r="304" spans="1:9" x14ac:dyDescent="0.3">
      <c r="A304" s="26">
        <v>45594</v>
      </c>
      <c r="B304" s="27">
        <f t="shared" si="20"/>
        <v>2024</v>
      </c>
      <c r="C304" s="27">
        <f t="shared" si="21"/>
        <v>10</v>
      </c>
      <c r="D304" s="27">
        <f t="shared" si="22"/>
        <v>29</v>
      </c>
      <c r="E304" s="27">
        <f t="shared" si="23"/>
        <v>3</v>
      </c>
      <c r="F304" s="27">
        <f>VLOOKUP(E304,[1]t_calendarioPolitica!A:C,3,FALSE)</f>
        <v>1</v>
      </c>
      <c r="G304" s="1">
        <v>1</v>
      </c>
      <c r="H304" s="1">
        <v>1</v>
      </c>
      <c r="I304" s="1">
        <f t="shared" si="24"/>
        <v>1</v>
      </c>
    </row>
    <row r="305" spans="1:9" x14ac:dyDescent="0.3">
      <c r="A305" s="26">
        <v>45595</v>
      </c>
      <c r="B305" s="27">
        <f t="shared" si="20"/>
        <v>2024</v>
      </c>
      <c r="C305" s="27">
        <f t="shared" si="21"/>
        <v>10</v>
      </c>
      <c r="D305" s="27">
        <f t="shared" si="22"/>
        <v>30</v>
      </c>
      <c r="E305" s="27">
        <f t="shared" si="23"/>
        <v>4</v>
      </c>
      <c r="F305" s="27">
        <f>VLOOKUP(E305,[1]t_calendarioPolitica!A:C,3,FALSE)</f>
        <v>1</v>
      </c>
      <c r="G305" s="1">
        <v>1</v>
      </c>
      <c r="H305" s="1">
        <v>1</v>
      </c>
      <c r="I305" s="1">
        <f t="shared" si="24"/>
        <v>1</v>
      </c>
    </row>
    <row r="306" spans="1:9" x14ac:dyDescent="0.3">
      <c r="A306" s="26">
        <v>45596</v>
      </c>
      <c r="B306" s="27">
        <f t="shared" si="20"/>
        <v>2024</v>
      </c>
      <c r="C306" s="27">
        <f t="shared" si="21"/>
        <v>10</v>
      </c>
      <c r="D306" s="27">
        <f t="shared" si="22"/>
        <v>31</v>
      </c>
      <c r="E306" s="27">
        <f t="shared" si="23"/>
        <v>5</v>
      </c>
      <c r="F306" s="27">
        <f>VLOOKUP(E306,[1]t_calendarioPolitica!A:C,3,FALSE)</f>
        <v>1</v>
      </c>
      <c r="G306" s="1">
        <v>1</v>
      </c>
      <c r="H306" s="1">
        <v>1</v>
      </c>
      <c r="I306" s="1">
        <f t="shared" si="24"/>
        <v>1</v>
      </c>
    </row>
    <row r="307" spans="1:9" x14ac:dyDescent="0.3">
      <c r="A307" s="26">
        <v>45597</v>
      </c>
      <c r="B307" s="27">
        <f t="shared" si="20"/>
        <v>2024</v>
      </c>
      <c r="C307" s="27">
        <f t="shared" si="21"/>
        <v>11</v>
      </c>
      <c r="D307" s="27">
        <f t="shared" si="22"/>
        <v>1</v>
      </c>
      <c r="E307" s="27">
        <f t="shared" si="23"/>
        <v>6</v>
      </c>
      <c r="F307" s="27">
        <f>VLOOKUP(E307,[1]t_calendarioPolitica!A:C,3,FALSE)</f>
        <v>1</v>
      </c>
      <c r="G307" s="1">
        <v>1</v>
      </c>
      <c r="H307" s="1">
        <v>1</v>
      </c>
      <c r="I307" s="1">
        <f t="shared" si="24"/>
        <v>1</v>
      </c>
    </row>
    <row r="308" spans="1:9" x14ac:dyDescent="0.3">
      <c r="A308" s="26">
        <v>45598</v>
      </c>
      <c r="B308" s="27">
        <f t="shared" si="20"/>
        <v>2024</v>
      </c>
      <c r="C308" s="27">
        <f t="shared" si="21"/>
        <v>11</v>
      </c>
      <c r="D308" s="27">
        <f t="shared" si="22"/>
        <v>2</v>
      </c>
      <c r="E308" s="27">
        <f t="shared" si="23"/>
        <v>7</v>
      </c>
      <c r="F308" s="27">
        <f>VLOOKUP(E308,[1]t_calendarioPolitica!A:C,3,FALSE)</f>
        <v>2</v>
      </c>
      <c r="G308" s="1">
        <v>1</v>
      </c>
      <c r="H308" s="1">
        <v>0</v>
      </c>
      <c r="I308" s="1">
        <f t="shared" si="24"/>
        <v>0</v>
      </c>
    </row>
    <row r="309" spans="1:9" x14ac:dyDescent="0.3">
      <c r="A309" s="26">
        <v>45599</v>
      </c>
      <c r="B309" s="27">
        <f t="shared" si="20"/>
        <v>2024</v>
      </c>
      <c r="C309" s="27">
        <f t="shared" si="21"/>
        <v>11</v>
      </c>
      <c r="D309" s="27">
        <f t="shared" si="22"/>
        <v>3</v>
      </c>
      <c r="E309" s="27">
        <f t="shared" si="23"/>
        <v>1</v>
      </c>
      <c r="F309" s="27">
        <f>VLOOKUP(E309,[1]t_calendarioPolitica!A:C,3,FALSE)</f>
        <v>0</v>
      </c>
      <c r="G309" s="1">
        <v>1</v>
      </c>
      <c r="H309" s="1">
        <v>1</v>
      </c>
      <c r="I309" s="1">
        <f t="shared" si="24"/>
        <v>0</v>
      </c>
    </row>
    <row r="310" spans="1:9" x14ac:dyDescent="0.3">
      <c r="A310" s="26">
        <v>45600</v>
      </c>
      <c r="B310" s="27">
        <f t="shared" si="20"/>
        <v>2024</v>
      </c>
      <c r="C310" s="27">
        <f t="shared" si="21"/>
        <v>11</v>
      </c>
      <c r="D310" s="27">
        <f t="shared" si="22"/>
        <v>4</v>
      </c>
      <c r="E310" s="27">
        <f t="shared" si="23"/>
        <v>2</v>
      </c>
      <c r="F310" s="27">
        <f>VLOOKUP(E310,[1]t_calendarioPolitica!A:C,3,FALSE)</f>
        <v>1</v>
      </c>
      <c r="G310" s="1">
        <v>1</v>
      </c>
      <c r="H310" s="1">
        <v>1</v>
      </c>
      <c r="I310" s="1">
        <f t="shared" si="24"/>
        <v>1</v>
      </c>
    </row>
    <row r="311" spans="1:9" x14ac:dyDescent="0.3">
      <c r="A311" s="26">
        <v>45601</v>
      </c>
      <c r="B311" s="27">
        <f t="shared" si="20"/>
        <v>2024</v>
      </c>
      <c r="C311" s="27">
        <f t="shared" si="21"/>
        <v>11</v>
      </c>
      <c r="D311" s="27">
        <f t="shared" si="22"/>
        <v>5</v>
      </c>
      <c r="E311" s="27">
        <f t="shared" si="23"/>
        <v>3</v>
      </c>
      <c r="F311" s="27">
        <f>VLOOKUP(E311,[1]t_calendarioPolitica!A:C,3,FALSE)</f>
        <v>1</v>
      </c>
      <c r="G311" s="1">
        <v>1</v>
      </c>
      <c r="H311" s="1">
        <v>1</v>
      </c>
      <c r="I311" s="1">
        <f t="shared" si="24"/>
        <v>1</v>
      </c>
    </row>
    <row r="312" spans="1:9" x14ac:dyDescent="0.3">
      <c r="A312" s="26">
        <v>45602</v>
      </c>
      <c r="B312" s="27">
        <f t="shared" si="20"/>
        <v>2024</v>
      </c>
      <c r="C312" s="27">
        <f t="shared" si="21"/>
        <v>11</v>
      </c>
      <c r="D312" s="27">
        <f t="shared" si="22"/>
        <v>6</v>
      </c>
      <c r="E312" s="27">
        <f t="shared" si="23"/>
        <v>4</v>
      </c>
      <c r="F312" s="27">
        <f>VLOOKUP(E312,[1]t_calendarioPolitica!A:C,3,FALSE)</f>
        <v>1</v>
      </c>
      <c r="G312" s="1">
        <v>1</v>
      </c>
      <c r="H312" s="1">
        <v>1</v>
      </c>
      <c r="I312" s="1">
        <f t="shared" si="24"/>
        <v>1</v>
      </c>
    </row>
    <row r="313" spans="1:9" x14ac:dyDescent="0.3">
      <c r="A313" s="26">
        <v>45603</v>
      </c>
      <c r="B313" s="27">
        <f t="shared" si="20"/>
        <v>2024</v>
      </c>
      <c r="C313" s="27">
        <f t="shared" si="21"/>
        <v>11</v>
      </c>
      <c r="D313" s="27">
        <f t="shared" si="22"/>
        <v>7</v>
      </c>
      <c r="E313" s="27">
        <f t="shared" si="23"/>
        <v>5</v>
      </c>
      <c r="F313" s="27">
        <f>VLOOKUP(E313,[1]t_calendarioPolitica!A:C,3,FALSE)</f>
        <v>1</v>
      </c>
      <c r="G313" s="1">
        <v>1</v>
      </c>
      <c r="H313" s="1">
        <v>1</v>
      </c>
      <c r="I313" s="1">
        <f t="shared" si="24"/>
        <v>1</v>
      </c>
    </row>
    <row r="314" spans="1:9" x14ac:dyDescent="0.3">
      <c r="A314" s="26">
        <v>45604</v>
      </c>
      <c r="B314" s="27">
        <f t="shared" si="20"/>
        <v>2024</v>
      </c>
      <c r="C314" s="27">
        <f t="shared" si="21"/>
        <v>11</v>
      </c>
      <c r="D314" s="27">
        <f t="shared" si="22"/>
        <v>8</v>
      </c>
      <c r="E314" s="27">
        <f t="shared" si="23"/>
        <v>6</v>
      </c>
      <c r="F314" s="27">
        <f>VLOOKUP(E314,[1]t_calendarioPolitica!A:C,3,FALSE)</f>
        <v>1</v>
      </c>
      <c r="G314" s="1">
        <v>1</v>
      </c>
      <c r="H314" s="1">
        <v>1</v>
      </c>
      <c r="I314" s="1">
        <f t="shared" si="24"/>
        <v>1</v>
      </c>
    </row>
    <row r="315" spans="1:9" x14ac:dyDescent="0.3">
      <c r="A315" s="26">
        <v>45605</v>
      </c>
      <c r="B315" s="27">
        <f t="shared" si="20"/>
        <v>2024</v>
      </c>
      <c r="C315" s="27">
        <f t="shared" si="21"/>
        <v>11</v>
      </c>
      <c r="D315" s="27">
        <f t="shared" si="22"/>
        <v>9</v>
      </c>
      <c r="E315" s="27">
        <f t="shared" si="23"/>
        <v>7</v>
      </c>
      <c r="F315" s="27">
        <f>VLOOKUP(E315,[1]t_calendarioPolitica!A:C,3,FALSE)</f>
        <v>2</v>
      </c>
      <c r="G315" s="1">
        <v>1</v>
      </c>
      <c r="H315" s="1">
        <v>1</v>
      </c>
      <c r="I315" s="1">
        <f t="shared" si="24"/>
        <v>1</v>
      </c>
    </row>
    <row r="316" spans="1:9" x14ac:dyDescent="0.3">
      <c r="A316" s="26">
        <v>45606</v>
      </c>
      <c r="B316" s="27">
        <f t="shared" si="20"/>
        <v>2024</v>
      </c>
      <c r="C316" s="27">
        <f t="shared" si="21"/>
        <v>11</v>
      </c>
      <c r="D316" s="27">
        <f t="shared" si="22"/>
        <v>10</v>
      </c>
      <c r="E316" s="27">
        <f t="shared" si="23"/>
        <v>1</v>
      </c>
      <c r="F316" s="27">
        <f>VLOOKUP(E316,[1]t_calendarioPolitica!A:C,3,FALSE)</f>
        <v>0</v>
      </c>
      <c r="G316" s="1">
        <v>1</v>
      </c>
      <c r="H316" s="1">
        <v>1</v>
      </c>
      <c r="I316" s="1">
        <f t="shared" si="24"/>
        <v>0</v>
      </c>
    </row>
    <row r="317" spans="1:9" x14ac:dyDescent="0.3">
      <c r="A317" s="26">
        <v>45607</v>
      </c>
      <c r="B317" s="27">
        <f t="shared" si="20"/>
        <v>2024</v>
      </c>
      <c r="C317" s="27">
        <f t="shared" si="21"/>
        <v>11</v>
      </c>
      <c r="D317" s="27">
        <f t="shared" si="22"/>
        <v>11</v>
      </c>
      <c r="E317" s="27">
        <f t="shared" si="23"/>
        <v>2</v>
      </c>
      <c r="F317" s="27">
        <f>VLOOKUP(E317,[1]t_calendarioPolitica!A:C,3,FALSE)</f>
        <v>1</v>
      </c>
      <c r="G317" s="1">
        <v>1</v>
      </c>
      <c r="H317" s="1">
        <v>1</v>
      </c>
      <c r="I317" s="1">
        <f t="shared" si="24"/>
        <v>1</v>
      </c>
    </row>
    <row r="318" spans="1:9" x14ac:dyDescent="0.3">
      <c r="A318" s="26">
        <v>45608</v>
      </c>
      <c r="B318" s="27">
        <f t="shared" si="20"/>
        <v>2024</v>
      </c>
      <c r="C318" s="27">
        <f t="shared" si="21"/>
        <v>11</v>
      </c>
      <c r="D318" s="27">
        <f t="shared" si="22"/>
        <v>12</v>
      </c>
      <c r="E318" s="27">
        <f t="shared" si="23"/>
        <v>3</v>
      </c>
      <c r="F318" s="27">
        <f>VLOOKUP(E318,[1]t_calendarioPolitica!A:C,3,FALSE)</f>
        <v>1</v>
      </c>
      <c r="G318" s="1">
        <v>1</v>
      </c>
      <c r="H318" s="1">
        <v>1</v>
      </c>
      <c r="I318" s="1">
        <f t="shared" si="24"/>
        <v>1</v>
      </c>
    </row>
    <row r="319" spans="1:9" x14ac:dyDescent="0.3">
      <c r="A319" s="26">
        <v>45609</v>
      </c>
      <c r="B319" s="27">
        <f t="shared" si="20"/>
        <v>2024</v>
      </c>
      <c r="C319" s="27">
        <f t="shared" si="21"/>
        <v>11</v>
      </c>
      <c r="D319" s="27">
        <f t="shared" si="22"/>
        <v>13</v>
      </c>
      <c r="E319" s="27">
        <f t="shared" si="23"/>
        <v>4</v>
      </c>
      <c r="F319" s="27">
        <f>VLOOKUP(E319,[1]t_calendarioPolitica!A:C,3,FALSE)</f>
        <v>1</v>
      </c>
      <c r="G319" s="1">
        <v>1</v>
      </c>
      <c r="H319" s="1">
        <v>1</v>
      </c>
      <c r="I319" s="1">
        <f t="shared" si="24"/>
        <v>1</v>
      </c>
    </row>
    <row r="320" spans="1:9" x14ac:dyDescent="0.3">
      <c r="A320" s="26">
        <v>45610</v>
      </c>
      <c r="B320" s="27">
        <f t="shared" si="20"/>
        <v>2024</v>
      </c>
      <c r="C320" s="27">
        <f t="shared" si="21"/>
        <v>11</v>
      </c>
      <c r="D320" s="27">
        <f t="shared" si="22"/>
        <v>14</v>
      </c>
      <c r="E320" s="27">
        <f t="shared" si="23"/>
        <v>5</v>
      </c>
      <c r="F320" s="27">
        <f>VLOOKUP(E320,[1]t_calendarioPolitica!A:C,3,FALSE)</f>
        <v>1</v>
      </c>
      <c r="G320" s="1">
        <v>1</v>
      </c>
      <c r="H320" s="1">
        <v>1</v>
      </c>
      <c r="I320" s="1">
        <f t="shared" si="24"/>
        <v>1</v>
      </c>
    </row>
    <row r="321" spans="1:9" x14ac:dyDescent="0.3">
      <c r="A321" s="26">
        <v>45611</v>
      </c>
      <c r="B321" s="27">
        <f t="shared" si="20"/>
        <v>2024</v>
      </c>
      <c r="C321" s="27">
        <f t="shared" si="21"/>
        <v>11</v>
      </c>
      <c r="D321" s="27">
        <f t="shared" si="22"/>
        <v>15</v>
      </c>
      <c r="E321" s="27">
        <f t="shared" si="23"/>
        <v>6</v>
      </c>
      <c r="F321" s="27">
        <f>VLOOKUP(E321,[1]t_calendarioPolitica!A:C,3,FALSE)</f>
        <v>1</v>
      </c>
      <c r="G321" s="1">
        <v>1</v>
      </c>
      <c r="H321" s="1">
        <v>1</v>
      </c>
      <c r="I321" s="1">
        <f t="shared" si="24"/>
        <v>1</v>
      </c>
    </row>
    <row r="322" spans="1:9" x14ac:dyDescent="0.3">
      <c r="A322" s="26">
        <v>45612</v>
      </c>
      <c r="B322" s="27">
        <f t="shared" si="20"/>
        <v>2024</v>
      </c>
      <c r="C322" s="27">
        <f t="shared" si="21"/>
        <v>11</v>
      </c>
      <c r="D322" s="27">
        <f t="shared" si="22"/>
        <v>16</v>
      </c>
      <c r="E322" s="27">
        <f t="shared" si="23"/>
        <v>7</v>
      </c>
      <c r="F322" s="27">
        <f>VLOOKUP(E322,[1]t_calendarioPolitica!A:C,3,FALSE)</f>
        <v>2</v>
      </c>
      <c r="G322" s="1">
        <v>1</v>
      </c>
      <c r="H322" s="1">
        <v>1</v>
      </c>
      <c r="I322" s="1">
        <f t="shared" si="24"/>
        <v>1</v>
      </c>
    </row>
    <row r="323" spans="1:9" x14ac:dyDescent="0.3">
      <c r="A323" s="26">
        <v>45613</v>
      </c>
      <c r="B323" s="27">
        <f t="shared" ref="B323:B386" si="25">YEAR(A323)</f>
        <v>2024</v>
      </c>
      <c r="C323" s="27">
        <f t="shared" ref="C323:C386" si="26">MONTH(A323)</f>
        <v>11</v>
      </c>
      <c r="D323" s="27">
        <f t="shared" ref="D323:D386" si="27">DAY(A323)</f>
        <v>17</v>
      </c>
      <c r="E323" s="27">
        <f t="shared" ref="E323:E386" si="28">WEEKDAY(A323)</f>
        <v>1</v>
      </c>
      <c r="F323" s="27">
        <f>VLOOKUP(E323,[1]t_calendarioPolitica!A:C,3,FALSE)</f>
        <v>0</v>
      </c>
      <c r="G323" s="1">
        <v>1</v>
      </c>
      <c r="H323" s="1">
        <v>1</v>
      </c>
      <c r="I323" s="1">
        <f t="shared" ref="I323:I386" si="29">IF(AND(F323&lt;&gt;0, H323&lt;&gt;0,G323&lt;&gt;0), 1, 0)</f>
        <v>0</v>
      </c>
    </row>
    <row r="324" spans="1:9" x14ac:dyDescent="0.3">
      <c r="A324" s="26">
        <v>45614</v>
      </c>
      <c r="B324" s="27">
        <f t="shared" si="25"/>
        <v>2024</v>
      </c>
      <c r="C324" s="27">
        <f t="shared" si="26"/>
        <v>11</v>
      </c>
      <c r="D324" s="27">
        <f t="shared" si="27"/>
        <v>18</v>
      </c>
      <c r="E324" s="27">
        <f t="shared" si="28"/>
        <v>2</v>
      </c>
      <c r="F324" s="27">
        <f>VLOOKUP(E324,[1]t_calendarioPolitica!A:C,3,FALSE)</f>
        <v>1</v>
      </c>
      <c r="G324" s="1">
        <v>1</v>
      </c>
      <c r="H324" s="1">
        <v>1</v>
      </c>
      <c r="I324" s="1">
        <f t="shared" si="29"/>
        <v>1</v>
      </c>
    </row>
    <row r="325" spans="1:9" x14ac:dyDescent="0.3">
      <c r="A325" s="26">
        <v>45615</v>
      </c>
      <c r="B325" s="27">
        <f t="shared" si="25"/>
        <v>2024</v>
      </c>
      <c r="C325" s="27">
        <f t="shared" si="26"/>
        <v>11</v>
      </c>
      <c r="D325" s="27">
        <f t="shared" si="27"/>
        <v>19</v>
      </c>
      <c r="E325" s="27">
        <f t="shared" si="28"/>
        <v>3</v>
      </c>
      <c r="F325" s="27">
        <f>VLOOKUP(E325,[1]t_calendarioPolitica!A:C,3,FALSE)</f>
        <v>1</v>
      </c>
      <c r="G325" s="1">
        <v>1</v>
      </c>
      <c r="H325" s="1">
        <v>1</v>
      </c>
      <c r="I325" s="1">
        <f t="shared" si="29"/>
        <v>1</v>
      </c>
    </row>
    <row r="326" spans="1:9" x14ac:dyDescent="0.3">
      <c r="A326" s="26">
        <v>45616</v>
      </c>
      <c r="B326" s="27">
        <f t="shared" si="25"/>
        <v>2024</v>
      </c>
      <c r="C326" s="27">
        <f t="shared" si="26"/>
        <v>11</v>
      </c>
      <c r="D326" s="27">
        <f t="shared" si="27"/>
        <v>20</v>
      </c>
      <c r="E326" s="27">
        <f t="shared" si="28"/>
        <v>4</v>
      </c>
      <c r="F326" s="27">
        <f>VLOOKUP(E326,[1]t_calendarioPolitica!A:C,3,FALSE)</f>
        <v>1</v>
      </c>
      <c r="G326" s="1">
        <v>1</v>
      </c>
      <c r="H326" s="1">
        <v>1</v>
      </c>
      <c r="I326" s="1">
        <f t="shared" si="29"/>
        <v>1</v>
      </c>
    </row>
    <row r="327" spans="1:9" x14ac:dyDescent="0.3">
      <c r="A327" s="26">
        <v>45617</v>
      </c>
      <c r="B327" s="27">
        <f t="shared" si="25"/>
        <v>2024</v>
      </c>
      <c r="C327" s="27">
        <f t="shared" si="26"/>
        <v>11</v>
      </c>
      <c r="D327" s="27">
        <f t="shared" si="27"/>
        <v>21</v>
      </c>
      <c r="E327" s="27">
        <f t="shared" si="28"/>
        <v>5</v>
      </c>
      <c r="F327" s="27">
        <f>VLOOKUP(E327,[1]t_calendarioPolitica!A:C,3,FALSE)</f>
        <v>1</v>
      </c>
      <c r="G327" s="1">
        <v>1</v>
      </c>
      <c r="H327" s="1">
        <v>1</v>
      </c>
      <c r="I327" s="1">
        <f t="shared" si="29"/>
        <v>1</v>
      </c>
    </row>
    <row r="328" spans="1:9" x14ac:dyDescent="0.3">
      <c r="A328" s="26">
        <v>45618</v>
      </c>
      <c r="B328" s="27">
        <f t="shared" si="25"/>
        <v>2024</v>
      </c>
      <c r="C328" s="27">
        <f t="shared" si="26"/>
        <v>11</v>
      </c>
      <c r="D328" s="27">
        <f t="shared" si="27"/>
        <v>22</v>
      </c>
      <c r="E328" s="27">
        <f t="shared" si="28"/>
        <v>6</v>
      </c>
      <c r="F328" s="27">
        <f>VLOOKUP(E328,[1]t_calendarioPolitica!A:C,3,FALSE)</f>
        <v>1</v>
      </c>
      <c r="G328" s="1">
        <v>1</v>
      </c>
      <c r="H328" s="1">
        <v>1</v>
      </c>
      <c r="I328" s="1">
        <f t="shared" si="29"/>
        <v>1</v>
      </c>
    </row>
    <row r="329" spans="1:9" x14ac:dyDescent="0.3">
      <c r="A329" s="26">
        <v>45619</v>
      </c>
      <c r="B329" s="27">
        <f t="shared" si="25"/>
        <v>2024</v>
      </c>
      <c r="C329" s="27">
        <f t="shared" si="26"/>
        <v>11</v>
      </c>
      <c r="D329" s="27">
        <f t="shared" si="27"/>
        <v>23</v>
      </c>
      <c r="E329" s="27">
        <f t="shared" si="28"/>
        <v>7</v>
      </c>
      <c r="F329" s="27">
        <f>VLOOKUP(E329,[1]t_calendarioPolitica!A:C,3,FALSE)</f>
        <v>2</v>
      </c>
      <c r="G329" s="1">
        <v>1</v>
      </c>
      <c r="H329" s="1">
        <v>1</v>
      </c>
      <c r="I329" s="1">
        <f t="shared" si="29"/>
        <v>1</v>
      </c>
    </row>
    <row r="330" spans="1:9" x14ac:dyDescent="0.3">
      <c r="A330" s="26">
        <v>45620</v>
      </c>
      <c r="B330" s="27">
        <f t="shared" si="25"/>
        <v>2024</v>
      </c>
      <c r="C330" s="27">
        <f t="shared" si="26"/>
        <v>11</v>
      </c>
      <c r="D330" s="27">
        <f t="shared" si="27"/>
        <v>24</v>
      </c>
      <c r="E330" s="27">
        <f t="shared" si="28"/>
        <v>1</v>
      </c>
      <c r="F330" s="27">
        <f>VLOOKUP(E330,[1]t_calendarioPolitica!A:C,3,FALSE)</f>
        <v>0</v>
      </c>
      <c r="G330" s="1">
        <v>1</v>
      </c>
      <c r="H330" s="1">
        <v>1</v>
      </c>
      <c r="I330" s="1">
        <f t="shared" si="29"/>
        <v>0</v>
      </c>
    </row>
    <row r="331" spans="1:9" x14ac:dyDescent="0.3">
      <c r="A331" s="26">
        <v>45621</v>
      </c>
      <c r="B331" s="27">
        <f t="shared" si="25"/>
        <v>2024</v>
      </c>
      <c r="C331" s="27">
        <f t="shared" si="26"/>
        <v>11</v>
      </c>
      <c r="D331" s="27">
        <f t="shared" si="27"/>
        <v>25</v>
      </c>
      <c r="E331" s="27">
        <f t="shared" si="28"/>
        <v>2</v>
      </c>
      <c r="F331" s="27">
        <f>VLOOKUP(E331,[1]t_calendarioPolitica!A:C,3,FALSE)</f>
        <v>1</v>
      </c>
      <c r="G331" s="1">
        <v>1</v>
      </c>
      <c r="H331" s="1">
        <v>1</v>
      </c>
      <c r="I331" s="1">
        <f t="shared" si="29"/>
        <v>1</v>
      </c>
    </row>
    <row r="332" spans="1:9" x14ac:dyDescent="0.3">
      <c r="A332" s="26">
        <v>45622</v>
      </c>
      <c r="B332" s="27">
        <f t="shared" si="25"/>
        <v>2024</v>
      </c>
      <c r="C332" s="27">
        <f t="shared" si="26"/>
        <v>11</v>
      </c>
      <c r="D332" s="27">
        <f t="shared" si="27"/>
        <v>26</v>
      </c>
      <c r="E332" s="27">
        <f t="shared" si="28"/>
        <v>3</v>
      </c>
      <c r="F332" s="27">
        <f>VLOOKUP(E332,[1]t_calendarioPolitica!A:C,3,FALSE)</f>
        <v>1</v>
      </c>
      <c r="G332" s="1">
        <v>1</v>
      </c>
      <c r="H332" s="1">
        <v>1</v>
      </c>
      <c r="I332" s="1">
        <f t="shared" si="29"/>
        <v>1</v>
      </c>
    </row>
    <row r="333" spans="1:9" x14ac:dyDescent="0.3">
      <c r="A333" s="26">
        <v>45623</v>
      </c>
      <c r="B333" s="27">
        <f t="shared" si="25"/>
        <v>2024</v>
      </c>
      <c r="C333" s="27">
        <f t="shared" si="26"/>
        <v>11</v>
      </c>
      <c r="D333" s="27">
        <f t="shared" si="27"/>
        <v>27</v>
      </c>
      <c r="E333" s="27">
        <f t="shared" si="28"/>
        <v>4</v>
      </c>
      <c r="F333" s="27">
        <f>VLOOKUP(E333,[1]t_calendarioPolitica!A:C,3,FALSE)</f>
        <v>1</v>
      </c>
      <c r="G333" s="1">
        <v>1</v>
      </c>
      <c r="H333" s="1">
        <v>1</v>
      </c>
      <c r="I333" s="1">
        <f t="shared" si="29"/>
        <v>1</v>
      </c>
    </row>
    <row r="334" spans="1:9" x14ac:dyDescent="0.3">
      <c r="A334" s="26">
        <v>45624</v>
      </c>
      <c r="B334" s="27">
        <f t="shared" si="25"/>
        <v>2024</v>
      </c>
      <c r="C334" s="27">
        <f t="shared" si="26"/>
        <v>11</v>
      </c>
      <c r="D334" s="27">
        <f t="shared" si="27"/>
        <v>28</v>
      </c>
      <c r="E334" s="27">
        <f t="shared" si="28"/>
        <v>5</v>
      </c>
      <c r="F334" s="27">
        <f>VLOOKUP(E334,[1]t_calendarioPolitica!A:C,3,FALSE)</f>
        <v>1</v>
      </c>
      <c r="G334" s="1">
        <v>1</v>
      </c>
      <c r="H334" s="1">
        <v>1</v>
      </c>
      <c r="I334" s="1">
        <f t="shared" si="29"/>
        <v>1</v>
      </c>
    </row>
    <row r="335" spans="1:9" x14ac:dyDescent="0.3">
      <c r="A335" s="26">
        <v>45625</v>
      </c>
      <c r="B335" s="27">
        <f t="shared" si="25"/>
        <v>2024</v>
      </c>
      <c r="C335" s="27">
        <f t="shared" si="26"/>
        <v>11</v>
      </c>
      <c r="D335" s="27">
        <f t="shared" si="27"/>
        <v>29</v>
      </c>
      <c r="E335" s="27">
        <f t="shared" si="28"/>
        <v>6</v>
      </c>
      <c r="F335" s="27">
        <f>VLOOKUP(E335,[1]t_calendarioPolitica!A:C,3,FALSE)</f>
        <v>1</v>
      </c>
      <c r="G335" s="1">
        <v>1</v>
      </c>
      <c r="H335" s="1">
        <v>1</v>
      </c>
      <c r="I335" s="1">
        <f t="shared" si="29"/>
        <v>1</v>
      </c>
    </row>
    <row r="336" spans="1:9" x14ac:dyDescent="0.3">
      <c r="A336" s="26">
        <v>45626</v>
      </c>
      <c r="B336" s="27">
        <f t="shared" si="25"/>
        <v>2024</v>
      </c>
      <c r="C336" s="27">
        <f t="shared" si="26"/>
        <v>11</v>
      </c>
      <c r="D336" s="27">
        <f t="shared" si="27"/>
        <v>30</v>
      </c>
      <c r="E336" s="27">
        <f t="shared" si="28"/>
        <v>7</v>
      </c>
      <c r="F336" s="27">
        <f>VLOOKUP(E336,[1]t_calendarioPolitica!A:C,3,FALSE)</f>
        <v>2</v>
      </c>
      <c r="G336" s="1">
        <v>1</v>
      </c>
      <c r="H336" s="1">
        <v>1</v>
      </c>
      <c r="I336" s="1">
        <f t="shared" si="29"/>
        <v>1</v>
      </c>
    </row>
    <row r="337" spans="1:9" x14ac:dyDescent="0.3">
      <c r="A337" s="26">
        <v>45627</v>
      </c>
      <c r="B337" s="27">
        <f t="shared" si="25"/>
        <v>2024</v>
      </c>
      <c r="C337" s="27">
        <f t="shared" si="26"/>
        <v>12</v>
      </c>
      <c r="D337" s="27">
        <f t="shared" si="27"/>
        <v>1</v>
      </c>
      <c r="E337" s="27">
        <f t="shared" si="28"/>
        <v>1</v>
      </c>
      <c r="F337" s="27">
        <f>VLOOKUP(E337,[1]t_calendarioPolitica!A:C,3,FALSE)</f>
        <v>0</v>
      </c>
      <c r="G337" s="1">
        <v>1</v>
      </c>
      <c r="H337" s="1">
        <v>1</v>
      </c>
      <c r="I337" s="1">
        <f t="shared" si="29"/>
        <v>0</v>
      </c>
    </row>
    <row r="338" spans="1:9" x14ac:dyDescent="0.3">
      <c r="A338" s="26">
        <v>45628</v>
      </c>
      <c r="B338" s="27">
        <f t="shared" si="25"/>
        <v>2024</v>
      </c>
      <c r="C338" s="27">
        <f t="shared" si="26"/>
        <v>12</v>
      </c>
      <c r="D338" s="27">
        <f t="shared" si="27"/>
        <v>2</v>
      </c>
      <c r="E338" s="27">
        <f t="shared" si="28"/>
        <v>2</v>
      </c>
      <c r="F338" s="27">
        <f>VLOOKUP(E338,[1]t_calendarioPolitica!A:C,3,FALSE)</f>
        <v>1</v>
      </c>
      <c r="G338" s="1">
        <v>1</v>
      </c>
      <c r="H338" s="1">
        <v>1</v>
      </c>
      <c r="I338" s="1">
        <f t="shared" si="29"/>
        <v>1</v>
      </c>
    </row>
    <row r="339" spans="1:9" x14ac:dyDescent="0.3">
      <c r="A339" s="26">
        <v>45629</v>
      </c>
      <c r="B339" s="27">
        <f t="shared" si="25"/>
        <v>2024</v>
      </c>
      <c r="C339" s="27">
        <f t="shared" si="26"/>
        <v>12</v>
      </c>
      <c r="D339" s="27">
        <f t="shared" si="27"/>
        <v>3</v>
      </c>
      <c r="E339" s="27">
        <f t="shared" si="28"/>
        <v>3</v>
      </c>
      <c r="F339" s="27">
        <f>VLOOKUP(E339,[1]t_calendarioPolitica!A:C,3,FALSE)</f>
        <v>1</v>
      </c>
      <c r="G339" s="1">
        <v>1</v>
      </c>
      <c r="H339" s="1">
        <v>1</v>
      </c>
      <c r="I339" s="1">
        <f t="shared" si="29"/>
        <v>1</v>
      </c>
    </row>
    <row r="340" spans="1:9" x14ac:dyDescent="0.3">
      <c r="A340" s="26">
        <v>45630</v>
      </c>
      <c r="B340" s="27">
        <f t="shared" si="25"/>
        <v>2024</v>
      </c>
      <c r="C340" s="27">
        <f t="shared" si="26"/>
        <v>12</v>
      </c>
      <c r="D340" s="27">
        <f t="shared" si="27"/>
        <v>4</v>
      </c>
      <c r="E340" s="27">
        <f t="shared" si="28"/>
        <v>4</v>
      </c>
      <c r="F340" s="27">
        <f>VLOOKUP(E340,[1]t_calendarioPolitica!A:C,3,FALSE)</f>
        <v>1</v>
      </c>
      <c r="G340" s="1">
        <v>1</v>
      </c>
      <c r="H340" s="1">
        <v>1</v>
      </c>
      <c r="I340" s="1">
        <f t="shared" si="29"/>
        <v>1</v>
      </c>
    </row>
    <row r="341" spans="1:9" x14ac:dyDescent="0.3">
      <c r="A341" s="26">
        <v>45631</v>
      </c>
      <c r="B341" s="27">
        <f t="shared" si="25"/>
        <v>2024</v>
      </c>
      <c r="C341" s="27">
        <f t="shared" si="26"/>
        <v>12</v>
      </c>
      <c r="D341" s="27">
        <f t="shared" si="27"/>
        <v>5</v>
      </c>
      <c r="E341" s="27">
        <f t="shared" si="28"/>
        <v>5</v>
      </c>
      <c r="F341" s="27">
        <f>VLOOKUP(E341,[1]t_calendarioPolitica!A:C,3,FALSE)</f>
        <v>1</v>
      </c>
      <c r="G341" s="1">
        <v>1</v>
      </c>
      <c r="H341" s="1">
        <v>1</v>
      </c>
      <c r="I341" s="1">
        <f t="shared" si="29"/>
        <v>1</v>
      </c>
    </row>
    <row r="342" spans="1:9" x14ac:dyDescent="0.3">
      <c r="A342" s="26">
        <v>45632</v>
      </c>
      <c r="B342" s="27">
        <f t="shared" si="25"/>
        <v>2024</v>
      </c>
      <c r="C342" s="27">
        <f t="shared" si="26"/>
        <v>12</v>
      </c>
      <c r="D342" s="27">
        <f t="shared" si="27"/>
        <v>6</v>
      </c>
      <c r="E342" s="27">
        <f t="shared" si="28"/>
        <v>6</v>
      </c>
      <c r="F342" s="27">
        <f>VLOOKUP(E342,[1]t_calendarioPolitica!A:C,3,FALSE)</f>
        <v>1</v>
      </c>
      <c r="G342" s="1">
        <v>1</v>
      </c>
      <c r="H342" s="1">
        <v>1</v>
      </c>
      <c r="I342" s="1">
        <f t="shared" si="29"/>
        <v>1</v>
      </c>
    </row>
    <row r="343" spans="1:9" x14ac:dyDescent="0.3">
      <c r="A343" s="26">
        <v>45633</v>
      </c>
      <c r="B343" s="27">
        <f t="shared" si="25"/>
        <v>2024</v>
      </c>
      <c r="C343" s="27">
        <f t="shared" si="26"/>
        <v>12</v>
      </c>
      <c r="D343" s="27">
        <f t="shared" si="27"/>
        <v>7</v>
      </c>
      <c r="E343" s="27">
        <f t="shared" si="28"/>
        <v>7</v>
      </c>
      <c r="F343" s="27">
        <f>VLOOKUP(E343,[1]t_calendarioPolitica!A:C,3,FALSE)</f>
        <v>2</v>
      </c>
      <c r="G343" s="1">
        <v>1</v>
      </c>
      <c r="H343" s="1">
        <v>1</v>
      </c>
      <c r="I343" s="1">
        <f t="shared" si="29"/>
        <v>1</v>
      </c>
    </row>
    <row r="344" spans="1:9" x14ac:dyDescent="0.3">
      <c r="A344" s="26">
        <v>45634</v>
      </c>
      <c r="B344" s="27">
        <f t="shared" si="25"/>
        <v>2024</v>
      </c>
      <c r="C344" s="27">
        <f t="shared" si="26"/>
        <v>12</v>
      </c>
      <c r="D344" s="27">
        <f t="shared" si="27"/>
        <v>8</v>
      </c>
      <c r="E344" s="27">
        <f t="shared" si="28"/>
        <v>1</v>
      </c>
      <c r="F344" s="27">
        <f>VLOOKUP(E344,[1]t_calendarioPolitica!A:C,3,FALSE)</f>
        <v>0</v>
      </c>
      <c r="G344" s="1">
        <v>1</v>
      </c>
      <c r="H344" s="1">
        <v>1</v>
      </c>
      <c r="I344" s="1">
        <f t="shared" si="29"/>
        <v>0</v>
      </c>
    </row>
    <row r="345" spans="1:9" x14ac:dyDescent="0.3">
      <c r="A345" s="26">
        <v>45635</v>
      </c>
      <c r="B345" s="27">
        <f t="shared" si="25"/>
        <v>2024</v>
      </c>
      <c r="C345" s="27">
        <f t="shared" si="26"/>
        <v>12</v>
      </c>
      <c r="D345" s="27">
        <f t="shared" si="27"/>
        <v>9</v>
      </c>
      <c r="E345" s="27">
        <f t="shared" si="28"/>
        <v>2</v>
      </c>
      <c r="F345" s="27">
        <f>VLOOKUP(E345,[1]t_calendarioPolitica!A:C,3,FALSE)</f>
        <v>1</v>
      </c>
      <c r="G345" s="1">
        <v>1</v>
      </c>
      <c r="H345" s="1">
        <v>1</v>
      </c>
      <c r="I345" s="1">
        <f t="shared" si="29"/>
        <v>1</v>
      </c>
    </row>
    <row r="346" spans="1:9" x14ac:dyDescent="0.3">
      <c r="A346" s="26">
        <v>45636</v>
      </c>
      <c r="B346" s="27">
        <f t="shared" si="25"/>
        <v>2024</v>
      </c>
      <c r="C346" s="27">
        <f t="shared" si="26"/>
        <v>12</v>
      </c>
      <c r="D346" s="27">
        <f t="shared" si="27"/>
        <v>10</v>
      </c>
      <c r="E346" s="27">
        <f t="shared" si="28"/>
        <v>3</v>
      </c>
      <c r="F346" s="27">
        <f>VLOOKUP(E346,[1]t_calendarioPolitica!A:C,3,FALSE)</f>
        <v>1</v>
      </c>
      <c r="G346" s="1">
        <v>1</v>
      </c>
      <c r="H346" s="1">
        <v>1</v>
      </c>
      <c r="I346" s="1">
        <f t="shared" si="29"/>
        <v>1</v>
      </c>
    </row>
    <row r="347" spans="1:9" x14ac:dyDescent="0.3">
      <c r="A347" s="26">
        <v>45637</v>
      </c>
      <c r="B347" s="27">
        <f t="shared" si="25"/>
        <v>2024</v>
      </c>
      <c r="C347" s="27">
        <f t="shared" si="26"/>
        <v>12</v>
      </c>
      <c r="D347" s="27">
        <f t="shared" si="27"/>
        <v>11</v>
      </c>
      <c r="E347" s="27">
        <f t="shared" si="28"/>
        <v>4</v>
      </c>
      <c r="F347" s="27">
        <f>VLOOKUP(E347,[1]t_calendarioPolitica!A:C,3,FALSE)</f>
        <v>1</v>
      </c>
      <c r="G347" s="1">
        <v>1</v>
      </c>
      <c r="H347" s="1">
        <v>1</v>
      </c>
      <c r="I347" s="1">
        <f t="shared" si="29"/>
        <v>1</v>
      </c>
    </row>
    <row r="348" spans="1:9" x14ac:dyDescent="0.3">
      <c r="A348" s="26">
        <v>45638</v>
      </c>
      <c r="B348" s="27">
        <f t="shared" si="25"/>
        <v>2024</v>
      </c>
      <c r="C348" s="27">
        <f t="shared" si="26"/>
        <v>12</v>
      </c>
      <c r="D348" s="27">
        <f t="shared" si="27"/>
        <v>12</v>
      </c>
      <c r="E348" s="27">
        <f t="shared" si="28"/>
        <v>5</v>
      </c>
      <c r="F348" s="27">
        <f>VLOOKUP(E348,[1]t_calendarioPolitica!A:C,3,FALSE)</f>
        <v>1</v>
      </c>
      <c r="G348" s="1">
        <v>1</v>
      </c>
      <c r="H348" s="1">
        <v>0</v>
      </c>
      <c r="I348" s="1">
        <f t="shared" si="29"/>
        <v>0</v>
      </c>
    </row>
    <row r="349" spans="1:9" x14ac:dyDescent="0.3">
      <c r="A349" s="26">
        <v>45639</v>
      </c>
      <c r="B349" s="27">
        <f t="shared" si="25"/>
        <v>2024</v>
      </c>
      <c r="C349" s="27">
        <f t="shared" si="26"/>
        <v>12</v>
      </c>
      <c r="D349" s="27">
        <f t="shared" si="27"/>
        <v>13</v>
      </c>
      <c r="E349" s="27">
        <f t="shared" si="28"/>
        <v>6</v>
      </c>
      <c r="F349" s="27">
        <f>VLOOKUP(E349,[1]t_calendarioPolitica!A:C,3,FALSE)</f>
        <v>1</v>
      </c>
      <c r="G349" s="1">
        <v>1</v>
      </c>
      <c r="H349" s="1">
        <v>1</v>
      </c>
      <c r="I349" s="1">
        <f t="shared" si="29"/>
        <v>1</v>
      </c>
    </row>
    <row r="350" spans="1:9" x14ac:dyDescent="0.3">
      <c r="A350" s="26">
        <v>45640</v>
      </c>
      <c r="B350" s="27">
        <f t="shared" si="25"/>
        <v>2024</v>
      </c>
      <c r="C350" s="27">
        <f t="shared" si="26"/>
        <v>12</v>
      </c>
      <c r="D350" s="27">
        <f t="shared" si="27"/>
        <v>14</v>
      </c>
      <c r="E350" s="27">
        <f t="shared" si="28"/>
        <v>7</v>
      </c>
      <c r="F350" s="27">
        <f>VLOOKUP(E350,[1]t_calendarioPolitica!A:C,3,FALSE)</f>
        <v>2</v>
      </c>
      <c r="G350" s="1">
        <v>1</v>
      </c>
      <c r="H350" s="1">
        <v>1</v>
      </c>
      <c r="I350" s="1">
        <f t="shared" si="29"/>
        <v>1</v>
      </c>
    </row>
    <row r="351" spans="1:9" x14ac:dyDescent="0.3">
      <c r="A351" s="26">
        <v>45641</v>
      </c>
      <c r="B351" s="27">
        <f t="shared" si="25"/>
        <v>2024</v>
      </c>
      <c r="C351" s="27">
        <f t="shared" si="26"/>
        <v>12</v>
      </c>
      <c r="D351" s="27">
        <f t="shared" si="27"/>
        <v>15</v>
      </c>
      <c r="E351" s="27">
        <f t="shared" si="28"/>
        <v>1</v>
      </c>
      <c r="F351" s="27">
        <f>VLOOKUP(E351,[1]t_calendarioPolitica!A:C,3,FALSE)</f>
        <v>0</v>
      </c>
      <c r="G351" s="1">
        <v>1</v>
      </c>
      <c r="H351" s="1">
        <v>1</v>
      </c>
      <c r="I351" s="1">
        <f t="shared" si="29"/>
        <v>0</v>
      </c>
    </row>
    <row r="352" spans="1:9" x14ac:dyDescent="0.3">
      <c r="A352" s="26">
        <v>45642</v>
      </c>
      <c r="B352" s="27">
        <f t="shared" si="25"/>
        <v>2024</v>
      </c>
      <c r="C352" s="27">
        <f t="shared" si="26"/>
        <v>12</v>
      </c>
      <c r="D352" s="27">
        <f t="shared" si="27"/>
        <v>16</v>
      </c>
      <c r="E352" s="27">
        <f t="shared" si="28"/>
        <v>2</v>
      </c>
      <c r="F352" s="27">
        <f>VLOOKUP(E352,[1]t_calendarioPolitica!A:C,3,FALSE)</f>
        <v>1</v>
      </c>
      <c r="G352" s="1">
        <v>1</v>
      </c>
      <c r="H352" s="1">
        <v>1</v>
      </c>
      <c r="I352" s="1">
        <f t="shared" si="29"/>
        <v>1</v>
      </c>
    </row>
    <row r="353" spans="1:9" x14ac:dyDescent="0.3">
      <c r="A353" s="26">
        <v>45643</v>
      </c>
      <c r="B353" s="27">
        <f t="shared" si="25"/>
        <v>2024</v>
      </c>
      <c r="C353" s="27">
        <f t="shared" si="26"/>
        <v>12</v>
      </c>
      <c r="D353" s="27">
        <f t="shared" si="27"/>
        <v>17</v>
      </c>
      <c r="E353" s="27">
        <f t="shared" si="28"/>
        <v>3</v>
      </c>
      <c r="F353" s="27">
        <f>VLOOKUP(E353,[1]t_calendarioPolitica!A:C,3,FALSE)</f>
        <v>1</v>
      </c>
      <c r="G353" s="1">
        <v>1</v>
      </c>
      <c r="H353" s="1">
        <v>1</v>
      </c>
      <c r="I353" s="1">
        <f t="shared" si="29"/>
        <v>1</v>
      </c>
    </row>
    <row r="354" spans="1:9" x14ac:dyDescent="0.3">
      <c r="A354" s="26">
        <v>45644</v>
      </c>
      <c r="B354" s="27">
        <f t="shared" si="25"/>
        <v>2024</v>
      </c>
      <c r="C354" s="27">
        <f t="shared" si="26"/>
        <v>12</v>
      </c>
      <c r="D354" s="27">
        <f t="shared" si="27"/>
        <v>18</v>
      </c>
      <c r="E354" s="27">
        <f t="shared" si="28"/>
        <v>4</v>
      </c>
      <c r="F354" s="27">
        <f>VLOOKUP(E354,[1]t_calendarioPolitica!A:C,3,FALSE)</f>
        <v>1</v>
      </c>
      <c r="G354" s="1">
        <v>1</v>
      </c>
      <c r="H354" s="1">
        <v>1</v>
      </c>
      <c r="I354" s="1">
        <f t="shared" si="29"/>
        <v>1</v>
      </c>
    </row>
    <row r="355" spans="1:9" x14ac:dyDescent="0.3">
      <c r="A355" s="26">
        <v>45645</v>
      </c>
      <c r="B355" s="27">
        <f t="shared" si="25"/>
        <v>2024</v>
      </c>
      <c r="C355" s="27">
        <f t="shared" si="26"/>
        <v>12</v>
      </c>
      <c r="D355" s="27">
        <f t="shared" si="27"/>
        <v>19</v>
      </c>
      <c r="E355" s="27">
        <f t="shared" si="28"/>
        <v>5</v>
      </c>
      <c r="F355" s="27">
        <f>VLOOKUP(E355,[1]t_calendarioPolitica!A:C,3,FALSE)</f>
        <v>1</v>
      </c>
      <c r="G355" s="1">
        <v>1</v>
      </c>
      <c r="H355" s="1">
        <v>1</v>
      </c>
      <c r="I355" s="1">
        <f t="shared" si="29"/>
        <v>1</v>
      </c>
    </row>
    <row r="356" spans="1:9" x14ac:dyDescent="0.3">
      <c r="A356" s="26">
        <v>45646</v>
      </c>
      <c r="B356" s="27">
        <f t="shared" si="25"/>
        <v>2024</v>
      </c>
      <c r="C356" s="27">
        <f t="shared" si="26"/>
        <v>12</v>
      </c>
      <c r="D356" s="27">
        <f t="shared" si="27"/>
        <v>20</v>
      </c>
      <c r="E356" s="27">
        <f t="shared" si="28"/>
        <v>6</v>
      </c>
      <c r="F356" s="27">
        <f>VLOOKUP(E356,[1]t_calendarioPolitica!A:C,3,FALSE)</f>
        <v>1</v>
      </c>
      <c r="G356" s="1">
        <v>1</v>
      </c>
      <c r="H356" s="1">
        <v>1</v>
      </c>
      <c r="I356" s="1">
        <f t="shared" si="29"/>
        <v>1</v>
      </c>
    </row>
    <row r="357" spans="1:9" x14ac:dyDescent="0.3">
      <c r="A357" s="26">
        <v>45647</v>
      </c>
      <c r="B357" s="27">
        <f t="shared" si="25"/>
        <v>2024</v>
      </c>
      <c r="C357" s="27">
        <f t="shared" si="26"/>
        <v>12</v>
      </c>
      <c r="D357" s="27">
        <f t="shared" si="27"/>
        <v>21</v>
      </c>
      <c r="E357" s="27">
        <f t="shared" si="28"/>
        <v>7</v>
      </c>
      <c r="F357" s="27">
        <f>VLOOKUP(E357,[1]t_calendarioPolitica!A:C,3,FALSE)</f>
        <v>2</v>
      </c>
      <c r="G357" s="1">
        <v>1</v>
      </c>
      <c r="H357" s="1">
        <v>1</v>
      </c>
      <c r="I357" s="1">
        <f t="shared" si="29"/>
        <v>1</v>
      </c>
    </row>
    <row r="358" spans="1:9" x14ac:dyDescent="0.3">
      <c r="A358" s="26">
        <v>45648</v>
      </c>
      <c r="B358" s="27">
        <f t="shared" si="25"/>
        <v>2024</v>
      </c>
      <c r="C358" s="27">
        <f t="shared" si="26"/>
        <v>12</v>
      </c>
      <c r="D358" s="27">
        <f t="shared" si="27"/>
        <v>22</v>
      </c>
      <c r="E358" s="27">
        <f t="shared" si="28"/>
        <v>1</v>
      </c>
      <c r="F358" s="27">
        <f>VLOOKUP(E358,[1]t_calendarioPolitica!A:C,3,FALSE)</f>
        <v>0</v>
      </c>
      <c r="G358" s="1">
        <v>1</v>
      </c>
      <c r="H358" s="1">
        <v>1</v>
      </c>
      <c r="I358" s="1">
        <f t="shared" si="29"/>
        <v>0</v>
      </c>
    </row>
    <row r="359" spans="1:9" x14ac:dyDescent="0.3">
      <c r="A359" s="26">
        <v>45649</v>
      </c>
      <c r="B359" s="27">
        <f t="shared" si="25"/>
        <v>2024</v>
      </c>
      <c r="C359" s="27">
        <f t="shared" si="26"/>
        <v>12</v>
      </c>
      <c r="D359" s="27">
        <f t="shared" si="27"/>
        <v>23</v>
      </c>
      <c r="E359" s="27">
        <f t="shared" si="28"/>
        <v>2</v>
      </c>
      <c r="F359" s="27">
        <f>VLOOKUP(E359,[1]t_calendarioPolitica!A:C,3,FALSE)</f>
        <v>1</v>
      </c>
      <c r="G359" s="1">
        <v>1</v>
      </c>
      <c r="H359" s="1">
        <v>1</v>
      </c>
      <c r="I359" s="1">
        <f t="shared" si="29"/>
        <v>1</v>
      </c>
    </row>
    <row r="360" spans="1:9" x14ac:dyDescent="0.3">
      <c r="A360" s="26">
        <v>45650</v>
      </c>
      <c r="B360" s="27">
        <f t="shared" si="25"/>
        <v>2024</v>
      </c>
      <c r="C360" s="27">
        <f t="shared" si="26"/>
        <v>12</v>
      </c>
      <c r="D360" s="27">
        <f t="shared" si="27"/>
        <v>24</v>
      </c>
      <c r="E360" s="27">
        <f t="shared" si="28"/>
        <v>3</v>
      </c>
      <c r="F360" s="27">
        <f>VLOOKUP(E360,[1]t_calendarioPolitica!A:C,3,FALSE)</f>
        <v>1</v>
      </c>
      <c r="G360" s="1">
        <v>1</v>
      </c>
      <c r="H360" s="1">
        <v>0</v>
      </c>
      <c r="I360" s="1">
        <f t="shared" si="29"/>
        <v>0</v>
      </c>
    </row>
    <row r="361" spans="1:9" x14ac:dyDescent="0.3">
      <c r="A361" s="26">
        <v>45651</v>
      </c>
      <c r="B361" s="27">
        <f t="shared" si="25"/>
        <v>2024</v>
      </c>
      <c r="C361" s="27">
        <f t="shared" si="26"/>
        <v>12</v>
      </c>
      <c r="D361" s="27">
        <f t="shared" si="27"/>
        <v>25</v>
      </c>
      <c r="E361" s="27">
        <f t="shared" si="28"/>
        <v>4</v>
      </c>
      <c r="F361" s="27">
        <f>VLOOKUP(E361,[1]t_calendarioPolitica!A:C,3,FALSE)</f>
        <v>1</v>
      </c>
      <c r="G361" s="1">
        <v>0</v>
      </c>
      <c r="H361" s="1">
        <v>0</v>
      </c>
      <c r="I361" s="1">
        <f t="shared" si="29"/>
        <v>0</v>
      </c>
    </row>
    <row r="362" spans="1:9" x14ac:dyDescent="0.3">
      <c r="A362" s="26">
        <v>45652</v>
      </c>
      <c r="B362" s="27">
        <f t="shared" si="25"/>
        <v>2024</v>
      </c>
      <c r="C362" s="27">
        <f t="shared" si="26"/>
        <v>12</v>
      </c>
      <c r="D362" s="27">
        <f t="shared" si="27"/>
        <v>26</v>
      </c>
      <c r="E362" s="27">
        <f t="shared" si="28"/>
        <v>5</v>
      </c>
      <c r="F362" s="27">
        <f>VLOOKUP(E362,[1]t_calendarioPolitica!A:C,3,FALSE)</f>
        <v>1</v>
      </c>
      <c r="G362" s="1">
        <v>1</v>
      </c>
      <c r="H362" s="1">
        <v>1</v>
      </c>
      <c r="I362" s="1">
        <f t="shared" si="29"/>
        <v>1</v>
      </c>
    </row>
    <row r="363" spans="1:9" x14ac:dyDescent="0.3">
      <c r="A363" s="26">
        <v>45653</v>
      </c>
      <c r="B363" s="27">
        <f t="shared" si="25"/>
        <v>2024</v>
      </c>
      <c r="C363" s="27">
        <f t="shared" si="26"/>
        <v>12</v>
      </c>
      <c r="D363" s="27">
        <f t="shared" si="27"/>
        <v>27</v>
      </c>
      <c r="E363" s="27">
        <f t="shared" si="28"/>
        <v>6</v>
      </c>
      <c r="F363" s="27">
        <f>VLOOKUP(E363,[1]t_calendarioPolitica!A:C,3,FALSE)</f>
        <v>1</v>
      </c>
      <c r="G363" s="1">
        <v>1</v>
      </c>
      <c r="H363" s="1">
        <v>1</v>
      </c>
      <c r="I363" s="1">
        <f t="shared" si="29"/>
        <v>1</v>
      </c>
    </row>
    <row r="364" spans="1:9" x14ac:dyDescent="0.3">
      <c r="A364" s="26">
        <v>45654</v>
      </c>
      <c r="B364" s="27">
        <f t="shared" si="25"/>
        <v>2024</v>
      </c>
      <c r="C364" s="27">
        <f t="shared" si="26"/>
        <v>12</v>
      </c>
      <c r="D364" s="27">
        <f t="shared" si="27"/>
        <v>28</v>
      </c>
      <c r="E364" s="27">
        <f t="shared" si="28"/>
        <v>7</v>
      </c>
      <c r="F364" s="27">
        <f>VLOOKUP(E364,[1]t_calendarioPolitica!A:C,3,FALSE)</f>
        <v>2</v>
      </c>
      <c r="G364" s="1">
        <v>1</v>
      </c>
      <c r="H364" s="1">
        <v>1</v>
      </c>
      <c r="I364" s="1">
        <f t="shared" si="29"/>
        <v>1</v>
      </c>
    </row>
    <row r="365" spans="1:9" x14ac:dyDescent="0.3">
      <c r="A365" s="26">
        <v>45655</v>
      </c>
      <c r="B365" s="27">
        <f t="shared" si="25"/>
        <v>2024</v>
      </c>
      <c r="C365" s="27">
        <f t="shared" si="26"/>
        <v>12</v>
      </c>
      <c r="D365" s="27">
        <f t="shared" si="27"/>
        <v>29</v>
      </c>
      <c r="E365" s="27">
        <f t="shared" si="28"/>
        <v>1</v>
      </c>
      <c r="F365" s="27">
        <f>VLOOKUP(E365,[1]t_calendarioPolitica!A:C,3,FALSE)</f>
        <v>0</v>
      </c>
      <c r="G365" s="1">
        <v>1</v>
      </c>
      <c r="H365" s="1">
        <v>1</v>
      </c>
      <c r="I365" s="1">
        <f t="shared" si="29"/>
        <v>0</v>
      </c>
    </row>
    <row r="366" spans="1:9" x14ac:dyDescent="0.3">
      <c r="A366" s="26">
        <v>45656</v>
      </c>
      <c r="B366" s="27">
        <f t="shared" si="25"/>
        <v>2024</v>
      </c>
      <c r="C366" s="27">
        <f t="shared" si="26"/>
        <v>12</v>
      </c>
      <c r="D366" s="27">
        <f t="shared" si="27"/>
        <v>30</v>
      </c>
      <c r="E366" s="27">
        <f t="shared" si="28"/>
        <v>2</v>
      </c>
      <c r="F366" s="27">
        <f>VLOOKUP(E366,[1]t_calendarioPolitica!A:C,3,FALSE)</f>
        <v>1</v>
      </c>
      <c r="G366" s="1">
        <v>1</v>
      </c>
      <c r="H366" s="1">
        <v>1</v>
      </c>
      <c r="I366" s="1">
        <f t="shared" si="29"/>
        <v>1</v>
      </c>
    </row>
    <row r="367" spans="1:9" x14ac:dyDescent="0.3">
      <c r="A367" s="26">
        <v>45657</v>
      </c>
      <c r="B367" s="27">
        <f t="shared" si="25"/>
        <v>2024</v>
      </c>
      <c r="C367" s="27">
        <f t="shared" si="26"/>
        <v>12</v>
      </c>
      <c r="D367" s="27">
        <f t="shared" si="27"/>
        <v>31</v>
      </c>
      <c r="E367" s="27">
        <f t="shared" si="28"/>
        <v>3</v>
      </c>
      <c r="F367" s="27">
        <f>VLOOKUP(E367,[1]t_calendarioPolitica!A:C,3,FALSE)</f>
        <v>1</v>
      </c>
      <c r="G367" s="1">
        <v>1</v>
      </c>
      <c r="H367" s="1">
        <v>0</v>
      </c>
      <c r="I367" s="1">
        <f t="shared" si="29"/>
        <v>0</v>
      </c>
    </row>
    <row r="368" spans="1:9" x14ac:dyDescent="0.3">
      <c r="A368" s="26">
        <v>45658</v>
      </c>
      <c r="B368" s="27">
        <f t="shared" si="25"/>
        <v>2025</v>
      </c>
      <c r="C368" s="27">
        <f t="shared" si="26"/>
        <v>1</v>
      </c>
      <c r="D368" s="27">
        <f t="shared" si="27"/>
        <v>1</v>
      </c>
      <c r="E368" s="27">
        <f t="shared" si="28"/>
        <v>4</v>
      </c>
      <c r="F368" s="27">
        <f>VLOOKUP(E368,[1]t_calendarioPolitica!A:C,3,FALSE)</f>
        <v>1</v>
      </c>
      <c r="G368" s="1">
        <v>0</v>
      </c>
      <c r="H368" s="1">
        <v>1</v>
      </c>
      <c r="I368" s="1">
        <f t="shared" si="29"/>
        <v>0</v>
      </c>
    </row>
    <row r="369" spans="1:9" x14ac:dyDescent="0.3">
      <c r="A369" s="26">
        <v>45659</v>
      </c>
      <c r="B369" s="27">
        <f t="shared" si="25"/>
        <v>2025</v>
      </c>
      <c r="C369" s="27">
        <f t="shared" si="26"/>
        <v>1</v>
      </c>
      <c r="D369" s="27">
        <f t="shared" si="27"/>
        <v>2</v>
      </c>
      <c r="E369" s="27">
        <f t="shared" si="28"/>
        <v>5</v>
      </c>
      <c r="F369" s="27">
        <f>VLOOKUP(E369,[1]t_calendarioPolitica!A:C,3,FALSE)</f>
        <v>1</v>
      </c>
      <c r="G369" s="1">
        <v>1</v>
      </c>
      <c r="H369" s="1">
        <v>1</v>
      </c>
      <c r="I369" s="1">
        <f t="shared" si="29"/>
        <v>1</v>
      </c>
    </row>
    <row r="370" spans="1:9" x14ac:dyDescent="0.3">
      <c r="A370" s="26">
        <v>45660</v>
      </c>
      <c r="B370" s="27">
        <f t="shared" si="25"/>
        <v>2025</v>
      </c>
      <c r="C370" s="27">
        <f t="shared" si="26"/>
        <v>1</v>
      </c>
      <c r="D370" s="27">
        <f t="shared" si="27"/>
        <v>3</v>
      </c>
      <c r="E370" s="27">
        <f t="shared" si="28"/>
        <v>6</v>
      </c>
      <c r="F370" s="27">
        <f>VLOOKUP(E370,[1]t_calendarioPolitica!A:C,3,FALSE)</f>
        <v>1</v>
      </c>
      <c r="G370" s="1">
        <v>1</v>
      </c>
      <c r="H370" s="1">
        <v>1</v>
      </c>
      <c r="I370" s="1">
        <f t="shared" si="29"/>
        <v>1</v>
      </c>
    </row>
    <row r="371" spans="1:9" x14ac:dyDescent="0.3">
      <c r="A371" s="26">
        <v>45661</v>
      </c>
      <c r="B371" s="27">
        <f t="shared" si="25"/>
        <v>2025</v>
      </c>
      <c r="C371" s="27">
        <f t="shared" si="26"/>
        <v>1</v>
      </c>
      <c r="D371" s="27">
        <f t="shared" si="27"/>
        <v>4</v>
      </c>
      <c r="E371" s="27">
        <f t="shared" si="28"/>
        <v>7</v>
      </c>
      <c r="F371" s="27">
        <f>VLOOKUP(E371,[1]t_calendarioPolitica!A:C,3,FALSE)</f>
        <v>2</v>
      </c>
      <c r="G371" s="1">
        <v>1</v>
      </c>
      <c r="H371" s="1">
        <v>1</v>
      </c>
      <c r="I371" s="1">
        <f t="shared" si="29"/>
        <v>1</v>
      </c>
    </row>
    <row r="372" spans="1:9" x14ac:dyDescent="0.3">
      <c r="A372" s="26">
        <v>45662</v>
      </c>
      <c r="B372" s="27">
        <f t="shared" si="25"/>
        <v>2025</v>
      </c>
      <c r="C372" s="27">
        <f t="shared" si="26"/>
        <v>1</v>
      </c>
      <c r="D372" s="27">
        <f t="shared" si="27"/>
        <v>5</v>
      </c>
      <c r="E372" s="27">
        <f t="shared" si="28"/>
        <v>1</v>
      </c>
      <c r="F372" s="27">
        <f>VLOOKUP(E372,[1]t_calendarioPolitica!A:C,3,FALSE)</f>
        <v>0</v>
      </c>
      <c r="G372" s="1">
        <v>1</v>
      </c>
      <c r="H372" s="1">
        <v>1</v>
      </c>
      <c r="I372" s="1">
        <f t="shared" si="29"/>
        <v>0</v>
      </c>
    </row>
    <row r="373" spans="1:9" x14ac:dyDescent="0.3">
      <c r="A373" s="26">
        <v>45663</v>
      </c>
      <c r="B373" s="27">
        <f t="shared" si="25"/>
        <v>2025</v>
      </c>
      <c r="C373" s="27">
        <f t="shared" si="26"/>
        <v>1</v>
      </c>
      <c r="D373" s="27">
        <f t="shared" si="27"/>
        <v>6</v>
      </c>
      <c r="E373" s="27">
        <f t="shared" si="28"/>
        <v>2</v>
      </c>
      <c r="F373" s="27">
        <f>VLOOKUP(E373,[1]t_calendarioPolitica!A:C,3,FALSE)</f>
        <v>1</v>
      </c>
      <c r="G373" s="1">
        <v>1</v>
      </c>
      <c r="H373" s="1">
        <v>1</v>
      </c>
      <c r="I373" s="1">
        <f t="shared" si="29"/>
        <v>1</v>
      </c>
    </row>
    <row r="374" spans="1:9" x14ac:dyDescent="0.3">
      <c r="A374" s="26">
        <v>45664</v>
      </c>
      <c r="B374" s="27">
        <f t="shared" si="25"/>
        <v>2025</v>
      </c>
      <c r="C374" s="27">
        <f t="shared" si="26"/>
        <v>1</v>
      </c>
      <c r="D374" s="27">
        <f t="shared" si="27"/>
        <v>7</v>
      </c>
      <c r="E374" s="27">
        <f t="shared" si="28"/>
        <v>3</v>
      </c>
      <c r="F374" s="27">
        <f>VLOOKUP(E374,[1]t_calendarioPolitica!A:C,3,FALSE)</f>
        <v>1</v>
      </c>
      <c r="G374" s="1">
        <v>1</v>
      </c>
      <c r="H374" s="1">
        <v>1</v>
      </c>
      <c r="I374" s="1">
        <f t="shared" si="29"/>
        <v>1</v>
      </c>
    </row>
    <row r="375" spans="1:9" x14ac:dyDescent="0.3">
      <c r="A375" s="26">
        <v>45665</v>
      </c>
      <c r="B375" s="27">
        <f t="shared" si="25"/>
        <v>2025</v>
      </c>
      <c r="C375" s="27">
        <f t="shared" si="26"/>
        <v>1</v>
      </c>
      <c r="D375" s="27">
        <f t="shared" si="27"/>
        <v>8</v>
      </c>
      <c r="E375" s="27">
        <f t="shared" si="28"/>
        <v>4</v>
      </c>
      <c r="F375" s="27">
        <f>VLOOKUP(E375,[1]t_calendarioPolitica!A:C,3,FALSE)</f>
        <v>1</v>
      </c>
      <c r="G375" s="1">
        <v>1</v>
      </c>
      <c r="H375" s="1">
        <v>1</v>
      </c>
      <c r="I375" s="1">
        <f t="shared" si="29"/>
        <v>1</v>
      </c>
    </row>
    <row r="376" spans="1:9" x14ac:dyDescent="0.3">
      <c r="A376" s="26">
        <v>45666</v>
      </c>
      <c r="B376" s="27">
        <f t="shared" si="25"/>
        <v>2025</v>
      </c>
      <c r="C376" s="27">
        <f t="shared" si="26"/>
        <v>1</v>
      </c>
      <c r="D376" s="27">
        <f t="shared" si="27"/>
        <v>9</v>
      </c>
      <c r="E376" s="27">
        <f t="shared" si="28"/>
        <v>5</v>
      </c>
      <c r="F376" s="27">
        <f>VLOOKUP(E376,[1]t_calendarioPolitica!A:C,3,FALSE)</f>
        <v>1</v>
      </c>
      <c r="G376" s="1">
        <v>1</v>
      </c>
      <c r="H376" s="1">
        <v>1</v>
      </c>
      <c r="I376" s="1">
        <f t="shared" si="29"/>
        <v>1</v>
      </c>
    </row>
    <row r="377" spans="1:9" x14ac:dyDescent="0.3">
      <c r="A377" s="26">
        <v>45667</v>
      </c>
      <c r="B377" s="27">
        <f t="shared" si="25"/>
        <v>2025</v>
      </c>
      <c r="C377" s="27">
        <f t="shared" si="26"/>
        <v>1</v>
      </c>
      <c r="D377" s="27">
        <f t="shared" si="27"/>
        <v>10</v>
      </c>
      <c r="E377" s="27">
        <f t="shared" si="28"/>
        <v>6</v>
      </c>
      <c r="F377" s="27">
        <f>VLOOKUP(E377,[1]t_calendarioPolitica!A:C,3,FALSE)</f>
        <v>1</v>
      </c>
      <c r="G377" s="1">
        <v>1</v>
      </c>
      <c r="H377" s="1">
        <v>1</v>
      </c>
      <c r="I377" s="1">
        <f t="shared" si="29"/>
        <v>1</v>
      </c>
    </row>
    <row r="378" spans="1:9" x14ac:dyDescent="0.3">
      <c r="A378" s="26">
        <v>45668</v>
      </c>
      <c r="B378" s="27">
        <f t="shared" si="25"/>
        <v>2025</v>
      </c>
      <c r="C378" s="27">
        <f t="shared" si="26"/>
        <v>1</v>
      </c>
      <c r="D378" s="27">
        <f t="shared" si="27"/>
        <v>11</v>
      </c>
      <c r="E378" s="27">
        <f t="shared" si="28"/>
        <v>7</v>
      </c>
      <c r="F378" s="27">
        <f>VLOOKUP(E378,[1]t_calendarioPolitica!A:C,3,FALSE)</f>
        <v>2</v>
      </c>
      <c r="G378" s="1">
        <v>1</v>
      </c>
      <c r="H378" s="1">
        <v>1</v>
      </c>
      <c r="I378" s="1">
        <f t="shared" si="29"/>
        <v>1</v>
      </c>
    </row>
    <row r="379" spans="1:9" x14ac:dyDescent="0.3">
      <c r="A379" s="26">
        <v>45669</v>
      </c>
      <c r="B379" s="27">
        <f t="shared" si="25"/>
        <v>2025</v>
      </c>
      <c r="C379" s="27">
        <f t="shared" si="26"/>
        <v>1</v>
      </c>
      <c r="D379" s="27">
        <f t="shared" si="27"/>
        <v>12</v>
      </c>
      <c r="E379" s="27">
        <f t="shared" si="28"/>
        <v>1</v>
      </c>
      <c r="F379" s="27">
        <f>VLOOKUP(E379,[1]t_calendarioPolitica!A:C,3,FALSE)</f>
        <v>0</v>
      </c>
      <c r="G379" s="1">
        <v>1</v>
      </c>
      <c r="H379" s="1">
        <v>1</v>
      </c>
      <c r="I379" s="1">
        <f t="shared" si="29"/>
        <v>0</v>
      </c>
    </row>
    <row r="380" spans="1:9" x14ac:dyDescent="0.3">
      <c r="A380" s="26">
        <v>45670</v>
      </c>
      <c r="B380" s="27">
        <f t="shared" si="25"/>
        <v>2025</v>
      </c>
      <c r="C380" s="27">
        <f t="shared" si="26"/>
        <v>1</v>
      </c>
      <c r="D380" s="27">
        <f t="shared" si="27"/>
        <v>13</v>
      </c>
      <c r="E380" s="27">
        <f t="shared" si="28"/>
        <v>2</v>
      </c>
      <c r="F380" s="27">
        <f>VLOOKUP(E380,[1]t_calendarioPolitica!A:C,3,FALSE)</f>
        <v>1</v>
      </c>
      <c r="G380" s="1">
        <v>1</v>
      </c>
      <c r="H380" s="1">
        <v>1</v>
      </c>
      <c r="I380" s="1">
        <f t="shared" si="29"/>
        <v>1</v>
      </c>
    </row>
    <row r="381" spans="1:9" x14ac:dyDescent="0.3">
      <c r="A381" s="26">
        <v>45671</v>
      </c>
      <c r="B381" s="27">
        <f t="shared" si="25"/>
        <v>2025</v>
      </c>
      <c r="C381" s="27">
        <f t="shared" si="26"/>
        <v>1</v>
      </c>
      <c r="D381" s="27">
        <f t="shared" si="27"/>
        <v>14</v>
      </c>
      <c r="E381" s="27">
        <f t="shared" si="28"/>
        <v>3</v>
      </c>
      <c r="F381" s="27">
        <f>VLOOKUP(E381,[1]t_calendarioPolitica!A:C,3,FALSE)</f>
        <v>1</v>
      </c>
      <c r="G381" s="1">
        <v>1</v>
      </c>
      <c r="H381" s="1">
        <v>1</v>
      </c>
      <c r="I381" s="1">
        <f t="shared" si="29"/>
        <v>1</v>
      </c>
    </row>
    <row r="382" spans="1:9" x14ac:dyDescent="0.3">
      <c r="A382" s="26">
        <v>45672</v>
      </c>
      <c r="B382" s="27">
        <f t="shared" si="25"/>
        <v>2025</v>
      </c>
      <c r="C382" s="27">
        <f t="shared" si="26"/>
        <v>1</v>
      </c>
      <c r="D382" s="27">
        <f t="shared" si="27"/>
        <v>15</v>
      </c>
      <c r="E382" s="27">
        <f t="shared" si="28"/>
        <v>4</v>
      </c>
      <c r="F382" s="27">
        <f>VLOOKUP(E382,[1]t_calendarioPolitica!A:C,3,FALSE)</f>
        <v>1</v>
      </c>
      <c r="G382" s="1">
        <v>1</v>
      </c>
      <c r="H382" s="1">
        <v>1</v>
      </c>
      <c r="I382" s="1">
        <f t="shared" si="29"/>
        <v>1</v>
      </c>
    </row>
    <row r="383" spans="1:9" x14ac:dyDescent="0.3">
      <c r="A383" s="26">
        <v>45673</v>
      </c>
      <c r="B383" s="27">
        <f t="shared" si="25"/>
        <v>2025</v>
      </c>
      <c r="C383" s="27">
        <f t="shared" si="26"/>
        <v>1</v>
      </c>
      <c r="D383" s="27">
        <f t="shared" si="27"/>
        <v>16</v>
      </c>
      <c r="E383" s="27">
        <f t="shared" si="28"/>
        <v>5</v>
      </c>
      <c r="F383" s="27">
        <f>VLOOKUP(E383,[1]t_calendarioPolitica!A:C,3,FALSE)</f>
        <v>1</v>
      </c>
      <c r="G383" s="1">
        <v>1</v>
      </c>
      <c r="H383" s="1">
        <v>1</v>
      </c>
      <c r="I383" s="1">
        <f t="shared" si="29"/>
        <v>1</v>
      </c>
    </row>
    <row r="384" spans="1:9" x14ac:dyDescent="0.3">
      <c r="A384" s="26">
        <v>45674</v>
      </c>
      <c r="B384" s="27">
        <f t="shared" si="25"/>
        <v>2025</v>
      </c>
      <c r="C384" s="27">
        <f t="shared" si="26"/>
        <v>1</v>
      </c>
      <c r="D384" s="27">
        <f t="shared" si="27"/>
        <v>17</v>
      </c>
      <c r="E384" s="27">
        <f t="shared" si="28"/>
        <v>6</v>
      </c>
      <c r="F384" s="27">
        <f>VLOOKUP(E384,[1]t_calendarioPolitica!A:C,3,FALSE)</f>
        <v>1</v>
      </c>
      <c r="G384" s="1">
        <v>1</v>
      </c>
      <c r="H384" s="1">
        <v>1</v>
      </c>
      <c r="I384" s="1">
        <f t="shared" si="29"/>
        <v>1</v>
      </c>
    </row>
    <row r="385" spans="1:9" x14ac:dyDescent="0.3">
      <c r="A385" s="26">
        <v>45675</v>
      </c>
      <c r="B385" s="27">
        <f t="shared" si="25"/>
        <v>2025</v>
      </c>
      <c r="C385" s="27">
        <f t="shared" si="26"/>
        <v>1</v>
      </c>
      <c r="D385" s="27">
        <f t="shared" si="27"/>
        <v>18</v>
      </c>
      <c r="E385" s="27">
        <f t="shared" si="28"/>
        <v>7</v>
      </c>
      <c r="F385" s="27">
        <f>VLOOKUP(E385,[1]t_calendarioPolitica!A:C,3,FALSE)</f>
        <v>2</v>
      </c>
      <c r="G385" s="1">
        <v>1</v>
      </c>
      <c r="H385" s="1">
        <v>1</v>
      </c>
      <c r="I385" s="1">
        <f t="shared" si="29"/>
        <v>1</v>
      </c>
    </row>
    <row r="386" spans="1:9" x14ac:dyDescent="0.3">
      <c r="A386" s="26">
        <v>45676</v>
      </c>
      <c r="B386" s="27">
        <f t="shared" si="25"/>
        <v>2025</v>
      </c>
      <c r="C386" s="27">
        <f t="shared" si="26"/>
        <v>1</v>
      </c>
      <c r="D386" s="27">
        <f t="shared" si="27"/>
        <v>19</v>
      </c>
      <c r="E386" s="27">
        <f t="shared" si="28"/>
        <v>1</v>
      </c>
      <c r="F386" s="27">
        <f>VLOOKUP(E386,[1]t_calendarioPolitica!A:C,3,FALSE)</f>
        <v>0</v>
      </c>
      <c r="G386" s="1">
        <v>1</v>
      </c>
      <c r="H386" s="1">
        <v>1</v>
      </c>
      <c r="I386" s="1">
        <f t="shared" si="29"/>
        <v>0</v>
      </c>
    </row>
    <row r="387" spans="1:9" x14ac:dyDescent="0.3">
      <c r="A387" s="26">
        <v>45677</v>
      </c>
      <c r="B387" s="27">
        <f t="shared" ref="B387:B450" si="30">YEAR(A387)</f>
        <v>2025</v>
      </c>
      <c r="C387" s="27">
        <f t="shared" ref="C387:C450" si="31">MONTH(A387)</f>
        <v>1</v>
      </c>
      <c r="D387" s="27">
        <f t="shared" ref="D387:D450" si="32">DAY(A387)</f>
        <v>20</v>
      </c>
      <c r="E387" s="27">
        <f t="shared" ref="E387:E450" si="33">WEEKDAY(A387)</f>
        <v>2</v>
      </c>
      <c r="F387" s="27">
        <f>VLOOKUP(E387,[1]t_calendarioPolitica!A:C,3,FALSE)</f>
        <v>1</v>
      </c>
      <c r="G387" s="1">
        <v>1</v>
      </c>
      <c r="H387" s="1">
        <v>1</v>
      </c>
      <c r="I387" s="1">
        <f t="shared" ref="I387:I450" si="34">IF(AND(F387&lt;&gt;0, H387&lt;&gt;0,G387&lt;&gt;0), 1, 0)</f>
        <v>1</v>
      </c>
    </row>
    <row r="388" spans="1:9" x14ac:dyDescent="0.3">
      <c r="A388" s="26">
        <v>45678</v>
      </c>
      <c r="B388" s="27">
        <f t="shared" si="30"/>
        <v>2025</v>
      </c>
      <c r="C388" s="27">
        <f t="shared" si="31"/>
        <v>1</v>
      </c>
      <c r="D388" s="27">
        <f t="shared" si="32"/>
        <v>21</v>
      </c>
      <c r="E388" s="27">
        <f t="shared" si="33"/>
        <v>3</v>
      </c>
      <c r="F388" s="27">
        <f>VLOOKUP(E388,[1]t_calendarioPolitica!A:C,3,FALSE)</f>
        <v>1</v>
      </c>
      <c r="G388" s="1">
        <v>1</v>
      </c>
      <c r="H388" s="1">
        <v>1</v>
      </c>
      <c r="I388" s="1">
        <f t="shared" si="34"/>
        <v>1</v>
      </c>
    </row>
    <row r="389" spans="1:9" x14ac:dyDescent="0.3">
      <c r="A389" s="26">
        <v>45679</v>
      </c>
      <c r="B389" s="27">
        <f t="shared" si="30"/>
        <v>2025</v>
      </c>
      <c r="C389" s="27">
        <f t="shared" si="31"/>
        <v>1</v>
      </c>
      <c r="D389" s="27">
        <f t="shared" si="32"/>
        <v>22</v>
      </c>
      <c r="E389" s="27">
        <f t="shared" si="33"/>
        <v>4</v>
      </c>
      <c r="F389" s="27">
        <f>VLOOKUP(E389,[1]t_calendarioPolitica!A:C,3,FALSE)</f>
        <v>1</v>
      </c>
      <c r="G389" s="1">
        <v>1</v>
      </c>
      <c r="H389" s="1">
        <v>1</v>
      </c>
      <c r="I389" s="1">
        <f t="shared" si="34"/>
        <v>1</v>
      </c>
    </row>
    <row r="390" spans="1:9" x14ac:dyDescent="0.3">
      <c r="A390" s="26">
        <v>45680</v>
      </c>
      <c r="B390" s="27">
        <f t="shared" si="30"/>
        <v>2025</v>
      </c>
      <c r="C390" s="27">
        <f t="shared" si="31"/>
        <v>1</v>
      </c>
      <c r="D390" s="27">
        <f t="shared" si="32"/>
        <v>23</v>
      </c>
      <c r="E390" s="27">
        <f t="shared" si="33"/>
        <v>5</v>
      </c>
      <c r="F390" s="27">
        <f>VLOOKUP(E390,[1]t_calendarioPolitica!A:C,3,FALSE)</f>
        <v>1</v>
      </c>
      <c r="G390" s="1">
        <v>1</v>
      </c>
      <c r="H390" s="1">
        <v>1</v>
      </c>
      <c r="I390" s="1">
        <f t="shared" si="34"/>
        <v>1</v>
      </c>
    </row>
    <row r="391" spans="1:9" x14ac:dyDescent="0.3">
      <c r="A391" s="26">
        <v>45681</v>
      </c>
      <c r="B391" s="27">
        <f t="shared" si="30"/>
        <v>2025</v>
      </c>
      <c r="C391" s="27">
        <f t="shared" si="31"/>
        <v>1</v>
      </c>
      <c r="D391" s="27">
        <f t="shared" si="32"/>
        <v>24</v>
      </c>
      <c r="E391" s="27">
        <f t="shared" si="33"/>
        <v>6</v>
      </c>
      <c r="F391" s="27">
        <f>VLOOKUP(E391,[1]t_calendarioPolitica!A:C,3,FALSE)</f>
        <v>1</v>
      </c>
      <c r="G391" s="1">
        <v>1</v>
      </c>
      <c r="H391" s="1">
        <v>1</v>
      </c>
      <c r="I391" s="1">
        <f t="shared" si="34"/>
        <v>1</v>
      </c>
    </row>
    <row r="392" spans="1:9" x14ac:dyDescent="0.3">
      <c r="A392" s="26">
        <v>45682</v>
      </c>
      <c r="B392" s="27">
        <f t="shared" si="30"/>
        <v>2025</v>
      </c>
      <c r="C392" s="27">
        <f t="shared" si="31"/>
        <v>1</v>
      </c>
      <c r="D392" s="27">
        <f t="shared" si="32"/>
        <v>25</v>
      </c>
      <c r="E392" s="27">
        <f t="shared" si="33"/>
        <v>7</v>
      </c>
      <c r="F392" s="27">
        <f>VLOOKUP(E392,[1]t_calendarioPolitica!A:C,3,FALSE)</f>
        <v>2</v>
      </c>
      <c r="G392" s="1">
        <v>1</v>
      </c>
      <c r="H392" s="1">
        <v>1</v>
      </c>
      <c r="I392" s="1">
        <f t="shared" si="34"/>
        <v>1</v>
      </c>
    </row>
    <row r="393" spans="1:9" x14ac:dyDescent="0.3">
      <c r="A393" s="26">
        <v>45683</v>
      </c>
      <c r="B393" s="27">
        <f t="shared" si="30"/>
        <v>2025</v>
      </c>
      <c r="C393" s="27">
        <f t="shared" si="31"/>
        <v>1</v>
      </c>
      <c r="D393" s="27">
        <f t="shared" si="32"/>
        <v>26</v>
      </c>
      <c r="E393" s="27">
        <f t="shared" si="33"/>
        <v>1</v>
      </c>
      <c r="F393" s="27">
        <f>VLOOKUP(E393,[1]t_calendarioPolitica!A:C,3,FALSE)</f>
        <v>0</v>
      </c>
      <c r="G393" s="1">
        <v>1</v>
      </c>
      <c r="H393" s="1">
        <v>1</v>
      </c>
      <c r="I393" s="1">
        <f t="shared" si="34"/>
        <v>0</v>
      </c>
    </row>
    <row r="394" spans="1:9" x14ac:dyDescent="0.3">
      <c r="A394" s="26">
        <v>45684</v>
      </c>
      <c r="B394" s="27">
        <f t="shared" si="30"/>
        <v>2025</v>
      </c>
      <c r="C394" s="27">
        <f t="shared" si="31"/>
        <v>1</v>
      </c>
      <c r="D394" s="27">
        <f t="shared" si="32"/>
        <v>27</v>
      </c>
      <c r="E394" s="27">
        <f t="shared" si="33"/>
        <v>2</v>
      </c>
      <c r="F394" s="27">
        <f>VLOOKUP(E394,[1]t_calendarioPolitica!A:C,3,FALSE)</f>
        <v>1</v>
      </c>
      <c r="G394" s="1">
        <v>1</v>
      </c>
      <c r="H394" s="1">
        <v>1</v>
      </c>
      <c r="I394" s="1">
        <f t="shared" si="34"/>
        <v>1</v>
      </c>
    </row>
    <row r="395" spans="1:9" x14ac:dyDescent="0.3">
      <c r="A395" s="26">
        <v>45685</v>
      </c>
      <c r="B395" s="27">
        <f t="shared" si="30"/>
        <v>2025</v>
      </c>
      <c r="C395" s="27">
        <f t="shared" si="31"/>
        <v>1</v>
      </c>
      <c r="D395" s="27">
        <f t="shared" si="32"/>
        <v>28</v>
      </c>
      <c r="E395" s="27">
        <f t="shared" si="33"/>
        <v>3</v>
      </c>
      <c r="F395" s="27">
        <f>VLOOKUP(E395,[1]t_calendarioPolitica!A:C,3,FALSE)</f>
        <v>1</v>
      </c>
      <c r="G395" s="1">
        <v>1</v>
      </c>
      <c r="H395" s="1">
        <v>1</v>
      </c>
      <c r="I395" s="1">
        <f t="shared" si="34"/>
        <v>1</v>
      </c>
    </row>
    <row r="396" spans="1:9" x14ac:dyDescent="0.3">
      <c r="A396" s="26">
        <v>45686</v>
      </c>
      <c r="B396" s="27">
        <f t="shared" si="30"/>
        <v>2025</v>
      </c>
      <c r="C396" s="27">
        <f t="shared" si="31"/>
        <v>1</v>
      </c>
      <c r="D396" s="27">
        <f t="shared" si="32"/>
        <v>29</v>
      </c>
      <c r="E396" s="27">
        <f t="shared" si="33"/>
        <v>4</v>
      </c>
      <c r="F396" s="27">
        <f>VLOOKUP(E396,[1]t_calendarioPolitica!A:C,3,FALSE)</f>
        <v>1</v>
      </c>
      <c r="G396" s="1">
        <v>1</v>
      </c>
      <c r="H396" s="1">
        <v>1</v>
      </c>
      <c r="I396" s="1">
        <f t="shared" si="34"/>
        <v>1</v>
      </c>
    </row>
    <row r="397" spans="1:9" x14ac:dyDescent="0.3">
      <c r="A397" s="26">
        <v>45687</v>
      </c>
      <c r="B397" s="27">
        <f t="shared" si="30"/>
        <v>2025</v>
      </c>
      <c r="C397" s="27">
        <f t="shared" si="31"/>
        <v>1</v>
      </c>
      <c r="D397" s="27">
        <f t="shared" si="32"/>
        <v>30</v>
      </c>
      <c r="E397" s="27">
        <f t="shared" si="33"/>
        <v>5</v>
      </c>
      <c r="F397" s="27">
        <f>VLOOKUP(E397,[1]t_calendarioPolitica!A:C,3,FALSE)</f>
        <v>1</v>
      </c>
      <c r="G397" s="1">
        <v>1</v>
      </c>
      <c r="H397" s="1">
        <v>1</v>
      </c>
      <c r="I397" s="1">
        <f t="shared" si="34"/>
        <v>1</v>
      </c>
    </row>
    <row r="398" spans="1:9" x14ac:dyDescent="0.3">
      <c r="A398" s="26">
        <v>45688</v>
      </c>
      <c r="B398" s="27">
        <f t="shared" si="30"/>
        <v>2025</v>
      </c>
      <c r="C398" s="27">
        <f t="shared" si="31"/>
        <v>1</v>
      </c>
      <c r="D398" s="27">
        <f t="shared" si="32"/>
        <v>31</v>
      </c>
      <c r="E398" s="27">
        <f t="shared" si="33"/>
        <v>6</v>
      </c>
      <c r="F398" s="27">
        <f>VLOOKUP(E398,[1]t_calendarioPolitica!A:C,3,FALSE)</f>
        <v>1</v>
      </c>
      <c r="G398" s="1">
        <v>1</v>
      </c>
      <c r="H398" s="1">
        <v>1</v>
      </c>
      <c r="I398" s="1">
        <f t="shared" si="34"/>
        <v>1</v>
      </c>
    </row>
    <row r="399" spans="1:9" x14ac:dyDescent="0.3">
      <c r="A399" s="26">
        <v>45689</v>
      </c>
      <c r="B399" s="27">
        <f t="shared" si="30"/>
        <v>2025</v>
      </c>
      <c r="C399" s="27">
        <f t="shared" si="31"/>
        <v>2</v>
      </c>
      <c r="D399" s="27">
        <f t="shared" si="32"/>
        <v>1</v>
      </c>
      <c r="E399" s="27">
        <f t="shared" si="33"/>
        <v>7</v>
      </c>
      <c r="F399" s="27">
        <f>VLOOKUP(E399,[1]t_calendarioPolitica!A:C,3,FALSE)</f>
        <v>2</v>
      </c>
      <c r="G399" s="1">
        <v>1</v>
      </c>
      <c r="H399" s="1">
        <v>1</v>
      </c>
      <c r="I399" s="1">
        <f t="shared" si="34"/>
        <v>1</v>
      </c>
    </row>
    <row r="400" spans="1:9" x14ac:dyDescent="0.3">
      <c r="A400" s="26">
        <v>45690</v>
      </c>
      <c r="B400" s="27">
        <f t="shared" si="30"/>
        <v>2025</v>
      </c>
      <c r="C400" s="27">
        <f t="shared" si="31"/>
        <v>2</v>
      </c>
      <c r="D400" s="27">
        <f t="shared" si="32"/>
        <v>2</v>
      </c>
      <c r="E400" s="27">
        <f t="shared" si="33"/>
        <v>1</v>
      </c>
      <c r="F400" s="27">
        <f>VLOOKUP(E400,[1]t_calendarioPolitica!A:C,3,FALSE)</f>
        <v>0</v>
      </c>
      <c r="G400" s="1">
        <v>1</v>
      </c>
      <c r="H400" s="1">
        <v>1</v>
      </c>
      <c r="I400" s="1">
        <f t="shared" si="34"/>
        <v>0</v>
      </c>
    </row>
    <row r="401" spans="1:9" x14ac:dyDescent="0.3">
      <c r="A401" s="26">
        <v>45691</v>
      </c>
      <c r="B401" s="27">
        <f t="shared" si="30"/>
        <v>2025</v>
      </c>
      <c r="C401" s="27">
        <f t="shared" si="31"/>
        <v>2</v>
      </c>
      <c r="D401" s="27">
        <f t="shared" si="32"/>
        <v>3</v>
      </c>
      <c r="E401" s="27">
        <f t="shared" si="33"/>
        <v>2</v>
      </c>
      <c r="F401" s="27">
        <f>VLOOKUP(E401,[1]t_calendarioPolitica!A:C,3,FALSE)</f>
        <v>1</v>
      </c>
      <c r="G401" s="1">
        <v>1</v>
      </c>
      <c r="H401" s="1">
        <v>1</v>
      </c>
      <c r="I401" s="1">
        <f t="shared" si="34"/>
        <v>1</v>
      </c>
    </row>
    <row r="402" spans="1:9" x14ac:dyDescent="0.3">
      <c r="A402" s="26">
        <v>45692</v>
      </c>
      <c r="B402" s="27">
        <f t="shared" si="30"/>
        <v>2025</v>
      </c>
      <c r="C402" s="27">
        <f t="shared" si="31"/>
        <v>2</v>
      </c>
      <c r="D402" s="27">
        <f t="shared" si="32"/>
        <v>4</v>
      </c>
      <c r="E402" s="27">
        <f t="shared" si="33"/>
        <v>3</v>
      </c>
      <c r="F402" s="27">
        <f>VLOOKUP(E402,[1]t_calendarioPolitica!A:C,3,FALSE)</f>
        <v>1</v>
      </c>
      <c r="G402" s="1">
        <v>1</v>
      </c>
      <c r="H402" s="1">
        <v>1</v>
      </c>
      <c r="I402" s="1">
        <f t="shared" si="34"/>
        <v>1</v>
      </c>
    </row>
    <row r="403" spans="1:9" x14ac:dyDescent="0.3">
      <c r="A403" s="26">
        <v>45693</v>
      </c>
      <c r="B403" s="27">
        <f t="shared" si="30"/>
        <v>2025</v>
      </c>
      <c r="C403" s="27">
        <f t="shared" si="31"/>
        <v>2</v>
      </c>
      <c r="D403" s="27">
        <f t="shared" si="32"/>
        <v>5</v>
      </c>
      <c r="E403" s="27">
        <f t="shared" si="33"/>
        <v>4</v>
      </c>
      <c r="F403" s="27">
        <f>VLOOKUP(E403,[1]t_calendarioPolitica!A:C,3,FALSE)</f>
        <v>1</v>
      </c>
      <c r="G403" s="1">
        <v>1</v>
      </c>
      <c r="H403" s="1">
        <v>1</v>
      </c>
      <c r="I403" s="1">
        <f t="shared" si="34"/>
        <v>1</v>
      </c>
    </row>
    <row r="404" spans="1:9" x14ac:dyDescent="0.3">
      <c r="A404" s="26">
        <v>45694</v>
      </c>
      <c r="B404" s="27">
        <f t="shared" si="30"/>
        <v>2025</v>
      </c>
      <c r="C404" s="27">
        <f t="shared" si="31"/>
        <v>2</v>
      </c>
      <c r="D404" s="27">
        <f t="shared" si="32"/>
        <v>6</v>
      </c>
      <c r="E404" s="27">
        <f t="shared" si="33"/>
        <v>5</v>
      </c>
      <c r="F404" s="27">
        <f>VLOOKUP(E404,[1]t_calendarioPolitica!A:C,3,FALSE)</f>
        <v>1</v>
      </c>
      <c r="G404" s="1">
        <v>1</v>
      </c>
      <c r="H404" s="1">
        <v>1</v>
      </c>
      <c r="I404" s="1">
        <f t="shared" si="34"/>
        <v>1</v>
      </c>
    </row>
    <row r="405" spans="1:9" x14ac:dyDescent="0.3">
      <c r="A405" s="26">
        <v>45695</v>
      </c>
      <c r="B405" s="27">
        <f t="shared" si="30"/>
        <v>2025</v>
      </c>
      <c r="C405" s="27">
        <f t="shared" si="31"/>
        <v>2</v>
      </c>
      <c r="D405" s="27">
        <f t="shared" si="32"/>
        <v>7</v>
      </c>
      <c r="E405" s="27">
        <f t="shared" si="33"/>
        <v>6</v>
      </c>
      <c r="F405" s="27">
        <f>VLOOKUP(E405,[1]t_calendarioPolitica!A:C,3,FALSE)</f>
        <v>1</v>
      </c>
      <c r="G405" s="1">
        <v>1</v>
      </c>
      <c r="H405" s="1">
        <v>1</v>
      </c>
      <c r="I405" s="1">
        <f t="shared" si="34"/>
        <v>1</v>
      </c>
    </row>
    <row r="406" spans="1:9" x14ac:dyDescent="0.3">
      <c r="A406" s="26">
        <v>45696</v>
      </c>
      <c r="B406" s="27">
        <f t="shared" si="30"/>
        <v>2025</v>
      </c>
      <c r="C406" s="27">
        <f t="shared" si="31"/>
        <v>2</v>
      </c>
      <c r="D406" s="27">
        <f t="shared" si="32"/>
        <v>8</v>
      </c>
      <c r="E406" s="27">
        <f t="shared" si="33"/>
        <v>7</v>
      </c>
      <c r="F406" s="27">
        <f>VLOOKUP(E406,[1]t_calendarioPolitica!A:C,3,FALSE)</f>
        <v>2</v>
      </c>
      <c r="G406" s="1">
        <v>1</v>
      </c>
      <c r="H406" s="1">
        <v>1</v>
      </c>
      <c r="I406" s="1">
        <f t="shared" si="34"/>
        <v>1</v>
      </c>
    </row>
    <row r="407" spans="1:9" x14ac:dyDescent="0.3">
      <c r="A407" s="26">
        <v>45697</v>
      </c>
      <c r="B407" s="27">
        <f t="shared" si="30"/>
        <v>2025</v>
      </c>
      <c r="C407" s="27">
        <f t="shared" si="31"/>
        <v>2</v>
      </c>
      <c r="D407" s="27">
        <f t="shared" si="32"/>
        <v>9</v>
      </c>
      <c r="E407" s="27">
        <f t="shared" si="33"/>
        <v>1</v>
      </c>
      <c r="F407" s="27">
        <f>VLOOKUP(E407,[1]t_calendarioPolitica!A:C,3,FALSE)</f>
        <v>0</v>
      </c>
      <c r="G407" s="1">
        <v>1</v>
      </c>
      <c r="H407" s="1">
        <v>1</v>
      </c>
      <c r="I407" s="1">
        <f t="shared" si="34"/>
        <v>0</v>
      </c>
    </row>
    <row r="408" spans="1:9" x14ac:dyDescent="0.3">
      <c r="A408" s="26">
        <v>45698</v>
      </c>
      <c r="B408" s="27">
        <f t="shared" si="30"/>
        <v>2025</v>
      </c>
      <c r="C408" s="27">
        <f t="shared" si="31"/>
        <v>2</v>
      </c>
      <c r="D408" s="27">
        <f t="shared" si="32"/>
        <v>10</v>
      </c>
      <c r="E408" s="27">
        <f t="shared" si="33"/>
        <v>2</v>
      </c>
      <c r="F408" s="27">
        <f>VLOOKUP(E408,[1]t_calendarioPolitica!A:C,3,FALSE)</f>
        <v>1</v>
      </c>
      <c r="G408" s="1">
        <v>1</v>
      </c>
      <c r="H408" s="1">
        <v>1</v>
      </c>
      <c r="I408" s="1">
        <f t="shared" si="34"/>
        <v>1</v>
      </c>
    </row>
    <row r="409" spans="1:9" x14ac:dyDescent="0.3">
      <c r="A409" s="26">
        <v>45699</v>
      </c>
      <c r="B409" s="27">
        <f t="shared" si="30"/>
        <v>2025</v>
      </c>
      <c r="C409" s="27">
        <f t="shared" si="31"/>
        <v>2</v>
      </c>
      <c r="D409" s="27">
        <f t="shared" si="32"/>
        <v>11</v>
      </c>
      <c r="E409" s="27">
        <f t="shared" si="33"/>
        <v>3</v>
      </c>
      <c r="F409" s="27">
        <f>VLOOKUP(E409,[1]t_calendarioPolitica!A:C,3,FALSE)</f>
        <v>1</v>
      </c>
      <c r="G409" s="1">
        <v>1</v>
      </c>
      <c r="H409" s="1">
        <v>1</v>
      </c>
      <c r="I409" s="1">
        <f t="shared" si="34"/>
        <v>1</v>
      </c>
    </row>
    <row r="410" spans="1:9" x14ac:dyDescent="0.3">
      <c r="A410" s="26">
        <v>45700</v>
      </c>
      <c r="B410" s="27">
        <f t="shared" si="30"/>
        <v>2025</v>
      </c>
      <c r="C410" s="27">
        <f t="shared" si="31"/>
        <v>2</v>
      </c>
      <c r="D410" s="27">
        <f t="shared" si="32"/>
        <v>12</v>
      </c>
      <c r="E410" s="27">
        <f t="shared" si="33"/>
        <v>4</v>
      </c>
      <c r="F410" s="27">
        <f>VLOOKUP(E410,[1]t_calendarioPolitica!A:C,3,FALSE)</f>
        <v>1</v>
      </c>
      <c r="G410" s="1">
        <v>1</v>
      </c>
      <c r="H410" s="1">
        <v>1</v>
      </c>
      <c r="I410" s="1">
        <f t="shared" si="34"/>
        <v>1</v>
      </c>
    </row>
    <row r="411" spans="1:9" x14ac:dyDescent="0.3">
      <c r="A411" s="26">
        <v>45701</v>
      </c>
      <c r="B411" s="27">
        <f t="shared" si="30"/>
        <v>2025</v>
      </c>
      <c r="C411" s="27">
        <f t="shared" si="31"/>
        <v>2</v>
      </c>
      <c r="D411" s="27">
        <f t="shared" si="32"/>
        <v>13</v>
      </c>
      <c r="E411" s="27">
        <f t="shared" si="33"/>
        <v>5</v>
      </c>
      <c r="F411" s="27">
        <f>VLOOKUP(E411,[1]t_calendarioPolitica!A:C,3,FALSE)</f>
        <v>1</v>
      </c>
      <c r="G411" s="1">
        <v>1</v>
      </c>
      <c r="H411" s="1">
        <v>1</v>
      </c>
      <c r="I411" s="1">
        <f t="shared" si="34"/>
        <v>1</v>
      </c>
    </row>
    <row r="412" spans="1:9" x14ac:dyDescent="0.3">
      <c r="A412" s="26">
        <v>45702</v>
      </c>
      <c r="B412" s="27">
        <f t="shared" si="30"/>
        <v>2025</v>
      </c>
      <c r="C412" s="27">
        <f t="shared" si="31"/>
        <v>2</v>
      </c>
      <c r="D412" s="27">
        <f t="shared" si="32"/>
        <v>14</v>
      </c>
      <c r="E412" s="27">
        <f t="shared" si="33"/>
        <v>6</v>
      </c>
      <c r="F412" s="27">
        <f>VLOOKUP(E412,[1]t_calendarioPolitica!A:C,3,FALSE)</f>
        <v>1</v>
      </c>
      <c r="G412" s="1">
        <v>1</v>
      </c>
      <c r="H412" s="1">
        <v>1</v>
      </c>
      <c r="I412" s="1">
        <f t="shared" si="34"/>
        <v>1</v>
      </c>
    </row>
    <row r="413" spans="1:9" x14ac:dyDescent="0.3">
      <c r="A413" s="26">
        <v>45703</v>
      </c>
      <c r="B413" s="27">
        <f t="shared" si="30"/>
        <v>2025</v>
      </c>
      <c r="C413" s="27">
        <f t="shared" si="31"/>
        <v>2</v>
      </c>
      <c r="D413" s="27">
        <f t="shared" si="32"/>
        <v>15</v>
      </c>
      <c r="E413" s="27">
        <f t="shared" si="33"/>
        <v>7</v>
      </c>
      <c r="F413" s="27">
        <f>VLOOKUP(E413,[1]t_calendarioPolitica!A:C,3,FALSE)</f>
        <v>2</v>
      </c>
      <c r="G413" s="1">
        <v>1</v>
      </c>
      <c r="H413" s="1">
        <v>1</v>
      </c>
      <c r="I413" s="1">
        <f t="shared" si="34"/>
        <v>1</v>
      </c>
    </row>
    <row r="414" spans="1:9" x14ac:dyDescent="0.3">
      <c r="A414" s="26">
        <v>45704</v>
      </c>
      <c r="B414" s="27">
        <f t="shared" si="30"/>
        <v>2025</v>
      </c>
      <c r="C414" s="27">
        <f t="shared" si="31"/>
        <v>2</v>
      </c>
      <c r="D414" s="27">
        <f t="shared" si="32"/>
        <v>16</v>
      </c>
      <c r="E414" s="27">
        <f t="shared" si="33"/>
        <v>1</v>
      </c>
      <c r="F414" s="27">
        <f>VLOOKUP(E414,[1]t_calendarioPolitica!A:C,3,FALSE)</f>
        <v>0</v>
      </c>
      <c r="G414" s="1">
        <v>1</v>
      </c>
      <c r="H414" s="1">
        <v>1</v>
      </c>
      <c r="I414" s="1">
        <f t="shared" si="34"/>
        <v>0</v>
      </c>
    </row>
    <row r="415" spans="1:9" x14ac:dyDescent="0.3">
      <c r="A415" s="26">
        <v>45705</v>
      </c>
      <c r="B415" s="27">
        <f t="shared" si="30"/>
        <v>2025</v>
      </c>
      <c r="C415" s="27">
        <f t="shared" si="31"/>
        <v>2</v>
      </c>
      <c r="D415" s="27">
        <f t="shared" si="32"/>
        <v>17</v>
      </c>
      <c r="E415" s="27">
        <f t="shared" si="33"/>
        <v>2</v>
      </c>
      <c r="F415" s="27">
        <f>VLOOKUP(E415,[1]t_calendarioPolitica!A:C,3,FALSE)</f>
        <v>1</v>
      </c>
      <c r="G415" s="1">
        <v>1</v>
      </c>
      <c r="H415" s="1">
        <v>1</v>
      </c>
      <c r="I415" s="1">
        <f t="shared" si="34"/>
        <v>1</v>
      </c>
    </row>
    <row r="416" spans="1:9" x14ac:dyDescent="0.3">
      <c r="A416" s="26">
        <v>45706</v>
      </c>
      <c r="B416" s="27">
        <f t="shared" si="30"/>
        <v>2025</v>
      </c>
      <c r="C416" s="27">
        <f t="shared" si="31"/>
        <v>2</v>
      </c>
      <c r="D416" s="27">
        <f t="shared" si="32"/>
        <v>18</v>
      </c>
      <c r="E416" s="27">
        <f t="shared" si="33"/>
        <v>3</v>
      </c>
      <c r="F416" s="27">
        <f>VLOOKUP(E416,[1]t_calendarioPolitica!A:C,3,FALSE)</f>
        <v>1</v>
      </c>
      <c r="G416" s="1">
        <v>1</v>
      </c>
      <c r="H416" s="1">
        <v>1</v>
      </c>
      <c r="I416" s="1">
        <f t="shared" si="34"/>
        <v>1</v>
      </c>
    </row>
    <row r="417" spans="1:9" x14ac:dyDescent="0.3">
      <c r="A417" s="26">
        <v>45707</v>
      </c>
      <c r="B417" s="27">
        <f t="shared" si="30"/>
        <v>2025</v>
      </c>
      <c r="C417" s="27">
        <f t="shared" si="31"/>
        <v>2</v>
      </c>
      <c r="D417" s="27">
        <f t="shared" si="32"/>
        <v>19</v>
      </c>
      <c r="E417" s="27">
        <f t="shared" si="33"/>
        <v>4</v>
      </c>
      <c r="F417" s="27">
        <f>VLOOKUP(E417,[1]t_calendarioPolitica!A:C,3,FALSE)</f>
        <v>1</v>
      </c>
      <c r="G417" s="1">
        <v>1</v>
      </c>
      <c r="H417" s="1">
        <v>1</v>
      </c>
      <c r="I417" s="1">
        <f t="shared" si="34"/>
        <v>1</v>
      </c>
    </row>
    <row r="418" spans="1:9" x14ac:dyDescent="0.3">
      <c r="A418" s="26">
        <v>45708</v>
      </c>
      <c r="B418" s="27">
        <f t="shared" si="30"/>
        <v>2025</v>
      </c>
      <c r="C418" s="27">
        <f t="shared" si="31"/>
        <v>2</v>
      </c>
      <c r="D418" s="27">
        <f t="shared" si="32"/>
        <v>20</v>
      </c>
      <c r="E418" s="27">
        <f t="shared" si="33"/>
        <v>5</v>
      </c>
      <c r="F418" s="27">
        <f>VLOOKUP(E418,[1]t_calendarioPolitica!A:C,3,FALSE)</f>
        <v>1</v>
      </c>
      <c r="G418" s="1">
        <v>1</v>
      </c>
      <c r="H418" s="1">
        <v>1</v>
      </c>
      <c r="I418" s="1">
        <f t="shared" si="34"/>
        <v>1</v>
      </c>
    </row>
    <row r="419" spans="1:9" x14ac:dyDescent="0.3">
      <c r="A419" s="26">
        <v>45709</v>
      </c>
      <c r="B419" s="27">
        <f t="shared" si="30"/>
        <v>2025</v>
      </c>
      <c r="C419" s="27">
        <f t="shared" si="31"/>
        <v>2</v>
      </c>
      <c r="D419" s="27">
        <f t="shared" si="32"/>
        <v>21</v>
      </c>
      <c r="E419" s="27">
        <f t="shared" si="33"/>
        <v>6</v>
      </c>
      <c r="F419" s="27">
        <f>VLOOKUP(E419,[1]t_calendarioPolitica!A:C,3,FALSE)</f>
        <v>1</v>
      </c>
      <c r="G419" s="1">
        <v>1</v>
      </c>
      <c r="H419" s="1">
        <v>1</v>
      </c>
      <c r="I419" s="1">
        <f t="shared" si="34"/>
        <v>1</v>
      </c>
    </row>
    <row r="420" spans="1:9" x14ac:dyDescent="0.3">
      <c r="A420" s="26">
        <v>45710</v>
      </c>
      <c r="B420" s="27">
        <f t="shared" si="30"/>
        <v>2025</v>
      </c>
      <c r="C420" s="27">
        <f t="shared" si="31"/>
        <v>2</v>
      </c>
      <c r="D420" s="27">
        <f t="shared" si="32"/>
        <v>22</v>
      </c>
      <c r="E420" s="27">
        <f t="shared" si="33"/>
        <v>7</v>
      </c>
      <c r="F420" s="27">
        <f>VLOOKUP(E420,[1]t_calendarioPolitica!A:C,3,FALSE)</f>
        <v>2</v>
      </c>
      <c r="G420" s="1">
        <v>1</v>
      </c>
      <c r="H420" s="1">
        <v>1</v>
      </c>
      <c r="I420" s="1">
        <f t="shared" si="34"/>
        <v>1</v>
      </c>
    </row>
    <row r="421" spans="1:9" x14ac:dyDescent="0.3">
      <c r="A421" s="26">
        <v>45711</v>
      </c>
      <c r="B421" s="27">
        <f t="shared" si="30"/>
        <v>2025</v>
      </c>
      <c r="C421" s="27">
        <f t="shared" si="31"/>
        <v>2</v>
      </c>
      <c r="D421" s="27">
        <f t="shared" si="32"/>
        <v>23</v>
      </c>
      <c r="E421" s="27">
        <f t="shared" si="33"/>
        <v>1</v>
      </c>
      <c r="F421" s="27">
        <f>VLOOKUP(E421,[1]t_calendarioPolitica!A:C,3,FALSE)</f>
        <v>0</v>
      </c>
      <c r="G421" s="1">
        <v>1</v>
      </c>
      <c r="H421" s="1">
        <v>1</v>
      </c>
      <c r="I421" s="1">
        <f t="shared" si="34"/>
        <v>0</v>
      </c>
    </row>
    <row r="422" spans="1:9" x14ac:dyDescent="0.3">
      <c r="A422" s="26">
        <v>45712</v>
      </c>
      <c r="B422" s="27">
        <f t="shared" si="30"/>
        <v>2025</v>
      </c>
      <c r="C422" s="27">
        <f t="shared" si="31"/>
        <v>2</v>
      </c>
      <c r="D422" s="27">
        <f t="shared" si="32"/>
        <v>24</v>
      </c>
      <c r="E422" s="27">
        <f t="shared" si="33"/>
        <v>2</v>
      </c>
      <c r="F422" s="27">
        <f>VLOOKUP(E422,[1]t_calendarioPolitica!A:C,3,FALSE)</f>
        <v>1</v>
      </c>
      <c r="G422" s="1">
        <v>1</v>
      </c>
      <c r="H422" s="1">
        <v>1</v>
      </c>
      <c r="I422" s="1">
        <f t="shared" si="34"/>
        <v>1</v>
      </c>
    </row>
    <row r="423" spans="1:9" x14ac:dyDescent="0.3">
      <c r="A423" s="26">
        <v>45713</v>
      </c>
      <c r="B423" s="27">
        <f t="shared" si="30"/>
        <v>2025</v>
      </c>
      <c r="C423" s="27">
        <f t="shared" si="31"/>
        <v>2</v>
      </c>
      <c r="D423" s="27">
        <f t="shared" si="32"/>
        <v>25</v>
      </c>
      <c r="E423" s="27">
        <f t="shared" si="33"/>
        <v>3</v>
      </c>
      <c r="F423" s="27">
        <f>VLOOKUP(E423,[1]t_calendarioPolitica!A:C,3,FALSE)</f>
        <v>1</v>
      </c>
      <c r="G423" s="1">
        <v>1</v>
      </c>
      <c r="H423" s="1">
        <v>1</v>
      </c>
      <c r="I423" s="1">
        <f t="shared" si="34"/>
        <v>1</v>
      </c>
    </row>
    <row r="424" spans="1:9" x14ac:dyDescent="0.3">
      <c r="A424" s="26">
        <v>45714</v>
      </c>
      <c r="B424" s="27">
        <f t="shared" si="30"/>
        <v>2025</v>
      </c>
      <c r="C424" s="27">
        <f t="shared" si="31"/>
        <v>2</v>
      </c>
      <c r="D424" s="27">
        <f t="shared" si="32"/>
        <v>26</v>
      </c>
      <c r="E424" s="27">
        <f t="shared" si="33"/>
        <v>4</v>
      </c>
      <c r="F424" s="27">
        <f>VLOOKUP(E424,[1]t_calendarioPolitica!A:C,3,FALSE)</f>
        <v>1</v>
      </c>
      <c r="G424" s="1">
        <v>1</v>
      </c>
      <c r="H424" s="1">
        <v>1</v>
      </c>
      <c r="I424" s="1">
        <f t="shared" si="34"/>
        <v>1</v>
      </c>
    </row>
    <row r="425" spans="1:9" x14ac:dyDescent="0.3">
      <c r="A425" s="26">
        <v>45715</v>
      </c>
      <c r="B425" s="27">
        <f t="shared" si="30"/>
        <v>2025</v>
      </c>
      <c r="C425" s="27">
        <f t="shared" si="31"/>
        <v>2</v>
      </c>
      <c r="D425" s="27">
        <f t="shared" si="32"/>
        <v>27</v>
      </c>
      <c r="E425" s="27">
        <f t="shared" si="33"/>
        <v>5</v>
      </c>
      <c r="F425" s="27">
        <f>VLOOKUP(E425,[1]t_calendarioPolitica!A:C,3,FALSE)</f>
        <v>1</v>
      </c>
      <c r="G425" s="1">
        <v>1</v>
      </c>
      <c r="H425" s="1">
        <v>1</v>
      </c>
      <c r="I425" s="1">
        <f t="shared" si="34"/>
        <v>1</v>
      </c>
    </row>
    <row r="426" spans="1:9" x14ac:dyDescent="0.3">
      <c r="A426" s="26">
        <v>45716</v>
      </c>
      <c r="B426" s="27">
        <f t="shared" si="30"/>
        <v>2025</v>
      </c>
      <c r="C426" s="27">
        <f t="shared" si="31"/>
        <v>2</v>
      </c>
      <c r="D426" s="27">
        <f t="shared" si="32"/>
        <v>28</v>
      </c>
      <c r="E426" s="27">
        <f t="shared" si="33"/>
        <v>6</v>
      </c>
      <c r="F426" s="27">
        <f>VLOOKUP(E426,[1]t_calendarioPolitica!A:C,3,FALSE)</f>
        <v>1</v>
      </c>
      <c r="G426" s="1">
        <v>1</v>
      </c>
      <c r="H426" s="1">
        <v>1</v>
      </c>
      <c r="I426" s="1">
        <f t="shared" si="34"/>
        <v>1</v>
      </c>
    </row>
    <row r="427" spans="1:9" x14ac:dyDescent="0.3">
      <c r="A427" s="26">
        <v>45717</v>
      </c>
      <c r="B427" s="27">
        <f t="shared" si="30"/>
        <v>2025</v>
      </c>
      <c r="C427" s="27">
        <f t="shared" si="31"/>
        <v>3</v>
      </c>
      <c r="D427" s="27">
        <f t="shared" si="32"/>
        <v>1</v>
      </c>
      <c r="E427" s="27">
        <f t="shared" si="33"/>
        <v>7</v>
      </c>
      <c r="F427" s="27">
        <f>VLOOKUP(E427,[1]t_calendarioPolitica!A:C,3,FALSE)</f>
        <v>2</v>
      </c>
      <c r="G427" s="1">
        <v>1</v>
      </c>
      <c r="H427" s="1">
        <v>1</v>
      </c>
      <c r="I427" s="1">
        <f t="shared" si="34"/>
        <v>1</v>
      </c>
    </row>
    <row r="428" spans="1:9" x14ac:dyDescent="0.3">
      <c r="A428" s="26">
        <v>45718</v>
      </c>
      <c r="B428" s="27">
        <f t="shared" si="30"/>
        <v>2025</v>
      </c>
      <c r="C428" s="27">
        <f t="shared" si="31"/>
        <v>3</v>
      </c>
      <c r="D428" s="27">
        <f t="shared" si="32"/>
        <v>2</v>
      </c>
      <c r="E428" s="27">
        <f t="shared" si="33"/>
        <v>1</v>
      </c>
      <c r="F428" s="27">
        <f>VLOOKUP(E428,[1]t_calendarioPolitica!A:C,3,FALSE)</f>
        <v>0</v>
      </c>
      <c r="G428" s="1">
        <v>1</v>
      </c>
      <c r="H428" s="1">
        <v>1</v>
      </c>
      <c r="I428" s="1">
        <f t="shared" si="34"/>
        <v>0</v>
      </c>
    </row>
    <row r="429" spans="1:9" x14ac:dyDescent="0.3">
      <c r="A429" s="26">
        <v>45719</v>
      </c>
      <c r="B429" s="27">
        <f t="shared" si="30"/>
        <v>2025</v>
      </c>
      <c r="C429" s="27">
        <f t="shared" si="31"/>
        <v>3</v>
      </c>
      <c r="D429" s="27">
        <f t="shared" si="32"/>
        <v>3</v>
      </c>
      <c r="E429" s="27">
        <f t="shared" si="33"/>
        <v>2</v>
      </c>
      <c r="F429" s="27">
        <f>VLOOKUP(E429,[1]t_calendarioPolitica!A:C,3,FALSE)</f>
        <v>1</v>
      </c>
      <c r="G429" s="1">
        <v>1</v>
      </c>
      <c r="H429" s="1">
        <v>1</v>
      </c>
      <c r="I429" s="1">
        <f t="shared" si="34"/>
        <v>1</v>
      </c>
    </row>
    <row r="430" spans="1:9" x14ac:dyDescent="0.3">
      <c r="A430" s="26">
        <v>45720</v>
      </c>
      <c r="B430" s="27">
        <f t="shared" si="30"/>
        <v>2025</v>
      </c>
      <c r="C430" s="27">
        <f t="shared" si="31"/>
        <v>3</v>
      </c>
      <c r="D430" s="27">
        <f t="shared" si="32"/>
        <v>4</v>
      </c>
      <c r="E430" s="27">
        <f t="shared" si="33"/>
        <v>3</v>
      </c>
      <c r="F430" s="27">
        <f>VLOOKUP(E430,[1]t_calendarioPolitica!A:C,3,FALSE)</f>
        <v>1</v>
      </c>
      <c r="G430" s="1">
        <v>1</v>
      </c>
      <c r="H430" s="1">
        <v>1</v>
      </c>
      <c r="I430" s="1">
        <f t="shared" si="34"/>
        <v>1</v>
      </c>
    </row>
    <row r="431" spans="1:9" x14ac:dyDescent="0.3">
      <c r="A431" s="26">
        <v>45721</v>
      </c>
      <c r="B431" s="27">
        <f t="shared" si="30"/>
        <v>2025</v>
      </c>
      <c r="C431" s="27">
        <f t="shared" si="31"/>
        <v>3</v>
      </c>
      <c r="D431" s="27">
        <f t="shared" si="32"/>
        <v>5</v>
      </c>
      <c r="E431" s="27">
        <f t="shared" si="33"/>
        <v>4</v>
      </c>
      <c r="F431" s="27">
        <f>VLOOKUP(E431,[1]t_calendarioPolitica!A:C,3,FALSE)</f>
        <v>1</v>
      </c>
      <c r="G431" s="1">
        <v>1</v>
      </c>
      <c r="H431" s="1">
        <v>1</v>
      </c>
      <c r="I431" s="1">
        <f t="shared" si="34"/>
        <v>1</v>
      </c>
    </row>
    <row r="432" spans="1:9" x14ac:dyDescent="0.3">
      <c r="A432" s="26">
        <v>45722</v>
      </c>
      <c r="B432" s="27">
        <f t="shared" si="30"/>
        <v>2025</v>
      </c>
      <c r="C432" s="27">
        <f t="shared" si="31"/>
        <v>3</v>
      </c>
      <c r="D432" s="27">
        <f t="shared" si="32"/>
        <v>6</v>
      </c>
      <c r="E432" s="27">
        <f t="shared" si="33"/>
        <v>5</v>
      </c>
      <c r="F432" s="27">
        <f>VLOOKUP(E432,[1]t_calendarioPolitica!A:C,3,FALSE)</f>
        <v>1</v>
      </c>
      <c r="G432" s="1">
        <v>1</v>
      </c>
      <c r="H432" s="1">
        <v>1</v>
      </c>
      <c r="I432" s="1">
        <f t="shared" si="34"/>
        <v>1</v>
      </c>
    </row>
    <row r="433" spans="1:9" x14ac:dyDescent="0.3">
      <c r="A433" s="26">
        <v>45723</v>
      </c>
      <c r="B433" s="27">
        <f t="shared" si="30"/>
        <v>2025</v>
      </c>
      <c r="C433" s="27">
        <f t="shared" si="31"/>
        <v>3</v>
      </c>
      <c r="D433" s="27">
        <f t="shared" si="32"/>
        <v>7</v>
      </c>
      <c r="E433" s="27">
        <f t="shared" si="33"/>
        <v>6</v>
      </c>
      <c r="F433" s="27">
        <f>VLOOKUP(E433,[1]t_calendarioPolitica!A:C,3,FALSE)</f>
        <v>1</v>
      </c>
      <c r="G433" s="1">
        <v>1</v>
      </c>
      <c r="H433" s="1">
        <v>1</v>
      </c>
      <c r="I433" s="1">
        <f t="shared" si="34"/>
        <v>1</v>
      </c>
    </row>
    <row r="434" spans="1:9" x14ac:dyDescent="0.3">
      <c r="A434" s="26">
        <v>45724</v>
      </c>
      <c r="B434" s="27">
        <f t="shared" si="30"/>
        <v>2025</v>
      </c>
      <c r="C434" s="27">
        <f t="shared" si="31"/>
        <v>3</v>
      </c>
      <c r="D434" s="27">
        <f t="shared" si="32"/>
        <v>8</v>
      </c>
      <c r="E434" s="27">
        <f t="shared" si="33"/>
        <v>7</v>
      </c>
      <c r="F434" s="27">
        <f>VLOOKUP(E434,[1]t_calendarioPolitica!A:C,3,FALSE)</f>
        <v>2</v>
      </c>
      <c r="G434" s="1">
        <v>1</v>
      </c>
      <c r="H434" s="1">
        <v>1</v>
      </c>
      <c r="I434" s="1">
        <f t="shared" si="34"/>
        <v>1</v>
      </c>
    </row>
    <row r="435" spans="1:9" x14ac:dyDescent="0.3">
      <c r="A435" s="26">
        <v>45725</v>
      </c>
      <c r="B435" s="27">
        <f t="shared" si="30"/>
        <v>2025</v>
      </c>
      <c r="C435" s="27">
        <f t="shared" si="31"/>
        <v>3</v>
      </c>
      <c r="D435" s="27">
        <f t="shared" si="32"/>
        <v>9</v>
      </c>
      <c r="E435" s="27">
        <f t="shared" si="33"/>
        <v>1</v>
      </c>
      <c r="F435" s="27">
        <f>VLOOKUP(E435,[1]t_calendarioPolitica!A:C,3,FALSE)</f>
        <v>0</v>
      </c>
      <c r="G435" s="1">
        <v>1</v>
      </c>
      <c r="H435" s="1">
        <v>1</v>
      </c>
      <c r="I435" s="1">
        <f t="shared" si="34"/>
        <v>0</v>
      </c>
    </row>
    <row r="436" spans="1:9" x14ac:dyDescent="0.3">
      <c r="A436" s="26">
        <v>45726</v>
      </c>
      <c r="B436" s="27">
        <f t="shared" si="30"/>
        <v>2025</v>
      </c>
      <c r="C436" s="27">
        <f t="shared" si="31"/>
        <v>3</v>
      </c>
      <c r="D436" s="27">
        <f t="shared" si="32"/>
        <v>10</v>
      </c>
      <c r="E436" s="27">
        <f t="shared" si="33"/>
        <v>2</v>
      </c>
      <c r="F436" s="27">
        <f>VLOOKUP(E436,[1]t_calendarioPolitica!A:C,3,FALSE)</f>
        <v>1</v>
      </c>
      <c r="G436" s="1">
        <v>1</v>
      </c>
      <c r="H436" s="1">
        <v>1</v>
      </c>
      <c r="I436" s="1">
        <f t="shared" si="34"/>
        <v>1</v>
      </c>
    </row>
    <row r="437" spans="1:9" x14ac:dyDescent="0.3">
      <c r="A437" s="26">
        <v>45727</v>
      </c>
      <c r="B437" s="27">
        <f t="shared" si="30"/>
        <v>2025</v>
      </c>
      <c r="C437" s="27">
        <f t="shared" si="31"/>
        <v>3</v>
      </c>
      <c r="D437" s="27">
        <f t="shared" si="32"/>
        <v>11</v>
      </c>
      <c r="E437" s="27">
        <f t="shared" si="33"/>
        <v>3</v>
      </c>
      <c r="F437" s="27">
        <f>VLOOKUP(E437,[1]t_calendarioPolitica!A:C,3,FALSE)</f>
        <v>1</v>
      </c>
      <c r="G437" s="1">
        <v>1</v>
      </c>
      <c r="H437" s="1">
        <v>1</v>
      </c>
      <c r="I437" s="1">
        <f t="shared" si="34"/>
        <v>1</v>
      </c>
    </row>
    <row r="438" spans="1:9" x14ac:dyDescent="0.3">
      <c r="A438" s="26">
        <v>45728</v>
      </c>
      <c r="B438" s="27">
        <f t="shared" si="30"/>
        <v>2025</v>
      </c>
      <c r="C438" s="27">
        <f t="shared" si="31"/>
        <v>3</v>
      </c>
      <c r="D438" s="27">
        <f t="shared" si="32"/>
        <v>12</v>
      </c>
      <c r="E438" s="27">
        <f t="shared" si="33"/>
        <v>4</v>
      </c>
      <c r="F438" s="27">
        <f>VLOOKUP(E438,[1]t_calendarioPolitica!A:C,3,FALSE)</f>
        <v>1</v>
      </c>
      <c r="G438" s="1">
        <v>1</v>
      </c>
      <c r="H438" s="1">
        <v>1</v>
      </c>
      <c r="I438" s="1">
        <f t="shared" si="34"/>
        <v>1</v>
      </c>
    </row>
    <row r="439" spans="1:9" x14ac:dyDescent="0.3">
      <c r="A439" s="26">
        <v>45729</v>
      </c>
      <c r="B439" s="27">
        <f t="shared" si="30"/>
        <v>2025</v>
      </c>
      <c r="C439" s="27">
        <f t="shared" si="31"/>
        <v>3</v>
      </c>
      <c r="D439" s="27">
        <f t="shared" si="32"/>
        <v>13</v>
      </c>
      <c r="E439" s="27">
        <f t="shared" si="33"/>
        <v>5</v>
      </c>
      <c r="F439" s="27">
        <f>VLOOKUP(E439,[1]t_calendarioPolitica!A:C,3,FALSE)</f>
        <v>1</v>
      </c>
      <c r="G439" s="1">
        <v>1</v>
      </c>
      <c r="H439" s="1">
        <v>1</v>
      </c>
      <c r="I439" s="1">
        <f t="shared" si="34"/>
        <v>1</v>
      </c>
    </row>
    <row r="440" spans="1:9" x14ac:dyDescent="0.3">
      <c r="A440" s="26">
        <v>45730</v>
      </c>
      <c r="B440" s="27">
        <f t="shared" si="30"/>
        <v>2025</v>
      </c>
      <c r="C440" s="27">
        <f t="shared" si="31"/>
        <v>3</v>
      </c>
      <c r="D440" s="27">
        <f t="shared" si="32"/>
        <v>14</v>
      </c>
      <c r="E440" s="27">
        <f t="shared" si="33"/>
        <v>6</v>
      </c>
      <c r="F440" s="27">
        <f>VLOOKUP(E440,[1]t_calendarioPolitica!A:C,3,FALSE)</f>
        <v>1</v>
      </c>
      <c r="G440" s="1">
        <v>1</v>
      </c>
      <c r="H440" s="1">
        <v>1</v>
      </c>
      <c r="I440" s="1">
        <f t="shared" si="34"/>
        <v>1</v>
      </c>
    </row>
    <row r="441" spans="1:9" x14ac:dyDescent="0.3">
      <c r="A441" s="26">
        <v>45731</v>
      </c>
      <c r="B441" s="27">
        <f t="shared" si="30"/>
        <v>2025</v>
      </c>
      <c r="C441" s="27">
        <f t="shared" si="31"/>
        <v>3</v>
      </c>
      <c r="D441" s="27">
        <f t="shared" si="32"/>
        <v>15</v>
      </c>
      <c r="E441" s="27">
        <f t="shared" si="33"/>
        <v>7</v>
      </c>
      <c r="F441" s="27">
        <f>VLOOKUP(E441,[1]t_calendarioPolitica!A:C,3,FALSE)</f>
        <v>2</v>
      </c>
      <c r="G441" s="1">
        <v>1</v>
      </c>
      <c r="H441" s="1">
        <v>1</v>
      </c>
      <c r="I441" s="1">
        <f t="shared" si="34"/>
        <v>1</v>
      </c>
    </row>
    <row r="442" spans="1:9" x14ac:dyDescent="0.3">
      <c r="A442" s="26">
        <v>45732</v>
      </c>
      <c r="B442" s="27">
        <f t="shared" si="30"/>
        <v>2025</v>
      </c>
      <c r="C442" s="27">
        <f t="shared" si="31"/>
        <v>3</v>
      </c>
      <c r="D442" s="27">
        <f t="shared" si="32"/>
        <v>16</v>
      </c>
      <c r="E442" s="27">
        <f t="shared" si="33"/>
        <v>1</v>
      </c>
      <c r="F442" s="27">
        <f>VLOOKUP(E442,[1]t_calendarioPolitica!A:C,3,FALSE)</f>
        <v>0</v>
      </c>
      <c r="G442" s="1">
        <v>1</v>
      </c>
      <c r="H442" s="1">
        <v>1</v>
      </c>
      <c r="I442" s="1">
        <f t="shared" si="34"/>
        <v>0</v>
      </c>
    </row>
    <row r="443" spans="1:9" x14ac:dyDescent="0.3">
      <c r="A443" s="26">
        <v>45733</v>
      </c>
      <c r="B443" s="27">
        <f t="shared" si="30"/>
        <v>2025</v>
      </c>
      <c r="C443" s="27">
        <f t="shared" si="31"/>
        <v>3</v>
      </c>
      <c r="D443" s="27">
        <f t="shared" si="32"/>
        <v>17</v>
      </c>
      <c r="E443" s="27">
        <f t="shared" si="33"/>
        <v>2</v>
      </c>
      <c r="F443" s="27">
        <f>VLOOKUP(E443,[1]t_calendarioPolitica!A:C,3,FALSE)</f>
        <v>1</v>
      </c>
      <c r="G443" s="1">
        <v>1</v>
      </c>
      <c r="H443" s="1">
        <v>1</v>
      </c>
      <c r="I443" s="1">
        <f t="shared" si="34"/>
        <v>1</v>
      </c>
    </row>
    <row r="444" spans="1:9" x14ac:dyDescent="0.3">
      <c r="A444" s="26">
        <v>45734</v>
      </c>
      <c r="B444" s="27">
        <f t="shared" si="30"/>
        <v>2025</v>
      </c>
      <c r="C444" s="27">
        <f t="shared" si="31"/>
        <v>3</v>
      </c>
      <c r="D444" s="27">
        <f t="shared" si="32"/>
        <v>18</v>
      </c>
      <c r="E444" s="27">
        <f t="shared" si="33"/>
        <v>3</v>
      </c>
      <c r="F444" s="27">
        <f>VLOOKUP(E444,[1]t_calendarioPolitica!A:C,3,FALSE)</f>
        <v>1</v>
      </c>
      <c r="G444" s="1">
        <v>1</v>
      </c>
      <c r="H444" s="1">
        <v>1</v>
      </c>
      <c r="I444" s="1">
        <f t="shared" si="34"/>
        <v>1</v>
      </c>
    </row>
    <row r="445" spans="1:9" x14ac:dyDescent="0.3">
      <c r="A445" s="26">
        <v>45735</v>
      </c>
      <c r="B445" s="27">
        <f t="shared" si="30"/>
        <v>2025</v>
      </c>
      <c r="C445" s="27">
        <f t="shared" si="31"/>
        <v>3</v>
      </c>
      <c r="D445" s="27">
        <f t="shared" si="32"/>
        <v>19</v>
      </c>
      <c r="E445" s="27">
        <f t="shared" si="33"/>
        <v>4</v>
      </c>
      <c r="F445" s="27">
        <f>VLOOKUP(E445,[1]t_calendarioPolitica!A:C,3,FALSE)</f>
        <v>1</v>
      </c>
      <c r="G445" s="1">
        <v>1</v>
      </c>
      <c r="H445" s="1">
        <v>1</v>
      </c>
      <c r="I445" s="1">
        <f t="shared" si="34"/>
        <v>1</v>
      </c>
    </row>
    <row r="446" spans="1:9" x14ac:dyDescent="0.3">
      <c r="A446" s="26">
        <v>45736</v>
      </c>
      <c r="B446" s="27">
        <f t="shared" si="30"/>
        <v>2025</v>
      </c>
      <c r="C446" s="27">
        <f t="shared" si="31"/>
        <v>3</v>
      </c>
      <c r="D446" s="27">
        <f t="shared" si="32"/>
        <v>20</v>
      </c>
      <c r="E446" s="27">
        <f t="shared" si="33"/>
        <v>5</v>
      </c>
      <c r="F446" s="27">
        <f>VLOOKUP(E446,[1]t_calendarioPolitica!A:C,3,FALSE)</f>
        <v>1</v>
      </c>
      <c r="G446" s="1">
        <v>1</v>
      </c>
      <c r="H446" s="1">
        <v>1</v>
      </c>
      <c r="I446" s="1">
        <f t="shared" si="34"/>
        <v>1</v>
      </c>
    </row>
    <row r="447" spans="1:9" x14ac:dyDescent="0.3">
      <c r="A447" s="26">
        <v>45737</v>
      </c>
      <c r="B447" s="27">
        <f t="shared" si="30"/>
        <v>2025</v>
      </c>
      <c r="C447" s="27">
        <f t="shared" si="31"/>
        <v>3</v>
      </c>
      <c r="D447" s="27">
        <f t="shared" si="32"/>
        <v>21</v>
      </c>
      <c r="E447" s="27">
        <f t="shared" si="33"/>
        <v>6</v>
      </c>
      <c r="F447" s="27">
        <f>VLOOKUP(E447,[1]t_calendarioPolitica!A:C,3,FALSE)</f>
        <v>1</v>
      </c>
      <c r="G447" s="1">
        <v>1</v>
      </c>
      <c r="H447" s="1">
        <v>1</v>
      </c>
      <c r="I447" s="1">
        <f t="shared" si="34"/>
        <v>1</v>
      </c>
    </row>
    <row r="448" spans="1:9" x14ac:dyDescent="0.3">
      <c r="A448" s="26">
        <v>45738</v>
      </c>
      <c r="B448" s="27">
        <f t="shared" si="30"/>
        <v>2025</v>
      </c>
      <c r="C448" s="27">
        <f t="shared" si="31"/>
        <v>3</v>
      </c>
      <c r="D448" s="27">
        <f t="shared" si="32"/>
        <v>22</v>
      </c>
      <c r="E448" s="27">
        <f t="shared" si="33"/>
        <v>7</v>
      </c>
      <c r="F448" s="27">
        <f>VLOOKUP(E448,[1]t_calendarioPolitica!A:C,3,FALSE)</f>
        <v>2</v>
      </c>
      <c r="G448" s="1">
        <v>1</v>
      </c>
      <c r="H448" s="1">
        <v>1</v>
      </c>
      <c r="I448" s="1">
        <f t="shared" si="34"/>
        <v>1</v>
      </c>
    </row>
    <row r="449" spans="1:9" x14ac:dyDescent="0.3">
      <c r="A449" s="26">
        <v>45739</v>
      </c>
      <c r="B449" s="27">
        <f t="shared" si="30"/>
        <v>2025</v>
      </c>
      <c r="C449" s="27">
        <f t="shared" si="31"/>
        <v>3</v>
      </c>
      <c r="D449" s="27">
        <f t="shared" si="32"/>
        <v>23</v>
      </c>
      <c r="E449" s="27">
        <f t="shared" si="33"/>
        <v>1</v>
      </c>
      <c r="F449" s="27">
        <f>VLOOKUP(E449,[1]t_calendarioPolitica!A:C,3,FALSE)</f>
        <v>0</v>
      </c>
      <c r="G449" s="1">
        <v>1</v>
      </c>
      <c r="H449" s="1">
        <v>1</v>
      </c>
      <c r="I449" s="1">
        <f t="shared" si="34"/>
        <v>0</v>
      </c>
    </row>
    <row r="450" spans="1:9" x14ac:dyDescent="0.3">
      <c r="A450" s="26">
        <v>45740</v>
      </c>
      <c r="B450" s="27">
        <f t="shared" si="30"/>
        <v>2025</v>
      </c>
      <c r="C450" s="27">
        <f t="shared" si="31"/>
        <v>3</v>
      </c>
      <c r="D450" s="27">
        <f t="shared" si="32"/>
        <v>24</v>
      </c>
      <c r="E450" s="27">
        <f t="shared" si="33"/>
        <v>2</v>
      </c>
      <c r="F450" s="27">
        <f>VLOOKUP(E450,[1]t_calendarioPolitica!A:C,3,FALSE)</f>
        <v>1</v>
      </c>
      <c r="G450" s="1">
        <v>1</v>
      </c>
      <c r="H450" s="1">
        <v>1</v>
      </c>
      <c r="I450" s="1">
        <f t="shared" si="34"/>
        <v>1</v>
      </c>
    </row>
    <row r="451" spans="1:9" x14ac:dyDescent="0.3">
      <c r="A451" s="26">
        <v>45741</v>
      </c>
      <c r="B451" s="27">
        <f t="shared" ref="B451:B514" si="35">YEAR(A451)</f>
        <v>2025</v>
      </c>
      <c r="C451" s="27">
        <f t="shared" ref="C451:C514" si="36">MONTH(A451)</f>
        <v>3</v>
      </c>
      <c r="D451" s="27">
        <f t="shared" ref="D451:D514" si="37">DAY(A451)</f>
        <v>25</v>
      </c>
      <c r="E451" s="27">
        <f t="shared" ref="E451:E514" si="38">WEEKDAY(A451)</f>
        <v>3</v>
      </c>
      <c r="F451" s="27">
        <f>VLOOKUP(E451,[1]t_calendarioPolitica!A:C,3,FALSE)</f>
        <v>1</v>
      </c>
      <c r="G451" s="1">
        <v>1</v>
      </c>
      <c r="H451" s="1">
        <v>1</v>
      </c>
      <c r="I451" s="1">
        <f t="shared" ref="I451:I514" si="39">IF(AND(F451&lt;&gt;0, H451&lt;&gt;0,G451&lt;&gt;0), 1, 0)</f>
        <v>1</v>
      </c>
    </row>
    <row r="452" spans="1:9" x14ac:dyDescent="0.3">
      <c r="A452" s="26">
        <v>45742</v>
      </c>
      <c r="B452" s="27">
        <f t="shared" si="35"/>
        <v>2025</v>
      </c>
      <c r="C452" s="27">
        <f t="shared" si="36"/>
        <v>3</v>
      </c>
      <c r="D452" s="27">
        <f t="shared" si="37"/>
        <v>26</v>
      </c>
      <c r="E452" s="27">
        <f t="shared" si="38"/>
        <v>4</v>
      </c>
      <c r="F452" s="27">
        <f>VLOOKUP(E452,[1]t_calendarioPolitica!A:C,3,FALSE)</f>
        <v>1</v>
      </c>
      <c r="G452" s="1">
        <v>1</v>
      </c>
      <c r="H452" s="1">
        <v>1</v>
      </c>
      <c r="I452" s="1">
        <f t="shared" si="39"/>
        <v>1</v>
      </c>
    </row>
    <row r="453" spans="1:9" x14ac:dyDescent="0.3">
      <c r="A453" s="26">
        <v>45743</v>
      </c>
      <c r="B453" s="27">
        <f t="shared" si="35"/>
        <v>2025</v>
      </c>
      <c r="C453" s="27">
        <f t="shared" si="36"/>
        <v>3</v>
      </c>
      <c r="D453" s="27">
        <f t="shared" si="37"/>
        <v>27</v>
      </c>
      <c r="E453" s="27">
        <f t="shared" si="38"/>
        <v>5</v>
      </c>
      <c r="F453" s="27">
        <f>VLOOKUP(E453,[1]t_calendarioPolitica!A:C,3,FALSE)</f>
        <v>1</v>
      </c>
      <c r="G453" s="1">
        <v>1</v>
      </c>
      <c r="H453" s="1">
        <v>1</v>
      </c>
      <c r="I453" s="1">
        <f t="shared" si="39"/>
        <v>1</v>
      </c>
    </row>
    <row r="454" spans="1:9" x14ac:dyDescent="0.3">
      <c r="A454" s="26">
        <v>45744</v>
      </c>
      <c r="B454" s="27">
        <f t="shared" si="35"/>
        <v>2025</v>
      </c>
      <c r="C454" s="27">
        <f t="shared" si="36"/>
        <v>3</v>
      </c>
      <c r="D454" s="27">
        <f t="shared" si="37"/>
        <v>28</v>
      </c>
      <c r="E454" s="27">
        <f t="shared" si="38"/>
        <v>6</v>
      </c>
      <c r="F454" s="27">
        <f>VLOOKUP(E454,[1]t_calendarioPolitica!A:C,3,FALSE)</f>
        <v>1</v>
      </c>
      <c r="G454" s="1">
        <v>1</v>
      </c>
      <c r="H454" s="1">
        <v>1</v>
      </c>
      <c r="I454" s="1">
        <f t="shared" si="39"/>
        <v>1</v>
      </c>
    </row>
    <row r="455" spans="1:9" x14ac:dyDescent="0.3">
      <c r="A455" s="26">
        <v>45745</v>
      </c>
      <c r="B455" s="27">
        <f t="shared" si="35"/>
        <v>2025</v>
      </c>
      <c r="C455" s="27">
        <f t="shared" si="36"/>
        <v>3</v>
      </c>
      <c r="D455" s="27">
        <f t="shared" si="37"/>
        <v>29</v>
      </c>
      <c r="E455" s="27">
        <f t="shared" si="38"/>
        <v>7</v>
      </c>
      <c r="F455" s="27">
        <f>VLOOKUP(E455,[1]t_calendarioPolitica!A:C,3,FALSE)</f>
        <v>2</v>
      </c>
      <c r="G455" s="1">
        <v>1</v>
      </c>
      <c r="H455" s="1">
        <v>1</v>
      </c>
      <c r="I455" s="1">
        <f t="shared" si="39"/>
        <v>1</v>
      </c>
    </row>
    <row r="456" spans="1:9" x14ac:dyDescent="0.3">
      <c r="A456" s="26">
        <v>45746</v>
      </c>
      <c r="B456" s="27">
        <f t="shared" si="35"/>
        <v>2025</v>
      </c>
      <c r="C456" s="27">
        <f t="shared" si="36"/>
        <v>3</v>
      </c>
      <c r="D456" s="27">
        <f t="shared" si="37"/>
        <v>30</v>
      </c>
      <c r="E456" s="27">
        <f t="shared" si="38"/>
        <v>1</v>
      </c>
      <c r="F456" s="27">
        <f>VLOOKUP(E456,[1]t_calendarioPolitica!A:C,3,FALSE)</f>
        <v>0</v>
      </c>
      <c r="G456" s="1">
        <v>1</v>
      </c>
      <c r="H456" s="1">
        <v>1</v>
      </c>
      <c r="I456" s="1">
        <f t="shared" si="39"/>
        <v>0</v>
      </c>
    </row>
    <row r="457" spans="1:9" x14ac:dyDescent="0.3">
      <c r="A457" s="26">
        <v>45747</v>
      </c>
      <c r="B457" s="27">
        <f t="shared" si="35"/>
        <v>2025</v>
      </c>
      <c r="C457" s="27">
        <f t="shared" si="36"/>
        <v>3</v>
      </c>
      <c r="D457" s="27">
        <f t="shared" si="37"/>
        <v>31</v>
      </c>
      <c r="E457" s="27">
        <f t="shared" si="38"/>
        <v>2</v>
      </c>
      <c r="F457" s="27">
        <f>VLOOKUP(E457,[1]t_calendarioPolitica!A:C,3,FALSE)</f>
        <v>1</v>
      </c>
      <c r="G457" s="1">
        <v>1</v>
      </c>
      <c r="H457" s="1">
        <v>1</v>
      </c>
      <c r="I457" s="1">
        <f t="shared" si="39"/>
        <v>1</v>
      </c>
    </row>
    <row r="458" spans="1:9" x14ac:dyDescent="0.3">
      <c r="A458" s="26">
        <v>45748</v>
      </c>
      <c r="B458" s="27">
        <f t="shared" si="35"/>
        <v>2025</v>
      </c>
      <c r="C458" s="27">
        <f t="shared" si="36"/>
        <v>4</v>
      </c>
      <c r="D458" s="27">
        <f t="shared" si="37"/>
        <v>1</v>
      </c>
      <c r="E458" s="27">
        <f t="shared" si="38"/>
        <v>3</v>
      </c>
      <c r="F458" s="27">
        <f>VLOOKUP(E458,[1]t_calendarioPolitica!A:C,3,FALSE)</f>
        <v>1</v>
      </c>
      <c r="G458" s="1">
        <v>1</v>
      </c>
      <c r="H458" s="1">
        <v>1</v>
      </c>
      <c r="I458" s="1">
        <f t="shared" si="39"/>
        <v>1</v>
      </c>
    </row>
    <row r="459" spans="1:9" x14ac:dyDescent="0.3">
      <c r="A459" s="26">
        <v>45749</v>
      </c>
      <c r="B459" s="27">
        <f t="shared" si="35"/>
        <v>2025</v>
      </c>
      <c r="C459" s="27">
        <f t="shared" si="36"/>
        <v>4</v>
      </c>
      <c r="D459" s="27">
        <f t="shared" si="37"/>
        <v>2</v>
      </c>
      <c r="E459" s="27">
        <f t="shared" si="38"/>
        <v>4</v>
      </c>
      <c r="F459" s="27">
        <f>VLOOKUP(E459,[1]t_calendarioPolitica!A:C,3,FALSE)</f>
        <v>1</v>
      </c>
      <c r="G459" s="1">
        <v>1</v>
      </c>
      <c r="H459" s="1">
        <v>1</v>
      </c>
      <c r="I459" s="1">
        <f t="shared" si="39"/>
        <v>1</v>
      </c>
    </row>
    <row r="460" spans="1:9" x14ac:dyDescent="0.3">
      <c r="A460" s="26">
        <v>45750</v>
      </c>
      <c r="B460" s="27">
        <f t="shared" si="35"/>
        <v>2025</v>
      </c>
      <c r="C460" s="27">
        <f t="shared" si="36"/>
        <v>4</v>
      </c>
      <c r="D460" s="27">
        <f t="shared" si="37"/>
        <v>3</v>
      </c>
      <c r="E460" s="27">
        <f t="shared" si="38"/>
        <v>5</v>
      </c>
      <c r="F460" s="27">
        <f>VLOOKUP(E460,[1]t_calendarioPolitica!A:C,3,FALSE)</f>
        <v>1</v>
      </c>
      <c r="G460" s="1">
        <v>1</v>
      </c>
      <c r="H460" s="1">
        <v>1</v>
      </c>
      <c r="I460" s="1">
        <f t="shared" si="39"/>
        <v>1</v>
      </c>
    </row>
    <row r="461" spans="1:9" x14ac:dyDescent="0.3">
      <c r="A461" s="26">
        <v>45751</v>
      </c>
      <c r="B461" s="27">
        <f t="shared" si="35"/>
        <v>2025</v>
      </c>
      <c r="C461" s="27">
        <f t="shared" si="36"/>
        <v>4</v>
      </c>
      <c r="D461" s="27">
        <f t="shared" si="37"/>
        <v>4</v>
      </c>
      <c r="E461" s="27">
        <f t="shared" si="38"/>
        <v>6</v>
      </c>
      <c r="F461" s="27">
        <f>VLOOKUP(E461,[1]t_calendarioPolitica!A:C,3,FALSE)</f>
        <v>1</v>
      </c>
      <c r="G461" s="1">
        <v>1</v>
      </c>
      <c r="H461" s="1">
        <v>1</v>
      </c>
      <c r="I461" s="1">
        <f t="shared" si="39"/>
        <v>1</v>
      </c>
    </row>
    <row r="462" spans="1:9" x14ac:dyDescent="0.3">
      <c r="A462" s="26">
        <v>45752</v>
      </c>
      <c r="B462" s="27">
        <f t="shared" si="35"/>
        <v>2025</v>
      </c>
      <c r="C462" s="27">
        <f t="shared" si="36"/>
        <v>4</v>
      </c>
      <c r="D462" s="27">
        <f t="shared" si="37"/>
        <v>5</v>
      </c>
      <c r="E462" s="27">
        <f t="shared" si="38"/>
        <v>7</v>
      </c>
      <c r="F462" s="27">
        <f>VLOOKUP(E462,[1]t_calendarioPolitica!A:C,3,FALSE)</f>
        <v>2</v>
      </c>
      <c r="G462" s="1">
        <v>1</v>
      </c>
      <c r="H462" s="1">
        <v>1</v>
      </c>
      <c r="I462" s="1">
        <f t="shared" si="39"/>
        <v>1</v>
      </c>
    </row>
    <row r="463" spans="1:9" x14ac:dyDescent="0.3">
      <c r="A463" s="26">
        <v>45753</v>
      </c>
      <c r="B463" s="27">
        <f t="shared" si="35"/>
        <v>2025</v>
      </c>
      <c r="C463" s="27">
        <f t="shared" si="36"/>
        <v>4</v>
      </c>
      <c r="D463" s="27">
        <f t="shared" si="37"/>
        <v>6</v>
      </c>
      <c r="E463" s="27">
        <f t="shared" si="38"/>
        <v>1</v>
      </c>
      <c r="F463" s="27">
        <f>VLOOKUP(E463,[1]t_calendarioPolitica!A:C,3,FALSE)</f>
        <v>0</v>
      </c>
      <c r="G463" s="1">
        <v>1</v>
      </c>
      <c r="H463" s="1">
        <v>1</v>
      </c>
      <c r="I463" s="1">
        <f t="shared" si="39"/>
        <v>0</v>
      </c>
    </row>
    <row r="464" spans="1:9" x14ac:dyDescent="0.3">
      <c r="A464" s="26">
        <v>45754</v>
      </c>
      <c r="B464" s="27">
        <f t="shared" si="35"/>
        <v>2025</v>
      </c>
      <c r="C464" s="27">
        <f t="shared" si="36"/>
        <v>4</v>
      </c>
      <c r="D464" s="27">
        <f t="shared" si="37"/>
        <v>7</v>
      </c>
      <c r="E464" s="27">
        <f t="shared" si="38"/>
        <v>2</v>
      </c>
      <c r="F464" s="27">
        <f>VLOOKUP(E464,[1]t_calendarioPolitica!A:C,3,FALSE)</f>
        <v>1</v>
      </c>
      <c r="G464" s="1">
        <v>1</v>
      </c>
      <c r="H464" s="1">
        <v>1</v>
      </c>
      <c r="I464" s="1">
        <f t="shared" si="39"/>
        <v>1</v>
      </c>
    </row>
    <row r="465" spans="1:9" x14ac:dyDescent="0.3">
      <c r="A465" s="26">
        <v>45755</v>
      </c>
      <c r="B465" s="27">
        <f t="shared" si="35"/>
        <v>2025</v>
      </c>
      <c r="C465" s="27">
        <f t="shared" si="36"/>
        <v>4</v>
      </c>
      <c r="D465" s="27">
        <f t="shared" si="37"/>
        <v>8</v>
      </c>
      <c r="E465" s="27">
        <f t="shared" si="38"/>
        <v>3</v>
      </c>
      <c r="F465" s="27">
        <f>VLOOKUP(E465,[1]t_calendarioPolitica!A:C,3,FALSE)</f>
        <v>1</v>
      </c>
      <c r="G465" s="1">
        <v>1</v>
      </c>
      <c r="H465" s="1">
        <v>1</v>
      </c>
      <c r="I465" s="1">
        <f t="shared" si="39"/>
        <v>1</v>
      </c>
    </row>
    <row r="466" spans="1:9" x14ac:dyDescent="0.3">
      <c r="A466" s="26">
        <v>45756</v>
      </c>
      <c r="B466" s="27">
        <f t="shared" si="35"/>
        <v>2025</v>
      </c>
      <c r="C466" s="27">
        <f t="shared" si="36"/>
        <v>4</v>
      </c>
      <c r="D466" s="27">
        <f t="shared" si="37"/>
        <v>9</v>
      </c>
      <c r="E466" s="27">
        <f t="shared" si="38"/>
        <v>4</v>
      </c>
      <c r="F466" s="27">
        <f>VLOOKUP(E466,[1]t_calendarioPolitica!A:C,3,FALSE)</f>
        <v>1</v>
      </c>
      <c r="G466" s="1">
        <v>1</v>
      </c>
      <c r="H466" s="1">
        <v>1</v>
      </c>
      <c r="I466" s="1">
        <f t="shared" si="39"/>
        <v>1</v>
      </c>
    </row>
    <row r="467" spans="1:9" x14ac:dyDescent="0.3">
      <c r="A467" s="26">
        <v>45757</v>
      </c>
      <c r="B467" s="27">
        <f t="shared" si="35"/>
        <v>2025</v>
      </c>
      <c r="C467" s="27">
        <f t="shared" si="36"/>
        <v>4</v>
      </c>
      <c r="D467" s="27">
        <f t="shared" si="37"/>
        <v>10</v>
      </c>
      <c r="E467" s="27">
        <f t="shared" si="38"/>
        <v>5</v>
      </c>
      <c r="F467" s="27">
        <f>VLOOKUP(E467,[1]t_calendarioPolitica!A:C,3,FALSE)</f>
        <v>1</v>
      </c>
      <c r="G467" s="1">
        <v>1</v>
      </c>
      <c r="H467" s="1">
        <v>1</v>
      </c>
      <c r="I467" s="1">
        <f t="shared" si="39"/>
        <v>1</v>
      </c>
    </row>
    <row r="468" spans="1:9" x14ac:dyDescent="0.3">
      <c r="A468" s="26">
        <v>45758</v>
      </c>
      <c r="B468" s="27">
        <f t="shared" si="35"/>
        <v>2025</v>
      </c>
      <c r="C468" s="27">
        <f t="shared" si="36"/>
        <v>4</v>
      </c>
      <c r="D468" s="27">
        <f t="shared" si="37"/>
        <v>11</v>
      </c>
      <c r="E468" s="27">
        <f t="shared" si="38"/>
        <v>6</v>
      </c>
      <c r="F468" s="27">
        <f>VLOOKUP(E468,[1]t_calendarioPolitica!A:C,3,FALSE)</f>
        <v>1</v>
      </c>
      <c r="G468" s="1">
        <v>1</v>
      </c>
      <c r="H468" s="1">
        <v>1</v>
      </c>
      <c r="I468" s="1">
        <f t="shared" si="39"/>
        <v>1</v>
      </c>
    </row>
    <row r="469" spans="1:9" x14ac:dyDescent="0.3">
      <c r="A469" s="26">
        <v>45759</v>
      </c>
      <c r="B469" s="27">
        <f t="shared" si="35"/>
        <v>2025</v>
      </c>
      <c r="C469" s="27">
        <f t="shared" si="36"/>
        <v>4</v>
      </c>
      <c r="D469" s="27">
        <f t="shared" si="37"/>
        <v>12</v>
      </c>
      <c r="E469" s="27">
        <f t="shared" si="38"/>
        <v>7</v>
      </c>
      <c r="F469" s="27">
        <f>VLOOKUP(E469,[1]t_calendarioPolitica!A:C,3,FALSE)</f>
        <v>2</v>
      </c>
      <c r="G469" s="1">
        <v>1</v>
      </c>
      <c r="H469" s="1">
        <v>1</v>
      </c>
      <c r="I469" s="1">
        <f t="shared" si="39"/>
        <v>1</v>
      </c>
    </row>
    <row r="470" spans="1:9" x14ac:dyDescent="0.3">
      <c r="A470" s="26">
        <v>45760</v>
      </c>
      <c r="B470" s="27">
        <f t="shared" si="35"/>
        <v>2025</v>
      </c>
      <c r="C470" s="27">
        <f t="shared" si="36"/>
        <v>4</v>
      </c>
      <c r="D470" s="27">
        <f t="shared" si="37"/>
        <v>13</v>
      </c>
      <c r="E470" s="27">
        <f t="shared" si="38"/>
        <v>1</v>
      </c>
      <c r="F470" s="27">
        <f>VLOOKUP(E470,[1]t_calendarioPolitica!A:C,3,FALSE)</f>
        <v>0</v>
      </c>
      <c r="G470" s="1">
        <v>1</v>
      </c>
      <c r="H470" s="1">
        <v>1</v>
      </c>
      <c r="I470" s="1">
        <f t="shared" si="39"/>
        <v>0</v>
      </c>
    </row>
    <row r="471" spans="1:9" x14ac:dyDescent="0.3">
      <c r="A471" s="26">
        <v>45761</v>
      </c>
      <c r="B471" s="27">
        <f t="shared" si="35"/>
        <v>2025</v>
      </c>
      <c r="C471" s="27">
        <f t="shared" si="36"/>
        <v>4</v>
      </c>
      <c r="D471" s="27">
        <f t="shared" si="37"/>
        <v>14</v>
      </c>
      <c r="E471" s="27">
        <f t="shared" si="38"/>
        <v>2</v>
      </c>
      <c r="F471" s="27">
        <f>VLOOKUP(E471,[1]t_calendarioPolitica!A:C,3,FALSE)</f>
        <v>1</v>
      </c>
      <c r="G471" s="1">
        <v>1</v>
      </c>
      <c r="H471" s="1">
        <v>1</v>
      </c>
      <c r="I471" s="1">
        <f t="shared" si="39"/>
        <v>1</v>
      </c>
    </row>
    <row r="472" spans="1:9" x14ac:dyDescent="0.3">
      <c r="A472" s="26">
        <v>45762</v>
      </c>
      <c r="B472" s="27">
        <f t="shared" si="35"/>
        <v>2025</v>
      </c>
      <c r="C472" s="27">
        <f t="shared" si="36"/>
        <v>4</v>
      </c>
      <c r="D472" s="27">
        <f t="shared" si="37"/>
        <v>15</v>
      </c>
      <c r="E472" s="27">
        <f t="shared" si="38"/>
        <v>3</v>
      </c>
      <c r="F472" s="27">
        <f>VLOOKUP(E472,[1]t_calendarioPolitica!A:C,3,FALSE)</f>
        <v>1</v>
      </c>
      <c r="G472" s="1">
        <v>1</v>
      </c>
      <c r="H472" s="1">
        <v>1</v>
      </c>
      <c r="I472" s="1">
        <f t="shared" si="39"/>
        <v>1</v>
      </c>
    </row>
    <row r="473" spans="1:9" x14ac:dyDescent="0.3">
      <c r="A473" s="26">
        <v>45763</v>
      </c>
      <c r="B473" s="27">
        <f t="shared" si="35"/>
        <v>2025</v>
      </c>
      <c r="C473" s="27">
        <f t="shared" si="36"/>
        <v>4</v>
      </c>
      <c r="D473" s="27">
        <f t="shared" si="37"/>
        <v>16</v>
      </c>
      <c r="E473" s="27">
        <f t="shared" si="38"/>
        <v>4</v>
      </c>
      <c r="F473" s="27">
        <f>VLOOKUP(E473,[1]t_calendarioPolitica!A:C,3,FALSE)</f>
        <v>1</v>
      </c>
      <c r="G473" s="1">
        <v>1</v>
      </c>
      <c r="H473" s="1">
        <v>1</v>
      </c>
      <c r="I473" s="1">
        <f t="shared" si="39"/>
        <v>1</v>
      </c>
    </row>
    <row r="474" spans="1:9" x14ac:dyDescent="0.3">
      <c r="A474" s="26">
        <v>45764</v>
      </c>
      <c r="B474" s="27">
        <f t="shared" si="35"/>
        <v>2025</v>
      </c>
      <c r="C474" s="27">
        <f t="shared" si="36"/>
        <v>4</v>
      </c>
      <c r="D474" s="27">
        <f t="shared" si="37"/>
        <v>17</v>
      </c>
      <c r="E474" s="27">
        <f t="shared" si="38"/>
        <v>5</v>
      </c>
      <c r="F474" s="27">
        <f>VLOOKUP(E474,[1]t_calendarioPolitica!A:C,3,FALSE)</f>
        <v>1</v>
      </c>
      <c r="G474" s="1">
        <v>1</v>
      </c>
      <c r="H474" s="1">
        <v>0</v>
      </c>
      <c r="I474" s="1">
        <f t="shared" si="39"/>
        <v>0</v>
      </c>
    </row>
    <row r="475" spans="1:9" x14ac:dyDescent="0.3">
      <c r="A475" s="26">
        <v>45765</v>
      </c>
      <c r="B475" s="27">
        <f t="shared" si="35"/>
        <v>2025</v>
      </c>
      <c r="C475" s="27">
        <f t="shared" si="36"/>
        <v>4</v>
      </c>
      <c r="D475" s="27">
        <f t="shared" si="37"/>
        <v>18</v>
      </c>
      <c r="E475" s="27">
        <f t="shared" si="38"/>
        <v>6</v>
      </c>
      <c r="F475" s="27">
        <f>VLOOKUP(E475,[1]t_calendarioPolitica!A:C,3,FALSE)</f>
        <v>1</v>
      </c>
      <c r="G475" s="1">
        <v>1</v>
      </c>
      <c r="H475" s="1">
        <v>0</v>
      </c>
      <c r="I475" s="1">
        <f t="shared" si="39"/>
        <v>0</v>
      </c>
    </row>
    <row r="476" spans="1:9" x14ac:dyDescent="0.3">
      <c r="A476" s="26">
        <v>45766</v>
      </c>
      <c r="B476" s="27">
        <f t="shared" si="35"/>
        <v>2025</v>
      </c>
      <c r="C476" s="27">
        <f t="shared" si="36"/>
        <v>4</v>
      </c>
      <c r="D476" s="27">
        <f t="shared" si="37"/>
        <v>19</v>
      </c>
      <c r="E476" s="27">
        <f t="shared" si="38"/>
        <v>7</v>
      </c>
      <c r="F476" s="27">
        <f>VLOOKUP(E476,[1]t_calendarioPolitica!A:C,3,FALSE)</f>
        <v>2</v>
      </c>
      <c r="G476" s="1">
        <v>1</v>
      </c>
      <c r="H476" s="1">
        <v>0</v>
      </c>
      <c r="I476" s="1">
        <f t="shared" si="39"/>
        <v>0</v>
      </c>
    </row>
    <row r="477" spans="1:9" x14ac:dyDescent="0.3">
      <c r="A477" s="26">
        <v>45767</v>
      </c>
      <c r="B477" s="27">
        <f t="shared" si="35"/>
        <v>2025</v>
      </c>
      <c r="C477" s="27">
        <f t="shared" si="36"/>
        <v>4</v>
      </c>
      <c r="D477" s="27">
        <f t="shared" si="37"/>
        <v>20</v>
      </c>
      <c r="E477" s="27">
        <f t="shared" si="38"/>
        <v>1</v>
      </c>
      <c r="F477" s="27">
        <f>VLOOKUP(E477,[1]t_calendarioPolitica!A:C,3,FALSE)</f>
        <v>0</v>
      </c>
      <c r="G477" s="1">
        <v>1</v>
      </c>
      <c r="H477" s="1">
        <v>0</v>
      </c>
      <c r="I477" s="1">
        <f t="shared" si="39"/>
        <v>0</v>
      </c>
    </row>
    <row r="478" spans="1:9" x14ac:dyDescent="0.3">
      <c r="A478" s="26">
        <v>45768</v>
      </c>
      <c r="B478" s="27">
        <f t="shared" si="35"/>
        <v>2025</v>
      </c>
      <c r="C478" s="27">
        <f t="shared" si="36"/>
        <v>4</v>
      </c>
      <c r="D478" s="27">
        <f t="shared" si="37"/>
        <v>21</v>
      </c>
      <c r="E478" s="27">
        <f t="shared" si="38"/>
        <v>2</v>
      </c>
      <c r="F478" s="27">
        <f>VLOOKUP(E478,[1]t_calendarioPolitica!A:C,3,FALSE)</f>
        <v>1</v>
      </c>
      <c r="G478" s="1">
        <v>1</v>
      </c>
      <c r="H478" s="1">
        <v>1</v>
      </c>
      <c r="I478" s="1">
        <f t="shared" si="39"/>
        <v>1</v>
      </c>
    </row>
    <row r="479" spans="1:9" x14ac:dyDescent="0.3">
      <c r="A479" s="26">
        <v>45769</v>
      </c>
      <c r="B479" s="27">
        <f t="shared" si="35"/>
        <v>2025</v>
      </c>
      <c r="C479" s="27">
        <f t="shared" si="36"/>
        <v>4</v>
      </c>
      <c r="D479" s="27">
        <f t="shared" si="37"/>
        <v>22</v>
      </c>
      <c r="E479" s="27">
        <f t="shared" si="38"/>
        <v>3</v>
      </c>
      <c r="F479" s="27">
        <f>VLOOKUP(E479,[1]t_calendarioPolitica!A:C,3,FALSE)</f>
        <v>1</v>
      </c>
      <c r="G479" s="1">
        <v>1</v>
      </c>
      <c r="H479" s="1">
        <v>1</v>
      </c>
      <c r="I479" s="1">
        <f t="shared" si="39"/>
        <v>1</v>
      </c>
    </row>
    <row r="480" spans="1:9" x14ac:dyDescent="0.3">
      <c r="A480" s="26">
        <v>45770</v>
      </c>
      <c r="B480" s="27">
        <f t="shared" si="35"/>
        <v>2025</v>
      </c>
      <c r="C480" s="27">
        <f t="shared" si="36"/>
        <v>4</v>
      </c>
      <c r="D480" s="27">
        <f t="shared" si="37"/>
        <v>23</v>
      </c>
      <c r="E480" s="27">
        <f t="shared" si="38"/>
        <v>4</v>
      </c>
      <c r="F480" s="27">
        <f>VLOOKUP(E480,[1]t_calendarioPolitica!A:C,3,FALSE)</f>
        <v>1</v>
      </c>
      <c r="G480" s="1">
        <v>1</v>
      </c>
      <c r="H480" s="1">
        <v>1</v>
      </c>
      <c r="I480" s="1">
        <f t="shared" si="39"/>
        <v>1</v>
      </c>
    </row>
    <row r="481" spans="1:9" x14ac:dyDescent="0.3">
      <c r="A481" s="26">
        <v>45771</v>
      </c>
      <c r="B481" s="27">
        <f t="shared" si="35"/>
        <v>2025</v>
      </c>
      <c r="C481" s="27">
        <f t="shared" si="36"/>
        <v>4</v>
      </c>
      <c r="D481" s="27">
        <f t="shared" si="37"/>
        <v>24</v>
      </c>
      <c r="E481" s="27">
        <f t="shared" si="38"/>
        <v>5</v>
      </c>
      <c r="F481" s="27">
        <f>VLOOKUP(E481,[1]t_calendarioPolitica!A:C,3,FALSE)</f>
        <v>1</v>
      </c>
      <c r="G481" s="1">
        <v>1</v>
      </c>
      <c r="H481" s="1">
        <v>1</v>
      </c>
      <c r="I481" s="1">
        <f t="shared" si="39"/>
        <v>1</v>
      </c>
    </row>
    <row r="482" spans="1:9" x14ac:dyDescent="0.3">
      <c r="A482" s="26">
        <v>45772</v>
      </c>
      <c r="B482" s="27">
        <f t="shared" si="35"/>
        <v>2025</v>
      </c>
      <c r="C482" s="27">
        <f t="shared" si="36"/>
        <v>4</v>
      </c>
      <c r="D482" s="27">
        <f t="shared" si="37"/>
        <v>25</v>
      </c>
      <c r="E482" s="27">
        <f t="shared" si="38"/>
        <v>6</v>
      </c>
      <c r="F482" s="27">
        <f>VLOOKUP(E482,[1]t_calendarioPolitica!A:C,3,FALSE)</f>
        <v>1</v>
      </c>
      <c r="G482" s="1">
        <v>1</v>
      </c>
      <c r="H482" s="1">
        <v>1</v>
      </c>
      <c r="I482" s="1">
        <f t="shared" si="39"/>
        <v>1</v>
      </c>
    </row>
    <row r="483" spans="1:9" x14ac:dyDescent="0.3">
      <c r="A483" s="26">
        <v>45773</v>
      </c>
      <c r="B483" s="27">
        <f t="shared" si="35"/>
        <v>2025</v>
      </c>
      <c r="C483" s="27">
        <f t="shared" si="36"/>
        <v>4</v>
      </c>
      <c r="D483" s="27">
        <f t="shared" si="37"/>
        <v>26</v>
      </c>
      <c r="E483" s="27">
        <f t="shared" si="38"/>
        <v>7</v>
      </c>
      <c r="F483" s="27">
        <f>VLOOKUP(E483,[1]t_calendarioPolitica!A:C,3,FALSE)</f>
        <v>2</v>
      </c>
      <c r="G483" s="1">
        <v>1</v>
      </c>
      <c r="H483" s="1">
        <v>1</v>
      </c>
      <c r="I483" s="1">
        <f t="shared" si="39"/>
        <v>1</v>
      </c>
    </row>
    <row r="484" spans="1:9" x14ac:dyDescent="0.3">
      <c r="A484" s="26">
        <v>45774</v>
      </c>
      <c r="B484" s="27">
        <f t="shared" si="35"/>
        <v>2025</v>
      </c>
      <c r="C484" s="27">
        <f t="shared" si="36"/>
        <v>4</v>
      </c>
      <c r="D484" s="27">
        <f t="shared" si="37"/>
        <v>27</v>
      </c>
      <c r="E484" s="27">
        <f t="shared" si="38"/>
        <v>1</v>
      </c>
      <c r="F484" s="27">
        <f>VLOOKUP(E484,[1]t_calendarioPolitica!A:C,3,FALSE)</f>
        <v>0</v>
      </c>
      <c r="G484" s="1">
        <v>1</v>
      </c>
      <c r="H484" s="1">
        <v>1</v>
      </c>
      <c r="I484" s="1">
        <f t="shared" si="39"/>
        <v>0</v>
      </c>
    </row>
    <row r="485" spans="1:9" x14ac:dyDescent="0.3">
      <c r="A485" s="26">
        <v>45775</v>
      </c>
      <c r="B485" s="27">
        <f t="shared" si="35"/>
        <v>2025</v>
      </c>
      <c r="C485" s="27">
        <f t="shared" si="36"/>
        <v>4</v>
      </c>
      <c r="D485" s="27">
        <f t="shared" si="37"/>
        <v>28</v>
      </c>
      <c r="E485" s="27">
        <f t="shared" si="38"/>
        <v>2</v>
      </c>
      <c r="F485" s="27">
        <f>VLOOKUP(E485,[1]t_calendarioPolitica!A:C,3,FALSE)</f>
        <v>1</v>
      </c>
      <c r="G485" s="1">
        <v>1</v>
      </c>
      <c r="H485" s="1">
        <v>1</v>
      </c>
      <c r="I485" s="1">
        <f t="shared" si="39"/>
        <v>1</v>
      </c>
    </row>
    <row r="486" spans="1:9" x14ac:dyDescent="0.3">
      <c r="A486" s="26">
        <v>45776</v>
      </c>
      <c r="B486" s="27">
        <f t="shared" si="35"/>
        <v>2025</v>
      </c>
      <c r="C486" s="27">
        <f t="shared" si="36"/>
        <v>4</v>
      </c>
      <c r="D486" s="27">
        <f t="shared" si="37"/>
        <v>29</v>
      </c>
      <c r="E486" s="27">
        <f t="shared" si="38"/>
        <v>3</v>
      </c>
      <c r="F486" s="27">
        <f>VLOOKUP(E486,[1]t_calendarioPolitica!A:C,3,FALSE)</f>
        <v>1</v>
      </c>
      <c r="G486" s="1">
        <v>1</v>
      </c>
      <c r="H486" s="1">
        <v>1</v>
      </c>
      <c r="I486" s="1">
        <f t="shared" si="39"/>
        <v>1</v>
      </c>
    </row>
    <row r="487" spans="1:9" x14ac:dyDescent="0.3">
      <c r="A487" s="26">
        <v>45777</v>
      </c>
      <c r="B487" s="27">
        <f t="shared" si="35"/>
        <v>2025</v>
      </c>
      <c r="C487" s="27">
        <f t="shared" si="36"/>
        <v>4</v>
      </c>
      <c r="D487" s="27">
        <f t="shared" si="37"/>
        <v>30</v>
      </c>
      <c r="E487" s="27">
        <f t="shared" si="38"/>
        <v>4</v>
      </c>
      <c r="F487" s="27">
        <f>VLOOKUP(E487,[1]t_calendarioPolitica!A:C,3,FALSE)</f>
        <v>1</v>
      </c>
      <c r="G487" s="1">
        <v>1</v>
      </c>
      <c r="H487" s="1">
        <v>1</v>
      </c>
      <c r="I487" s="1">
        <f t="shared" si="39"/>
        <v>1</v>
      </c>
    </row>
    <row r="488" spans="1:9" x14ac:dyDescent="0.3">
      <c r="A488" s="26">
        <v>45778</v>
      </c>
      <c r="B488" s="27">
        <f t="shared" si="35"/>
        <v>2025</v>
      </c>
      <c r="C488" s="27">
        <f t="shared" si="36"/>
        <v>5</v>
      </c>
      <c r="D488" s="27">
        <f t="shared" si="37"/>
        <v>1</v>
      </c>
      <c r="E488" s="27">
        <f t="shared" si="38"/>
        <v>5</v>
      </c>
      <c r="F488" s="27">
        <f>VLOOKUP(E488,[1]t_calendarioPolitica!A:C,3,FALSE)</f>
        <v>1</v>
      </c>
      <c r="G488" s="1">
        <v>1</v>
      </c>
      <c r="H488" s="1">
        <v>1</v>
      </c>
      <c r="I488" s="1">
        <f t="shared" si="39"/>
        <v>1</v>
      </c>
    </row>
    <row r="489" spans="1:9" x14ac:dyDescent="0.3">
      <c r="A489" s="26">
        <v>45779</v>
      </c>
      <c r="B489" s="27">
        <f t="shared" si="35"/>
        <v>2025</v>
      </c>
      <c r="C489" s="27">
        <f t="shared" si="36"/>
        <v>5</v>
      </c>
      <c r="D489" s="27">
        <f t="shared" si="37"/>
        <v>2</v>
      </c>
      <c r="E489" s="27">
        <f t="shared" si="38"/>
        <v>6</v>
      </c>
      <c r="F489" s="27">
        <f>VLOOKUP(E489,[1]t_calendarioPolitica!A:C,3,FALSE)</f>
        <v>1</v>
      </c>
      <c r="G489" s="1">
        <v>1</v>
      </c>
      <c r="H489" s="1">
        <v>1</v>
      </c>
      <c r="I489" s="1">
        <f t="shared" si="39"/>
        <v>1</v>
      </c>
    </row>
    <row r="490" spans="1:9" x14ac:dyDescent="0.3">
      <c r="A490" s="26">
        <v>45780</v>
      </c>
      <c r="B490" s="27">
        <f t="shared" si="35"/>
        <v>2025</v>
      </c>
      <c r="C490" s="27">
        <f t="shared" si="36"/>
        <v>5</v>
      </c>
      <c r="D490" s="27">
        <f t="shared" si="37"/>
        <v>3</v>
      </c>
      <c r="E490" s="27">
        <f t="shared" si="38"/>
        <v>7</v>
      </c>
      <c r="F490" s="27">
        <f>VLOOKUP(E490,[1]t_calendarioPolitica!A:C,3,FALSE)</f>
        <v>2</v>
      </c>
      <c r="G490" s="1">
        <v>1</v>
      </c>
      <c r="H490" s="1">
        <v>1</v>
      </c>
      <c r="I490" s="1">
        <f t="shared" si="39"/>
        <v>1</v>
      </c>
    </row>
    <row r="491" spans="1:9" x14ac:dyDescent="0.3">
      <c r="A491" s="26">
        <v>45781</v>
      </c>
      <c r="B491" s="27">
        <f t="shared" si="35"/>
        <v>2025</v>
      </c>
      <c r="C491" s="27">
        <f t="shared" si="36"/>
        <v>5</v>
      </c>
      <c r="D491" s="27">
        <f t="shared" si="37"/>
        <v>4</v>
      </c>
      <c r="E491" s="27">
        <f t="shared" si="38"/>
        <v>1</v>
      </c>
      <c r="F491" s="27">
        <f>VLOOKUP(E491,[1]t_calendarioPolitica!A:C,3,FALSE)</f>
        <v>0</v>
      </c>
      <c r="G491" s="1">
        <v>1</v>
      </c>
      <c r="H491" s="1">
        <v>1</v>
      </c>
      <c r="I491" s="1">
        <f t="shared" si="39"/>
        <v>0</v>
      </c>
    </row>
    <row r="492" spans="1:9" x14ac:dyDescent="0.3">
      <c r="A492" s="26">
        <v>45782</v>
      </c>
      <c r="B492" s="27">
        <f t="shared" si="35"/>
        <v>2025</v>
      </c>
      <c r="C492" s="27">
        <f t="shared" si="36"/>
        <v>5</v>
      </c>
      <c r="D492" s="27">
        <f t="shared" si="37"/>
        <v>5</v>
      </c>
      <c r="E492" s="27">
        <f t="shared" si="38"/>
        <v>2</v>
      </c>
      <c r="F492" s="27">
        <f>VLOOKUP(E492,[1]t_calendarioPolitica!A:C,3,FALSE)</f>
        <v>1</v>
      </c>
      <c r="G492" s="1">
        <v>1</v>
      </c>
      <c r="H492" s="1">
        <v>1</v>
      </c>
      <c r="I492" s="1">
        <f t="shared" si="39"/>
        <v>1</v>
      </c>
    </row>
    <row r="493" spans="1:9" x14ac:dyDescent="0.3">
      <c r="A493" s="26">
        <v>45783</v>
      </c>
      <c r="B493" s="27">
        <f t="shared" si="35"/>
        <v>2025</v>
      </c>
      <c r="C493" s="27">
        <f t="shared" si="36"/>
        <v>5</v>
      </c>
      <c r="D493" s="27">
        <f t="shared" si="37"/>
        <v>6</v>
      </c>
      <c r="E493" s="27">
        <f t="shared" si="38"/>
        <v>3</v>
      </c>
      <c r="F493" s="27">
        <f>VLOOKUP(E493,[1]t_calendarioPolitica!A:C,3,FALSE)</f>
        <v>1</v>
      </c>
      <c r="G493" s="1">
        <v>1</v>
      </c>
      <c r="H493" s="1">
        <v>1</v>
      </c>
      <c r="I493" s="1">
        <f t="shared" si="39"/>
        <v>1</v>
      </c>
    </row>
    <row r="494" spans="1:9" x14ac:dyDescent="0.3">
      <c r="A494" s="26">
        <v>45784</v>
      </c>
      <c r="B494" s="27">
        <f t="shared" si="35"/>
        <v>2025</v>
      </c>
      <c r="C494" s="27">
        <f t="shared" si="36"/>
        <v>5</v>
      </c>
      <c r="D494" s="27">
        <f t="shared" si="37"/>
        <v>7</v>
      </c>
      <c r="E494" s="27">
        <f t="shared" si="38"/>
        <v>4</v>
      </c>
      <c r="F494" s="27">
        <f>VLOOKUP(E494,[1]t_calendarioPolitica!A:C,3,FALSE)</f>
        <v>1</v>
      </c>
      <c r="G494" s="1">
        <v>1</v>
      </c>
      <c r="H494" s="1">
        <v>1</v>
      </c>
      <c r="I494" s="1">
        <f t="shared" si="39"/>
        <v>1</v>
      </c>
    </row>
    <row r="495" spans="1:9" x14ac:dyDescent="0.3">
      <c r="A495" s="26">
        <v>45785</v>
      </c>
      <c r="B495" s="27">
        <f t="shared" si="35"/>
        <v>2025</v>
      </c>
      <c r="C495" s="27">
        <f t="shared" si="36"/>
        <v>5</v>
      </c>
      <c r="D495" s="27">
        <f t="shared" si="37"/>
        <v>8</v>
      </c>
      <c r="E495" s="27">
        <f t="shared" si="38"/>
        <v>5</v>
      </c>
      <c r="F495" s="27">
        <f>VLOOKUP(E495,[1]t_calendarioPolitica!A:C,3,FALSE)</f>
        <v>1</v>
      </c>
      <c r="G495" s="1">
        <v>1</v>
      </c>
      <c r="H495" s="1">
        <v>1</v>
      </c>
      <c r="I495" s="1">
        <f t="shared" si="39"/>
        <v>1</v>
      </c>
    </row>
    <row r="496" spans="1:9" x14ac:dyDescent="0.3">
      <c r="A496" s="26">
        <v>45786</v>
      </c>
      <c r="B496" s="27">
        <f t="shared" si="35"/>
        <v>2025</v>
      </c>
      <c r="C496" s="27">
        <f t="shared" si="36"/>
        <v>5</v>
      </c>
      <c r="D496" s="27">
        <f t="shared" si="37"/>
        <v>9</v>
      </c>
      <c r="E496" s="27">
        <f t="shared" si="38"/>
        <v>6</v>
      </c>
      <c r="F496" s="27">
        <f>VLOOKUP(E496,[1]t_calendarioPolitica!A:C,3,FALSE)</f>
        <v>1</v>
      </c>
      <c r="G496" s="1">
        <v>1</v>
      </c>
      <c r="H496" s="1">
        <v>1</v>
      </c>
      <c r="I496" s="1">
        <f t="shared" si="39"/>
        <v>1</v>
      </c>
    </row>
    <row r="497" spans="1:9" x14ac:dyDescent="0.3">
      <c r="A497" s="26">
        <v>45787</v>
      </c>
      <c r="B497" s="27">
        <f t="shared" si="35"/>
        <v>2025</v>
      </c>
      <c r="C497" s="27">
        <f t="shared" si="36"/>
        <v>5</v>
      </c>
      <c r="D497" s="27">
        <f t="shared" si="37"/>
        <v>10</v>
      </c>
      <c r="E497" s="27">
        <f t="shared" si="38"/>
        <v>7</v>
      </c>
      <c r="F497" s="27">
        <f>VLOOKUP(E497,[1]t_calendarioPolitica!A:C,3,FALSE)</f>
        <v>2</v>
      </c>
      <c r="G497" s="1">
        <v>1</v>
      </c>
      <c r="H497" s="1">
        <v>0</v>
      </c>
      <c r="I497" s="1">
        <f t="shared" si="39"/>
        <v>0</v>
      </c>
    </row>
    <row r="498" spans="1:9" x14ac:dyDescent="0.3">
      <c r="A498" s="26">
        <v>45788</v>
      </c>
      <c r="B498" s="27">
        <f t="shared" si="35"/>
        <v>2025</v>
      </c>
      <c r="C498" s="27">
        <f t="shared" si="36"/>
        <v>5</v>
      </c>
      <c r="D498" s="27">
        <f t="shared" si="37"/>
        <v>11</v>
      </c>
      <c r="E498" s="27">
        <f t="shared" si="38"/>
        <v>1</v>
      </c>
      <c r="F498" s="27">
        <f>VLOOKUP(E498,[1]t_calendarioPolitica!A:C,3,FALSE)</f>
        <v>0</v>
      </c>
      <c r="G498" s="1">
        <v>1</v>
      </c>
      <c r="H498" s="1">
        <v>1</v>
      </c>
      <c r="I498" s="1">
        <f t="shared" si="39"/>
        <v>0</v>
      </c>
    </row>
    <row r="499" spans="1:9" x14ac:dyDescent="0.3">
      <c r="A499" s="26">
        <v>45789</v>
      </c>
      <c r="B499" s="27">
        <f t="shared" si="35"/>
        <v>2025</v>
      </c>
      <c r="C499" s="27">
        <f t="shared" si="36"/>
        <v>5</v>
      </c>
      <c r="D499" s="27">
        <f t="shared" si="37"/>
        <v>12</v>
      </c>
      <c r="E499" s="27">
        <f t="shared" si="38"/>
        <v>2</v>
      </c>
      <c r="F499" s="27">
        <f>VLOOKUP(E499,[1]t_calendarioPolitica!A:C,3,FALSE)</f>
        <v>1</v>
      </c>
      <c r="G499" s="1">
        <v>1</v>
      </c>
      <c r="H499" s="1">
        <v>1</v>
      </c>
      <c r="I499" s="1">
        <f t="shared" si="39"/>
        <v>1</v>
      </c>
    </row>
    <row r="500" spans="1:9" x14ac:dyDescent="0.3">
      <c r="A500" s="26">
        <v>45790</v>
      </c>
      <c r="B500" s="27">
        <f t="shared" si="35"/>
        <v>2025</v>
      </c>
      <c r="C500" s="27">
        <f t="shared" si="36"/>
        <v>5</v>
      </c>
      <c r="D500" s="27">
        <f t="shared" si="37"/>
        <v>13</v>
      </c>
      <c r="E500" s="27">
        <f t="shared" si="38"/>
        <v>3</v>
      </c>
      <c r="F500" s="27">
        <f>VLOOKUP(E500,[1]t_calendarioPolitica!A:C,3,FALSE)</f>
        <v>1</v>
      </c>
      <c r="G500" s="1">
        <v>1</v>
      </c>
      <c r="H500" s="1">
        <v>1</v>
      </c>
      <c r="I500" s="1">
        <f t="shared" si="39"/>
        <v>1</v>
      </c>
    </row>
    <row r="501" spans="1:9" x14ac:dyDescent="0.3">
      <c r="A501" s="26">
        <v>45791</v>
      </c>
      <c r="B501" s="27">
        <f t="shared" si="35"/>
        <v>2025</v>
      </c>
      <c r="C501" s="27">
        <f t="shared" si="36"/>
        <v>5</v>
      </c>
      <c r="D501" s="27">
        <f t="shared" si="37"/>
        <v>14</v>
      </c>
      <c r="E501" s="27">
        <f t="shared" si="38"/>
        <v>4</v>
      </c>
      <c r="F501" s="27">
        <f>VLOOKUP(E501,[1]t_calendarioPolitica!A:C,3,FALSE)</f>
        <v>1</v>
      </c>
      <c r="G501" s="1">
        <v>1</v>
      </c>
      <c r="H501" s="1">
        <v>1</v>
      </c>
      <c r="I501" s="1">
        <f t="shared" si="39"/>
        <v>1</v>
      </c>
    </row>
    <row r="502" spans="1:9" x14ac:dyDescent="0.3">
      <c r="A502" s="26">
        <v>45792</v>
      </c>
      <c r="B502" s="27">
        <f t="shared" si="35"/>
        <v>2025</v>
      </c>
      <c r="C502" s="27">
        <f t="shared" si="36"/>
        <v>5</v>
      </c>
      <c r="D502" s="27">
        <f t="shared" si="37"/>
        <v>15</v>
      </c>
      <c r="E502" s="27">
        <f t="shared" si="38"/>
        <v>5</v>
      </c>
      <c r="F502" s="27">
        <f>VLOOKUP(E502,[1]t_calendarioPolitica!A:C,3,FALSE)</f>
        <v>1</v>
      </c>
      <c r="G502" s="1">
        <v>1</v>
      </c>
      <c r="H502" s="1">
        <v>1</v>
      </c>
      <c r="I502" s="1">
        <f t="shared" si="39"/>
        <v>1</v>
      </c>
    </row>
    <row r="503" spans="1:9" x14ac:dyDescent="0.3">
      <c r="A503" s="26">
        <v>45793</v>
      </c>
      <c r="B503" s="27">
        <f t="shared" si="35"/>
        <v>2025</v>
      </c>
      <c r="C503" s="27">
        <f t="shared" si="36"/>
        <v>5</v>
      </c>
      <c r="D503" s="27">
        <f t="shared" si="37"/>
        <v>16</v>
      </c>
      <c r="E503" s="27">
        <f t="shared" si="38"/>
        <v>6</v>
      </c>
      <c r="F503" s="27">
        <f>VLOOKUP(E503,[1]t_calendarioPolitica!A:C,3,FALSE)</f>
        <v>1</v>
      </c>
      <c r="G503" s="1">
        <v>1</v>
      </c>
      <c r="H503" s="1">
        <v>1</v>
      </c>
      <c r="I503" s="1">
        <f t="shared" si="39"/>
        <v>1</v>
      </c>
    </row>
    <row r="504" spans="1:9" x14ac:dyDescent="0.3">
      <c r="A504" s="26">
        <v>45794</v>
      </c>
      <c r="B504" s="27">
        <f t="shared" si="35"/>
        <v>2025</v>
      </c>
      <c r="C504" s="27">
        <f t="shared" si="36"/>
        <v>5</v>
      </c>
      <c r="D504" s="27">
        <f t="shared" si="37"/>
        <v>17</v>
      </c>
      <c r="E504" s="27">
        <f t="shared" si="38"/>
        <v>7</v>
      </c>
      <c r="F504" s="27">
        <f>VLOOKUP(E504,[1]t_calendarioPolitica!A:C,3,FALSE)</f>
        <v>2</v>
      </c>
      <c r="G504" s="1">
        <v>1</v>
      </c>
      <c r="H504" s="1">
        <v>1</v>
      </c>
      <c r="I504" s="1">
        <f t="shared" si="39"/>
        <v>1</v>
      </c>
    </row>
    <row r="505" spans="1:9" x14ac:dyDescent="0.3">
      <c r="A505" s="26">
        <v>45795</v>
      </c>
      <c r="B505" s="27">
        <f t="shared" si="35"/>
        <v>2025</v>
      </c>
      <c r="C505" s="27">
        <f t="shared" si="36"/>
        <v>5</v>
      </c>
      <c r="D505" s="27">
        <f t="shared" si="37"/>
        <v>18</v>
      </c>
      <c r="E505" s="27">
        <f t="shared" si="38"/>
        <v>1</v>
      </c>
      <c r="F505" s="27">
        <f>VLOOKUP(E505,[1]t_calendarioPolitica!A:C,3,FALSE)</f>
        <v>0</v>
      </c>
      <c r="G505" s="1">
        <v>1</v>
      </c>
      <c r="H505" s="1">
        <v>1</v>
      </c>
      <c r="I505" s="1">
        <f t="shared" si="39"/>
        <v>0</v>
      </c>
    </row>
    <row r="506" spans="1:9" x14ac:dyDescent="0.3">
      <c r="A506" s="26">
        <v>45796</v>
      </c>
      <c r="B506" s="27">
        <f t="shared" si="35"/>
        <v>2025</v>
      </c>
      <c r="C506" s="27">
        <f t="shared" si="36"/>
        <v>5</v>
      </c>
      <c r="D506" s="27">
        <f t="shared" si="37"/>
        <v>19</v>
      </c>
      <c r="E506" s="27">
        <f t="shared" si="38"/>
        <v>2</v>
      </c>
      <c r="F506" s="27">
        <f>VLOOKUP(E506,[1]t_calendarioPolitica!A:C,3,FALSE)</f>
        <v>1</v>
      </c>
      <c r="G506" s="1">
        <v>1</v>
      </c>
      <c r="H506" s="1">
        <v>1</v>
      </c>
      <c r="I506" s="1">
        <f t="shared" si="39"/>
        <v>1</v>
      </c>
    </row>
    <row r="507" spans="1:9" x14ac:dyDescent="0.3">
      <c r="A507" s="26">
        <v>45797</v>
      </c>
      <c r="B507" s="27">
        <f t="shared" si="35"/>
        <v>2025</v>
      </c>
      <c r="C507" s="27">
        <f t="shared" si="36"/>
        <v>5</v>
      </c>
      <c r="D507" s="27">
        <f t="shared" si="37"/>
        <v>20</v>
      </c>
      <c r="E507" s="27">
        <f t="shared" si="38"/>
        <v>3</v>
      </c>
      <c r="F507" s="27">
        <f>VLOOKUP(E507,[1]t_calendarioPolitica!A:C,3,FALSE)</f>
        <v>1</v>
      </c>
      <c r="G507" s="1">
        <v>1</v>
      </c>
      <c r="H507" s="1">
        <v>1</v>
      </c>
      <c r="I507" s="1">
        <f t="shared" si="39"/>
        <v>1</v>
      </c>
    </row>
    <row r="508" spans="1:9" x14ac:dyDescent="0.3">
      <c r="A508" s="26">
        <v>45798</v>
      </c>
      <c r="B508" s="27">
        <f t="shared" si="35"/>
        <v>2025</v>
      </c>
      <c r="C508" s="27">
        <f t="shared" si="36"/>
        <v>5</v>
      </c>
      <c r="D508" s="27">
        <f t="shared" si="37"/>
        <v>21</v>
      </c>
      <c r="E508" s="27">
        <f t="shared" si="38"/>
        <v>4</v>
      </c>
      <c r="F508" s="27">
        <f>VLOOKUP(E508,[1]t_calendarioPolitica!A:C,3,FALSE)</f>
        <v>1</v>
      </c>
      <c r="G508" s="1">
        <v>1</v>
      </c>
      <c r="H508" s="1">
        <v>1</v>
      </c>
      <c r="I508" s="1">
        <f t="shared" si="39"/>
        <v>1</v>
      </c>
    </row>
    <row r="509" spans="1:9" x14ac:dyDescent="0.3">
      <c r="A509" s="26">
        <v>45799</v>
      </c>
      <c r="B509" s="27">
        <f t="shared" si="35"/>
        <v>2025</v>
      </c>
      <c r="C509" s="27">
        <f t="shared" si="36"/>
        <v>5</v>
      </c>
      <c r="D509" s="27">
        <f t="shared" si="37"/>
        <v>22</v>
      </c>
      <c r="E509" s="27">
        <f t="shared" si="38"/>
        <v>5</v>
      </c>
      <c r="F509" s="27">
        <f>VLOOKUP(E509,[1]t_calendarioPolitica!A:C,3,FALSE)</f>
        <v>1</v>
      </c>
      <c r="G509" s="1">
        <v>1</v>
      </c>
      <c r="H509" s="1">
        <v>1</v>
      </c>
      <c r="I509" s="1">
        <f t="shared" si="39"/>
        <v>1</v>
      </c>
    </row>
    <row r="510" spans="1:9" x14ac:dyDescent="0.3">
      <c r="A510" s="26">
        <v>45800</v>
      </c>
      <c r="B510" s="27">
        <f t="shared" si="35"/>
        <v>2025</v>
      </c>
      <c r="C510" s="27">
        <f t="shared" si="36"/>
        <v>5</v>
      </c>
      <c r="D510" s="27">
        <f t="shared" si="37"/>
        <v>23</v>
      </c>
      <c r="E510" s="27">
        <f t="shared" si="38"/>
        <v>6</v>
      </c>
      <c r="F510" s="27">
        <f>VLOOKUP(E510,[1]t_calendarioPolitica!A:C,3,FALSE)</f>
        <v>1</v>
      </c>
      <c r="G510" s="1">
        <v>1</v>
      </c>
      <c r="H510" s="1">
        <v>1</v>
      </c>
      <c r="I510" s="1">
        <f t="shared" si="39"/>
        <v>1</v>
      </c>
    </row>
    <row r="511" spans="1:9" x14ac:dyDescent="0.3">
      <c r="A511" s="26">
        <v>45801</v>
      </c>
      <c r="B511" s="27">
        <f t="shared" si="35"/>
        <v>2025</v>
      </c>
      <c r="C511" s="27">
        <f t="shared" si="36"/>
        <v>5</v>
      </c>
      <c r="D511" s="27">
        <f t="shared" si="37"/>
        <v>24</v>
      </c>
      <c r="E511" s="27">
        <f t="shared" si="38"/>
        <v>7</v>
      </c>
      <c r="F511" s="27">
        <f>VLOOKUP(E511,[1]t_calendarioPolitica!A:C,3,FALSE)</f>
        <v>2</v>
      </c>
      <c r="G511" s="1">
        <v>1</v>
      </c>
      <c r="H511" s="1">
        <v>1</v>
      </c>
      <c r="I511" s="1">
        <f t="shared" si="39"/>
        <v>1</v>
      </c>
    </row>
    <row r="512" spans="1:9" x14ac:dyDescent="0.3">
      <c r="A512" s="26">
        <v>45802</v>
      </c>
      <c r="B512" s="27">
        <f t="shared" si="35"/>
        <v>2025</v>
      </c>
      <c r="C512" s="27">
        <f t="shared" si="36"/>
        <v>5</v>
      </c>
      <c r="D512" s="27">
        <f t="shared" si="37"/>
        <v>25</v>
      </c>
      <c r="E512" s="27">
        <f t="shared" si="38"/>
        <v>1</v>
      </c>
      <c r="F512" s="27">
        <f>VLOOKUP(E512,[1]t_calendarioPolitica!A:C,3,FALSE)</f>
        <v>0</v>
      </c>
      <c r="G512" s="1">
        <v>1</v>
      </c>
      <c r="H512" s="1">
        <v>1</v>
      </c>
      <c r="I512" s="1">
        <f t="shared" si="39"/>
        <v>0</v>
      </c>
    </row>
    <row r="513" spans="1:9" x14ac:dyDescent="0.3">
      <c r="A513" s="26">
        <v>45803</v>
      </c>
      <c r="B513" s="27">
        <f t="shared" si="35"/>
        <v>2025</v>
      </c>
      <c r="C513" s="27">
        <f t="shared" si="36"/>
        <v>5</v>
      </c>
      <c r="D513" s="27">
        <f t="shared" si="37"/>
        <v>26</v>
      </c>
      <c r="E513" s="27">
        <f t="shared" si="38"/>
        <v>2</v>
      </c>
      <c r="F513" s="27">
        <f>VLOOKUP(E513,[1]t_calendarioPolitica!A:C,3,FALSE)</f>
        <v>1</v>
      </c>
      <c r="G513" s="1">
        <v>1</v>
      </c>
      <c r="H513" s="1">
        <v>1</v>
      </c>
      <c r="I513" s="1">
        <f t="shared" si="39"/>
        <v>1</v>
      </c>
    </row>
    <row r="514" spans="1:9" x14ac:dyDescent="0.3">
      <c r="A514" s="26">
        <v>45804</v>
      </c>
      <c r="B514" s="27">
        <f t="shared" si="35"/>
        <v>2025</v>
      </c>
      <c r="C514" s="27">
        <f t="shared" si="36"/>
        <v>5</v>
      </c>
      <c r="D514" s="27">
        <f t="shared" si="37"/>
        <v>27</v>
      </c>
      <c r="E514" s="27">
        <f t="shared" si="38"/>
        <v>3</v>
      </c>
      <c r="F514" s="27">
        <f>VLOOKUP(E514,[1]t_calendarioPolitica!A:C,3,FALSE)</f>
        <v>1</v>
      </c>
      <c r="G514" s="1">
        <v>1</v>
      </c>
      <c r="H514" s="1">
        <v>1</v>
      </c>
      <c r="I514" s="1">
        <f t="shared" si="39"/>
        <v>1</v>
      </c>
    </row>
    <row r="515" spans="1:9" x14ac:dyDescent="0.3">
      <c r="A515" s="26">
        <v>45805</v>
      </c>
      <c r="B515" s="27">
        <f t="shared" ref="B515:B578" si="40">YEAR(A515)</f>
        <v>2025</v>
      </c>
      <c r="C515" s="27">
        <f t="shared" ref="C515:C578" si="41">MONTH(A515)</f>
        <v>5</v>
      </c>
      <c r="D515" s="27">
        <f t="shared" ref="D515:D578" si="42">DAY(A515)</f>
        <v>28</v>
      </c>
      <c r="E515" s="27">
        <f t="shared" ref="E515:E578" si="43">WEEKDAY(A515)</f>
        <v>4</v>
      </c>
      <c r="F515" s="27">
        <f>VLOOKUP(E515,[1]t_calendarioPolitica!A:C,3,FALSE)</f>
        <v>1</v>
      </c>
      <c r="G515" s="1">
        <v>1</v>
      </c>
      <c r="H515" s="1">
        <v>1</v>
      </c>
      <c r="I515" s="1">
        <f t="shared" ref="I515:I578" si="44">IF(AND(F515&lt;&gt;0, H515&lt;&gt;0,G515&lt;&gt;0), 1, 0)</f>
        <v>1</v>
      </c>
    </row>
    <row r="516" spans="1:9" x14ac:dyDescent="0.3">
      <c r="A516" s="26">
        <v>45806</v>
      </c>
      <c r="B516" s="27">
        <f t="shared" si="40"/>
        <v>2025</v>
      </c>
      <c r="C516" s="27">
        <f t="shared" si="41"/>
        <v>5</v>
      </c>
      <c r="D516" s="27">
        <f t="shared" si="42"/>
        <v>29</v>
      </c>
      <c r="E516" s="27">
        <f t="shared" si="43"/>
        <v>5</v>
      </c>
      <c r="F516" s="27">
        <f>VLOOKUP(E516,[1]t_calendarioPolitica!A:C,3,FALSE)</f>
        <v>1</v>
      </c>
      <c r="G516" s="1">
        <v>1</v>
      </c>
      <c r="H516" s="1">
        <v>1</v>
      </c>
      <c r="I516" s="1">
        <f t="shared" si="44"/>
        <v>1</v>
      </c>
    </row>
    <row r="517" spans="1:9" x14ac:dyDescent="0.3">
      <c r="A517" s="26">
        <v>45807</v>
      </c>
      <c r="B517" s="27">
        <f t="shared" si="40"/>
        <v>2025</v>
      </c>
      <c r="C517" s="27">
        <f t="shared" si="41"/>
        <v>5</v>
      </c>
      <c r="D517" s="27">
        <f t="shared" si="42"/>
        <v>30</v>
      </c>
      <c r="E517" s="27">
        <f t="shared" si="43"/>
        <v>6</v>
      </c>
      <c r="F517" s="27">
        <f>VLOOKUP(E517,[1]t_calendarioPolitica!A:C,3,FALSE)</f>
        <v>1</v>
      </c>
      <c r="G517" s="1">
        <v>1</v>
      </c>
      <c r="H517" s="1">
        <v>1</v>
      </c>
      <c r="I517" s="1">
        <f t="shared" si="44"/>
        <v>1</v>
      </c>
    </row>
    <row r="518" spans="1:9" x14ac:dyDescent="0.3">
      <c r="A518" s="26">
        <v>45808</v>
      </c>
      <c r="B518" s="27">
        <f t="shared" si="40"/>
        <v>2025</v>
      </c>
      <c r="C518" s="27">
        <f t="shared" si="41"/>
        <v>5</v>
      </c>
      <c r="D518" s="27">
        <f t="shared" si="42"/>
        <v>31</v>
      </c>
      <c r="E518" s="27">
        <f t="shared" si="43"/>
        <v>7</v>
      </c>
      <c r="F518" s="27">
        <f>VLOOKUP(E518,[1]t_calendarioPolitica!A:C,3,FALSE)</f>
        <v>2</v>
      </c>
      <c r="G518" s="1">
        <v>1</v>
      </c>
      <c r="H518" s="1">
        <v>1</v>
      </c>
      <c r="I518" s="1">
        <f t="shared" si="44"/>
        <v>1</v>
      </c>
    </row>
    <row r="519" spans="1:9" x14ac:dyDescent="0.3">
      <c r="A519" s="26">
        <v>45809</v>
      </c>
      <c r="B519" s="27">
        <f t="shared" si="40"/>
        <v>2025</v>
      </c>
      <c r="C519" s="27">
        <f t="shared" si="41"/>
        <v>6</v>
      </c>
      <c r="D519" s="27">
        <f t="shared" si="42"/>
        <v>1</v>
      </c>
      <c r="E519" s="27">
        <f t="shared" si="43"/>
        <v>1</v>
      </c>
      <c r="F519" s="27">
        <f>VLOOKUP(E519,[1]t_calendarioPolitica!A:C,3,FALSE)</f>
        <v>0</v>
      </c>
      <c r="G519" s="1">
        <v>1</v>
      </c>
      <c r="H519" s="1">
        <v>1</v>
      </c>
      <c r="I519" s="1">
        <f t="shared" si="44"/>
        <v>0</v>
      </c>
    </row>
    <row r="520" spans="1:9" x14ac:dyDescent="0.3">
      <c r="A520" s="26">
        <v>45810</v>
      </c>
      <c r="B520" s="27">
        <f t="shared" si="40"/>
        <v>2025</v>
      </c>
      <c r="C520" s="27">
        <f t="shared" si="41"/>
        <v>6</v>
      </c>
      <c r="D520" s="27">
        <f t="shared" si="42"/>
        <v>2</v>
      </c>
      <c r="E520" s="27">
        <f t="shared" si="43"/>
        <v>2</v>
      </c>
      <c r="F520" s="27">
        <f>VLOOKUP(E520,[1]t_calendarioPolitica!A:C,3,FALSE)</f>
        <v>1</v>
      </c>
      <c r="G520" s="1">
        <v>1</v>
      </c>
      <c r="H520" s="1">
        <v>1</v>
      </c>
      <c r="I520" s="1">
        <f t="shared" si="44"/>
        <v>1</v>
      </c>
    </row>
    <row r="521" spans="1:9" x14ac:dyDescent="0.3">
      <c r="A521" s="26">
        <v>45811</v>
      </c>
      <c r="B521" s="27">
        <f t="shared" si="40"/>
        <v>2025</v>
      </c>
      <c r="C521" s="27">
        <f t="shared" si="41"/>
        <v>6</v>
      </c>
      <c r="D521" s="27">
        <f t="shared" si="42"/>
        <v>3</v>
      </c>
      <c r="E521" s="27">
        <f t="shared" si="43"/>
        <v>3</v>
      </c>
      <c r="F521" s="27">
        <f>VLOOKUP(E521,[1]t_calendarioPolitica!A:C,3,FALSE)</f>
        <v>1</v>
      </c>
      <c r="G521" s="1">
        <v>1</v>
      </c>
      <c r="H521" s="1">
        <v>1</v>
      </c>
      <c r="I521" s="1">
        <f t="shared" si="44"/>
        <v>1</v>
      </c>
    </row>
    <row r="522" spans="1:9" x14ac:dyDescent="0.3">
      <c r="A522" s="26">
        <v>45812</v>
      </c>
      <c r="B522" s="27">
        <f t="shared" si="40"/>
        <v>2025</v>
      </c>
      <c r="C522" s="27">
        <f t="shared" si="41"/>
        <v>6</v>
      </c>
      <c r="D522" s="27">
        <f t="shared" si="42"/>
        <v>4</v>
      </c>
      <c r="E522" s="27">
        <f t="shared" si="43"/>
        <v>4</v>
      </c>
      <c r="F522" s="27">
        <f>VLOOKUP(E522,[1]t_calendarioPolitica!A:C,3,FALSE)</f>
        <v>1</v>
      </c>
      <c r="G522" s="1">
        <v>1</v>
      </c>
      <c r="H522" s="1">
        <v>1</v>
      </c>
      <c r="I522" s="1">
        <f t="shared" si="44"/>
        <v>1</v>
      </c>
    </row>
    <row r="523" spans="1:9" x14ac:dyDescent="0.3">
      <c r="A523" s="26">
        <v>45813</v>
      </c>
      <c r="B523" s="27">
        <f t="shared" si="40"/>
        <v>2025</v>
      </c>
      <c r="C523" s="27">
        <f t="shared" si="41"/>
        <v>6</v>
      </c>
      <c r="D523" s="27">
        <f t="shared" si="42"/>
        <v>5</v>
      </c>
      <c r="E523" s="27">
        <f t="shared" si="43"/>
        <v>5</v>
      </c>
      <c r="F523" s="27">
        <f>VLOOKUP(E523,[1]t_calendarioPolitica!A:C,3,FALSE)</f>
        <v>1</v>
      </c>
      <c r="G523" s="1">
        <v>1</v>
      </c>
      <c r="H523" s="1">
        <v>1</v>
      </c>
      <c r="I523" s="1">
        <f t="shared" si="44"/>
        <v>1</v>
      </c>
    </row>
    <row r="524" spans="1:9" x14ac:dyDescent="0.3">
      <c r="A524" s="26">
        <v>45814</v>
      </c>
      <c r="B524" s="27">
        <f t="shared" si="40"/>
        <v>2025</v>
      </c>
      <c r="C524" s="27">
        <f t="shared" si="41"/>
        <v>6</v>
      </c>
      <c r="D524" s="27">
        <f t="shared" si="42"/>
        <v>6</v>
      </c>
      <c r="E524" s="27">
        <f t="shared" si="43"/>
        <v>6</v>
      </c>
      <c r="F524" s="27">
        <f>VLOOKUP(E524,[1]t_calendarioPolitica!A:C,3,FALSE)</f>
        <v>1</v>
      </c>
      <c r="G524" s="1">
        <v>1</v>
      </c>
      <c r="H524" s="1">
        <v>1</v>
      </c>
      <c r="I524" s="1">
        <f t="shared" si="44"/>
        <v>1</v>
      </c>
    </row>
    <row r="525" spans="1:9" x14ac:dyDescent="0.3">
      <c r="A525" s="26">
        <v>45815</v>
      </c>
      <c r="B525" s="27">
        <f t="shared" si="40"/>
        <v>2025</v>
      </c>
      <c r="C525" s="27">
        <f t="shared" si="41"/>
        <v>6</v>
      </c>
      <c r="D525" s="27">
        <f t="shared" si="42"/>
        <v>7</v>
      </c>
      <c r="E525" s="27">
        <f t="shared" si="43"/>
        <v>7</v>
      </c>
      <c r="F525" s="27">
        <f>VLOOKUP(E525,[1]t_calendarioPolitica!A:C,3,FALSE)</f>
        <v>2</v>
      </c>
      <c r="G525" s="1">
        <v>1</v>
      </c>
      <c r="H525" s="1">
        <v>1</v>
      </c>
      <c r="I525" s="1">
        <f t="shared" si="44"/>
        <v>1</v>
      </c>
    </row>
    <row r="526" spans="1:9" x14ac:dyDescent="0.3">
      <c r="A526" s="26">
        <v>45816</v>
      </c>
      <c r="B526" s="27">
        <f t="shared" si="40"/>
        <v>2025</v>
      </c>
      <c r="C526" s="27">
        <f t="shared" si="41"/>
        <v>6</v>
      </c>
      <c r="D526" s="27">
        <f t="shared" si="42"/>
        <v>8</v>
      </c>
      <c r="E526" s="27">
        <f t="shared" si="43"/>
        <v>1</v>
      </c>
      <c r="F526" s="27">
        <f>VLOOKUP(E526,[1]t_calendarioPolitica!A:C,3,FALSE)</f>
        <v>0</v>
      </c>
      <c r="G526" s="1">
        <v>1</v>
      </c>
      <c r="H526" s="1">
        <v>1</v>
      </c>
      <c r="I526" s="1">
        <f t="shared" si="44"/>
        <v>0</v>
      </c>
    </row>
    <row r="527" spans="1:9" x14ac:dyDescent="0.3">
      <c r="A527" s="26">
        <v>45817</v>
      </c>
      <c r="B527" s="27">
        <f t="shared" si="40"/>
        <v>2025</v>
      </c>
      <c r="C527" s="27">
        <f t="shared" si="41"/>
        <v>6</v>
      </c>
      <c r="D527" s="27">
        <f t="shared" si="42"/>
        <v>9</v>
      </c>
      <c r="E527" s="27">
        <f t="shared" si="43"/>
        <v>2</v>
      </c>
      <c r="F527" s="27">
        <f>VLOOKUP(E527,[1]t_calendarioPolitica!A:C,3,FALSE)</f>
        <v>1</v>
      </c>
      <c r="G527" s="1">
        <v>1</v>
      </c>
      <c r="H527" s="1">
        <v>1</v>
      </c>
      <c r="I527" s="1">
        <f t="shared" si="44"/>
        <v>1</v>
      </c>
    </row>
    <row r="528" spans="1:9" x14ac:dyDescent="0.3">
      <c r="A528" s="26">
        <v>45818</v>
      </c>
      <c r="B528" s="27">
        <f t="shared" si="40"/>
        <v>2025</v>
      </c>
      <c r="C528" s="27">
        <f t="shared" si="41"/>
        <v>6</v>
      </c>
      <c r="D528" s="27">
        <f t="shared" si="42"/>
        <v>10</v>
      </c>
      <c r="E528" s="27">
        <f t="shared" si="43"/>
        <v>3</v>
      </c>
      <c r="F528" s="27">
        <f>VLOOKUP(E528,[1]t_calendarioPolitica!A:C,3,FALSE)</f>
        <v>1</v>
      </c>
      <c r="G528" s="1">
        <v>1</v>
      </c>
      <c r="H528" s="1">
        <v>1</v>
      </c>
      <c r="I528" s="1">
        <f t="shared" si="44"/>
        <v>1</v>
      </c>
    </row>
    <row r="529" spans="1:9" x14ac:dyDescent="0.3">
      <c r="A529" s="26">
        <v>45819</v>
      </c>
      <c r="B529" s="27">
        <f t="shared" si="40"/>
        <v>2025</v>
      </c>
      <c r="C529" s="27">
        <f t="shared" si="41"/>
        <v>6</v>
      </c>
      <c r="D529" s="27">
        <f t="shared" si="42"/>
        <v>11</v>
      </c>
      <c r="E529" s="27">
        <f t="shared" si="43"/>
        <v>4</v>
      </c>
      <c r="F529" s="27">
        <f>VLOOKUP(E529,[1]t_calendarioPolitica!A:C,3,FALSE)</f>
        <v>1</v>
      </c>
      <c r="G529" s="1">
        <v>1</v>
      </c>
      <c r="H529" s="1">
        <v>1</v>
      </c>
      <c r="I529" s="1">
        <f t="shared" si="44"/>
        <v>1</v>
      </c>
    </row>
    <row r="530" spans="1:9" x14ac:dyDescent="0.3">
      <c r="A530" s="26">
        <v>45820</v>
      </c>
      <c r="B530" s="27">
        <f t="shared" si="40"/>
        <v>2025</v>
      </c>
      <c r="C530" s="27">
        <f t="shared" si="41"/>
        <v>6</v>
      </c>
      <c r="D530" s="27">
        <f t="shared" si="42"/>
        <v>12</v>
      </c>
      <c r="E530" s="27">
        <f t="shared" si="43"/>
        <v>5</v>
      </c>
      <c r="F530" s="27">
        <f>VLOOKUP(E530,[1]t_calendarioPolitica!A:C,3,FALSE)</f>
        <v>1</v>
      </c>
      <c r="G530" s="1">
        <v>1</v>
      </c>
      <c r="H530" s="1">
        <v>1</v>
      </c>
      <c r="I530" s="1">
        <f t="shared" si="44"/>
        <v>1</v>
      </c>
    </row>
    <row r="531" spans="1:9" x14ac:dyDescent="0.3">
      <c r="A531" s="26">
        <v>45821</v>
      </c>
      <c r="B531" s="27">
        <f t="shared" si="40"/>
        <v>2025</v>
      </c>
      <c r="C531" s="27">
        <f t="shared" si="41"/>
        <v>6</v>
      </c>
      <c r="D531" s="27">
        <f t="shared" si="42"/>
        <v>13</v>
      </c>
      <c r="E531" s="27">
        <f t="shared" si="43"/>
        <v>6</v>
      </c>
      <c r="F531" s="27">
        <f>VLOOKUP(E531,[1]t_calendarioPolitica!A:C,3,FALSE)</f>
        <v>1</v>
      </c>
      <c r="G531" s="1">
        <v>1</v>
      </c>
      <c r="H531" s="1">
        <v>1</v>
      </c>
      <c r="I531" s="1">
        <f t="shared" si="44"/>
        <v>1</v>
      </c>
    </row>
    <row r="532" spans="1:9" x14ac:dyDescent="0.3">
      <c r="A532" s="26">
        <v>45822</v>
      </c>
      <c r="B532" s="27">
        <f t="shared" si="40"/>
        <v>2025</v>
      </c>
      <c r="C532" s="27">
        <f t="shared" si="41"/>
        <v>6</v>
      </c>
      <c r="D532" s="27">
        <f t="shared" si="42"/>
        <v>14</v>
      </c>
      <c r="E532" s="27">
        <f t="shared" si="43"/>
        <v>7</v>
      </c>
      <c r="F532" s="27">
        <f>VLOOKUP(E532,[1]t_calendarioPolitica!A:C,3,FALSE)</f>
        <v>2</v>
      </c>
      <c r="G532" s="1">
        <v>1</v>
      </c>
      <c r="H532" s="1">
        <v>1</v>
      </c>
      <c r="I532" s="1">
        <f t="shared" si="44"/>
        <v>1</v>
      </c>
    </row>
    <row r="533" spans="1:9" x14ac:dyDescent="0.3">
      <c r="A533" s="26">
        <v>45823</v>
      </c>
      <c r="B533" s="27">
        <f t="shared" si="40"/>
        <v>2025</v>
      </c>
      <c r="C533" s="27">
        <f t="shared" si="41"/>
        <v>6</v>
      </c>
      <c r="D533" s="27">
        <f t="shared" si="42"/>
        <v>15</v>
      </c>
      <c r="E533" s="27">
        <f t="shared" si="43"/>
        <v>1</v>
      </c>
      <c r="F533" s="27">
        <f>VLOOKUP(E533,[1]t_calendarioPolitica!A:C,3,FALSE)</f>
        <v>0</v>
      </c>
      <c r="G533" s="1">
        <v>1</v>
      </c>
      <c r="H533" s="1">
        <v>1</v>
      </c>
      <c r="I533" s="1">
        <f t="shared" si="44"/>
        <v>0</v>
      </c>
    </row>
    <row r="534" spans="1:9" x14ac:dyDescent="0.3">
      <c r="A534" s="26">
        <v>45824</v>
      </c>
      <c r="B534" s="27">
        <f t="shared" si="40"/>
        <v>2025</v>
      </c>
      <c r="C534" s="27">
        <f t="shared" si="41"/>
        <v>6</v>
      </c>
      <c r="D534" s="27">
        <f t="shared" si="42"/>
        <v>16</v>
      </c>
      <c r="E534" s="27">
        <f t="shared" si="43"/>
        <v>2</v>
      </c>
      <c r="F534" s="27">
        <f>VLOOKUP(E534,[1]t_calendarioPolitica!A:C,3,FALSE)</f>
        <v>1</v>
      </c>
      <c r="G534" s="1">
        <v>1</v>
      </c>
      <c r="H534" s="1">
        <v>1</v>
      </c>
      <c r="I534" s="1">
        <f t="shared" si="44"/>
        <v>1</v>
      </c>
    </row>
    <row r="535" spans="1:9" x14ac:dyDescent="0.3">
      <c r="A535" s="26">
        <v>45825</v>
      </c>
      <c r="B535" s="27">
        <f t="shared" si="40"/>
        <v>2025</v>
      </c>
      <c r="C535" s="27">
        <f t="shared" si="41"/>
        <v>6</v>
      </c>
      <c r="D535" s="27">
        <f t="shared" si="42"/>
        <v>17</v>
      </c>
      <c r="E535" s="27">
        <f t="shared" si="43"/>
        <v>3</v>
      </c>
      <c r="F535" s="27">
        <f>VLOOKUP(E535,[1]t_calendarioPolitica!A:C,3,FALSE)</f>
        <v>1</v>
      </c>
      <c r="G535" s="1">
        <v>1</v>
      </c>
      <c r="H535" s="1">
        <v>1</v>
      </c>
      <c r="I535" s="1">
        <f t="shared" si="44"/>
        <v>1</v>
      </c>
    </row>
    <row r="536" spans="1:9" x14ac:dyDescent="0.3">
      <c r="A536" s="26">
        <v>45826</v>
      </c>
      <c r="B536" s="27">
        <f t="shared" si="40"/>
        <v>2025</v>
      </c>
      <c r="C536" s="27">
        <f t="shared" si="41"/>
        <v>6</v>
      </c>
      <c r="D536" s="27">
        <f t="shared" si="42"/>
        <v>18</v>
      </c>
      <c r="E536" s="27">
        <f t="shared" si="43"/>
        <v>4</v>
      </c>
      <c r="F536" s="27">
        <f>VLOOKUP(E536,[1]t_calendarioPolitica!A:C,3,FALSE)</f>
        <v>1</v>
      </c>
      <c r="G536" s="1">
        <v>1</v>
      </c>
      <c r="H536" s="1">
        <v>1</v>
      </c>
      <c r="I536" s="1">
        <f t="shared" si="44"/>
        <v>1</v>
      </c>
    </row>
    <row r="537" spans="1:9" x14ac:dyDescent="0.3">
      <c r="A537" s="26">
        <v>45827</v>
      </c>
      <c r="B537" s="27">
        <f t="shared" si="40"/>
        <v>2025</v>
      </c>
      <c r="C537" s="27">
        <f t="shared" si="41"/>
        <v>6</v>
      </c>
      <c r="D537" s="27">
        <f t="shared" si="42"/>
        <v>19</v>
      </c>
      <c r="E537" s="27">
        <f t="shared" si="43"/>
        <v>5</v>
      </c>
      <c r="F537" s="27">
        <f>VLOOKUP(E537,[1]t_calendarioPolitica!A:C,3,FALSE)</f>
        <v>1</v>
      </c>
      <c r="G537" s="1">
        <v>1</v>
      </c>
      <c r="H537" s="1">
        <v>1</v>
      </c>
      <c r="I537" s="1">
        <f t="shared" si="44"/>
        <v>1</v>
      </c>
    </row>
    <row r="538" spans="1:9" x14ac:dyDescent="0.3">
      <c r="A538" s="26">
        <v>45828</v>
      </c>
      <c r="B538" s="27">
        <f t="shared" si="40"/>
        <v>2025</v>
      </c>
      <c r="C538" s="27">
        <f t="shared" si="41"/>
        <v>6</v>
      </c>
      <c r="D538" s="27">
        <f t="shared" si="42"/>
        <v>20</v>
      </c>
      <c r="E538" s="27">
        <f t="shared" si="43"/>
        <v>6</v>
      </c>
      <c r="F538" s="27">
        <f>VLOOKUP(E538,[1]t_calendarioPolitica!A:C,3,FALSE)</f>
        <v>1</v>
      </c>
      <c r="G538" s="1">
        <v>1</v>
      </c>
      <c r="H538" s="1">
        <v>1</v>
      </c>
      <c r="I538" s="1">
        <f t="shared" si="44"/>
        <v>1</v>
      </c>
    </row>
    <row r="539" spans="1:9" x14ac:dyDescent="0.3">
      <c r="A539" s="26">
        <v>45829</v>
      </c>
      <c r="B539" s="27">
        <f t="shared" si="40"/>
        <v>2025</v>
      </c>
      <c r="C539" s="27">
        <f t="shared" si="41"/>
        <v>6</v>
      </c>
      <c r="D539" s="27">
        <f t="shared" si="42"/>
        <v>21</v>
      </c>
      <c r="E539" s="27">
        <f t="shared" si="43"/>
        <v>7</v>
      </c>
      <c r="F539" s="27">
        <f>VLOOKUP(E539,[1]t_calendarioPolitica!A:C,3,FALSE)</f>
        <v>2</v>
      </c>
      <c r="G539" s="1">
        <v>1</v>
      </c>
      <c r="H539" s="1">
        <v>1</v>
      </c>
      <c r="I539" s="1">
        <f t="shared" si="44"/>
        <v>1</v>
      </c>
    </row>
    <row r="540" spans="1:9" x14ac:dyDescent="0.3">
      <c r="A540" s="26">
        <v>45830</v>
      </c>
      <c r="B540" s="27">
        <f t="shared" si="40"/>
        <v>2025</v>
      </c>
      <c r="C540" s="27">
        <f t="shared" si="41"/>
        <v>6</v>
      </c>
      <c r="D540" s="27">
        <f t="shared" si="42"/>
        <v>22</v>
      </c>
      <c r="E540" s="27">
        <f t="shared" si="43"/>
        <v>1</v>
      </c>
      <c r="F540" s="27">
        <f>VLOOKUP(E540,[1]t_calendarioPolitica!A:C,3,FALSE)</f>
        <v>0</v>
      </c>
      <c r="G540" s="1">
        <v>1</v>
      </c>
      <c r="H540" s="1">
        <v>1</v>
      </c>
      <c r="I540" s="1">
        <f t="shared" si="44"/>
        <v>0</v>
      </c>
    </row>
    <row r="541" spans="1:9" x14ac:dyDescent="0.3">
      <c r="A541" s="26">
        <v>45831</v>
      </c>
      <c r="B541" s="27">
        <f t="shared" si="40"/>
        <v>2025</v>
      </c>
      <c r="C541" s="27">
        <f t="shared" si="41"/>
        <v>6</v>
      </c>
      <c r="D541" s="27">
        <f t="shared" si="42"/>
        <v>23</v>
      </c>
      <c r="E541" s="27">
        <f t="shared" si="43"/>
        <v>2</v>
      </c>
      <c r="F541" s="27">
        <f>VLOOKUP(E541,[1]t_calendarioPolitica!A:C,3,FALSE)</f>
        <v>1</v>
      </c>
      <c r="G541" s="1">
        <v>1</v>
      </c>
      <c r="H541" s="1">
        <v>1</v>
      </c>
      <c r="I541" s="1">
        <f t="shared" si="44"/>
        <v>1</v>
      </c>
    </row>
    <row r="542" spans="1:9" x14ac:dyDescent="0.3">
      <c r="A542" s="26">
        <v>45832</v>
      </c>
      <c r="B542" s="27">
        <f t="shared" si="40"/>
        <v>2025</v>
      </c>
      <c r="C542" s="27">
        <f t="shared" si="41"/>
        <v>6</v>
      </c>
      <c r="D542" s="27">
        <f t="shared" si="42"/>
        <v>24</v>
      </c>
      <c r="E542" s="27">
        <f t="shared" si="43"/>
        <v>3</v>
      </c>
      <c r="F542" s="27">
        <f>VLOOKUP(E542,[1]t_calendarioPolitica!A:C,3,FALSE)</f>
        <v>1</v>
      </c>
      <c r="G542" s="1">
        <v>1</v>
      </c>
      <c r="H542" s="1">
        <v>1</v>
      </c>
      <c r="I542" s="1">
        <f t="shared" si="44"/>
        <v>1</v>
      </c>
    </row>
    <row r="543" spans="1:9" x14ac:dyDescent="0.3">
      <c r="A543" s="26">
        <v>45833</v>
      </c>
      <c r="B543" s="27">
        <f t="shared" si="40"/>
        <v>2025</v>
      </c>
      <c r="C543" s="27">
        <f t="shared" si="41"/>
        <v>6</v>
      </c>
      <c r="D543" s="27">
        <f t="shared" si="42"/>
        <v>25</v>
      </c>
      <c r="E543" s="27">
        <f t="shared" si="43"/>
        <v>4</v>
      </c>
      <c r="F543" s="27">
        <f>VLOOKUP(E543,[1]t_calendarioPolitica!A:C,3,FALSE)</f>
        <v>1</v>
      </c>
      <c r="G543" s="1">
        <v>1</v>
      </c>
      <c r="H543" s="1">
        <v>1</v>
      </c>
      <c r="I543" s="1">
        <f t="shared" si="44"/>
        <v>1</v>
      </c>
    </row>
    <row r="544" spans="1:9" x14ac:dyDescent="0.3">
      <c r="A544" s="26">
        <v>45834</v>
      </c>
      <c r="B544" s="27">
        <f t="shared" si="40"/>
        <v>2025</v>
      </c>
      <c r="C544" s="27">
        <f t="shared" si="41"/>
        <v>6</v>
      </c>
      <c r="D544" s="27">
        <f t="shared" si="42"/>
        <v>26</v>
      </c>
      <c r="E544" s="27">
        <f t="shared" si="43"/>
        <v>5</v>
      </c>
      <c r="F544" s="27">
        <f>VLOOKUP(E544,[1]t_calendarioPolitica!A:C,3,FALSE)</f>
        <v>1</v>
      </c>
      <c r="G544" s="1">
        <v>1</v>
      </c>
      <c r="H544" s="1">
        <v>1</v>
      </c>
      <c r="I544" s="1">
        <f t="shared" si="44"/>
        <v>1</v>
      </c>
    </row>
    <row r="545" spans="1:9" x14ac:dyDescent="0.3">
      <c r="A545" s="26">
        <v>45835</v>
      </c>
      <c r="B545" s="27">
        <f t="shared" si="40"/>
        <v>2025</v>
      </c>
      <c r="C545" s="27">
        <f t="shared" si="41"/>
        <v>6</v>
      </c>
      <c r="D545" s="27">
        <f t="shared" si="42"/>
        <v>27</v>
      </c>
      <c r="E545" s="27">
        <f t="shared" si="43"/>
        <v>6</v>
      </c>
      <c r="F545" s="27">
        <f>VLOOKUP(E545,[1]t_calendarioPolitica!A:C,3,FALSE)</f>
        <v>1</v>
      </c>
      <c r="G545" s="1">
        <v>1</v>
      </c>
      <c r="H545" s="1">
        <v>1</v>
      </c>
      <c r="I545" s="1">
        <f t="shared" si="44"/>
        <v>1</v>
      </c>
    </row>
    <row r="546" spans="1:9" x14ac:dyDescent="0.3">
      <c r="A546" s="26">
        <v>45836</v>
      </c>
      <c r="B546" s="27">
        <f t="shared" si="40"/>
        <v>2025</v>
      </c>
      <c r="C546" s="27">
        <f t="shared" si="41"/>
        <v>6</v>
      </c>
      <c r="D546" s="27">
        <f t="shared" si="42"/>
        <v>28</v>
      </c>
      <c r="E546" s="27">
        <f t="shared" si="43"/>
        <v>7</v>
      </c>
      <c r="F546" s="27">
        <f>VLOOKUP(E546,[1]t_calendarioPolitica!A:C,3,FALSE)</f>
        <v>2</v>
      </c>
      <c r="G546" s="1">
        <v>1</v>
      </c>
      <c r="H546" s="1">
        <v>1</v>
      </c>
      <c r="I546" s="1">
        <f t="shared" si="44"/>
        <v>1</v>
      </c>
    </row>
    <row r="547" spans="1:9" x14ac:dyDescent="0.3">
      <c r="A547" s="26">
        <v>45837</v>
      </c>
      <c r="B547" s="27">
        <f t="shared" si="40"/>
        <v>2025</v>
      </c>
      <c r="C547" s="27">
        <f t="shared" si="41"/>
        <v>6</v>
      </c>
      <c r="D547" s="27">
        <f t="shared" si="42"/>
        <v>29</v>
      </c>
      <c r="E547" s="27">
        <f t="shared" si="43"/>
        <v>1</v>
      </c>
      <c r="F547" s="27">
        <f>VLOOKUP(E547,[1]t_calendarioPolitica!A:C,3,FALSE)</f>
        <v>0</v>
      </c>
      <c r="G547" s="1">
        <v>1</v>
      </c>
      <c r="H547" s="1">
        <v>1</v>
      </c>
      <c r="I547" s="1">
        <f t="shared" si="44"/>
        <v>0</v>
      </c>
    </row>
    <row r="548" spans="1:9" x14ac:dyDescent="0.3">
      <c r="A548" s="26">
        <v>45838</v>
      </c>
      <c r="B548" s="27">
        <f t="shared" si="40"/>
        <v>2025</v>
      </c>
      <c r="C548" s="27">
        <f t="shared" si="41"/>
        <v>6</v>
      </c>
      <c r="D548" s="27">
        <f t="shared" si="42"/>
        <v>30</v>
      </c>
      <c r="E548" s="27">
        <f t="shared" si="43"/>
        <v>2</v>
      </c>
      <c r="F548" s="27">
        <f>VLOOKUP(E548,[1]t_calendarioPolitica!A:C,3,FALSE)</f>
        <v>1</v>
      </c>
      <c r="G548" s="1">
        <v>1</v>
      </c>
      <c r="H548" s="1">
        <v>1</v>
      </c>
      <c r="I548" s="1">
        <f t="shared" si="44"/>
        <v>1</v>
      </c>
    </row>
    <row r="549" spans="1:9" x14ac:dyDescent="0.3">
      <c r="A549" s="26">
        <v>45839</v>
      </c>
      <c r="B549" s="27">
        <f t="shared" si="40"/>
        <v>2025</v>
      </c>
      <c r="C549" s="27">
        <f t="shared" si="41"/>
        <v>7</v>
      </c>
      <c r="D549" s="27">
        <f t="shared" si="42"/>
        <v>1</v>
      </c>
      <c r="E549" s="27">
        <f t="shared" si="43"/>
        <v>3</v>
      </c>
      <c r="F549" s="27">
        <f>VLOOKUP(E549,[1]t_calendarioPolitica!A:C,3,FALSE)</f>
        <v>1</v>
      </c>
      <c r="G549" s="1">
        <v>1</v>
      </c>
      <c r="H549" s="1">
        <v>1</v>
      </c>
      <c r="I549" s="1">
        <f t="shared" si="44"/>
        <v>1</v>
      </c>
    </row>
    <row r="550" spans="1:9" x14ac:dyDescent="0.3">
      <c r="A550" s="26">
        <v>45840</v>
      </c>
      <c r="B550" s="27">
        <f t="shared" si="40"/>
        <v>2025</v>
      </c>
      <c r="C550" s="27">
        <f t="shared" si="41"/>
        <v>7</v>
      </c>
      <c r="D550" s="27">
        <f t="shared" si="42"/>
        <v>2</v>
      </c>
      <c r="E550" s="27">
        <f t="shared" si="43"/>
        <v>4</v>
      </c>
      <c r="F550" s="27">
        <f>VLOOKUP(E550,[1]t_calendarioPolitica!A:C,3,FALSE)</f>
        <v>1</v>
      </c>
      <c r="G550" s="1">
        <v>1</v>
      </c>
      <c r="H550" s="1">
        <v>1</v>
      </c>
      <c r="I550" s="1">
        <f t="shared" si="44"/>
        <v>1</v>
      </c>
    </row>
    <row r="551" spans="1:9" x14ac:dyDescent="0.3">
      <c r="A551" s="26">
        <v>45841</v>
      </c>
      <c r="B551" s="27">
        <f t="shared" si="40"/>
        <v>2025</v>
      </c>
      <c r="C551" s="27">
        <f t="shared" si="41"/>
        <v>7</v>
      </c>
      <c r="D551" s="27">
        <f t="shared" si="42"/>
        <v>3</v>
      </c>
      <c r="E551" s="27">
        <f t="shared" si="43"/>
        <v>5</v>
      </c>
      <c r="F551" s="27">
        <f>VLOOKUP(E551,[1]t_calendarioPolitica!A:C,3,FALSE)</f>
        <v>1</v>
      </c>
      <c r="G551" s="1">
        <v>1</v>
      </c>
      <c r="H551" s="1">
        <v>1</v>
      </c>
      <c r="I551" s="1">
        <f t="shared" si="44"/>
        <v>1</v>
      </c>
    </row>
    <row r="552" spans="1:9" x14ac:dyDescent="0.3">
      <c r="A552" s="26">
        <v>45842</v>
      </c>
      <c r="B552" s="27">
        <f t="shared" si="40"/>
        <v>2025</v>
      </c>
      <c r="C552" s="27">
        <f t="shared" si="41"/>
        <v>7</v>
      </c>
      <c r="D552" s="27">
        <f t="shared" si="42"/>
        <v>4</v>
      </c>
      <c r="E552" s="27">
        <f t="shared" si="43"/>
        <v>6</v>
      </c>
      <c r="F552" s="27">
        <f>VLOOKUP(E552,[1]t_calendarioPolitica!A:C,3,FALSE)</f>
        <v>1</v>
      </c>
      <c r="G552" s="1">
        <v>1</v>
      </c>
      <c r="H552" s="1">
        <v>1</v>
      </c>
      <c r="I552" s="1">
        <f t="shared" si="44"/>
        <v>1</v>
      </c>
    </row>
    <row r="553" spans="1:9" x14ac:dyDescent="0.3">
      <c r="A553" s="26">
        <v>45843</v>
      </c>
      <c r="B553" s="27">
        <f t="shared" si="40"/>
        <v>2025</v>
      </c>
      <c r="C553" s="27">
        <f t="shared" si="41"/>
        <v>7</v>
      </c>
      <c r="D553" s="27">
        <f t="shared" si="42"/>
        <v>5</v>
      </c>
      <c r="E553" s="27">
        <f t="shared" si="43"/>
        <v>7</v>
      </c>
      <c r="F553" s="27">
        <f>VLOOKUP(E553,[1]t_calendarioPolitica!A:C,3,FALSE)</f>
        <v>2</v>
      </c>
      <c r="G553" s="1">
        <v>1</v>
      </c>
      <c r="H553" s="1">
        <v>1</v>
      </c>
      <c r="I553" s="1">
        <f t="shared" si="44"/>
        <v>1</v>
      </c>
    </row>
    <row r="554" spans="1:9" x14ac:dyDescent="0.3">
      <c r="A554" s="26">
        <v>45844</v>
      </c>
      <c r="B554" s="27">
        <f t="shared" si="40"/>
        <v>2025</v>
      </c>
      <c r="C554" s="27">
        <f t="shared" si="41"/>
        <v>7</v>
      </c>
      <c r="D554" s="27">
        <f t="shared" si="42"/>
        <v>6</v>
      </c>
      <c r="E554" s="27">
        <f t="shared" si="43"/>
        <v>1</v>
      </c>
      <c r="F554" s="27">
        <f>VLOOKUP(E554,[1]t_calendarioPolitica!A:C,3,FALSE)</f>
        <v>0</v>
      </c>
      <c r="G554" s="1">
        <v>1</v>
      </c>
      <c r="H554" s="1">
        <v>1</v>
      </c>
      <c r="I554" s="1">
        <f t="shared" si="44"/>
        <v>0</v>
      </c>
    </row>
    <row r="555" spans="1:9" x14ac:dyDescent="0.3">
      <c r="A555" s="26">
        <v>45845</v>
      </c>
      <c r="B555" s="27">
        <f t="shared" si="40"/>
        <v>2025</v>
      </c>
      <c r="C555" s="27">
        <f t="shared" si="41"/>
        <v>7</v>
      </c>
      <c r="D555" s="27">
        <f t="shared" si="42"/>
        <v>7</v>
      </c>
      <c r="E555" s="27">
        <f t="shared" si="43"/>
        <v>2</v>
      </c>
      <c r="F555" s="27">
        <f>VLOOKUP(E555,[1]t_calendarioPolitica!A:C,3,FALSE)</f>
        <v>1</v>
      </c>
      <c r="G555" s="1">
        <v>1</v>
      </c>
      <c r="H555" s="1">
        <v>1</v>
      </c>
      <c r="I555" s="1">
        <f t="shared" si="44"/>
        <v>1</v>
      </c>
    </row>
    <row r="556" spans="1:9" x14ac:dyDescent="0.3">
      <c r="A556" s="26">
        <v>45846</v>
      </c>
      <c r="B556" s="27">
        <f t="shared" si="40"/>
        <v>2025</v>
      </c>
      <c r="C556" s="27">
        <f t="shared" si="41"/>
        <v>7</v>
      </c>
      <c r="D556" s="27">
        <f t="shared" si="42"/>
        <v>8</v>
      </c>
      <c r="E556" s="27">
        <f t="shared" si="43"/>
        <v>3</v>
      </c>
      <c r="F556" s="27">
        <f>VLOOKUP(E556,[1]t_calendarioPolitica!A:C,3,FALSE)</f>
        <v>1</v>
      </c>
      <c r="G556" s="1">
        <v>1</v>
      </c>
      <c r="H556" s="1">
        <v>1</v>
      </c>
      <c r="I556" s="1">
        <f t="shared" si="44"/>
        <v>1</v>
      </c>
    </row>
    <row r="557" spans="1:9" x14ac:dyDescent="0.3">
      <c r="A557" s="26">
        <v>45847</v>
      </c>
      <c r="B557" s="27">
        <f t="shared" si="40"/>
        <v>2025</v>
      </c>
      <c r="C557" s="27">
        <f t="shared" si="41"/>
        <v>7</v>
      </c>
      <c r="D557" s="27">
        <f t="shared" si="42"/>
        <v>9</v>
      </c>
      <c r="E557" s="27">
        <f t="shared" si="43"/>
        <v>4</v>
      </c>
      <c r="F557" s="27">
        <f>VLOOKUP(E557,[1]t_calendarioPolitica!A:C,3,FALSE)</f>
        <v>1</v>
      </c>
      <c r="G557" s="1">
        <v>1</v>
      </c>
      <c r="H557" s="1">
        <v>1</v>
      </c>
      <c r="I557" s="1">
        <f t="shared" si="44"/>
        <v>1</v>
      </c>
    </row>
    <row r="558" spans="1:9" x14ac:dyDescent="0.3">
      <c r="A558" s="26">
        <v>45848</v>
      </c>
      <c r="B558" s="27">
        <f t="shared" si="40"/>
        <v>2025</v>
      </c>
      <c r="C558" s="27">
        <f t="shared" si="41"/>
        <v>7</v>
      </c>
      <c r="D558" s="27">
        <f t="shared" si="42"/>
        <v>10</v>
      </c>
      <c r="E558" s="27">
        <f t="shared" si="43"/>
        <v>5</v>
      </c>
      <c r="F558" s="27">
        <f>VLOOKUP(E558,[1]t_calendarioPolitica!A:C,3,FALSE)</f>
        <v>1</v>
      </c>
      <c r="G558" s="1">
        <v>1</v>
      </c>
      <c r="H558" s="1">
        <v>1</v>
      </c>
      <c r="I558" s="1">
        <f t="shared" si="44"/>
        <v>1</v>
      </c>
    </row>
    <row r="559" spans="1:9" x14ac:dyDescent="0.3">
      <c r="A559" s="26">
        <v>45849</v>
      </c>
      <c r="B559" s="27">
        <f t="shared" si="40"/>
        <v>2025</v>
      </c>
      <c r="C559" s="27">
        <f t="shared" si="41"/>
        <v>7</v>
      </c>
      <c r="D559" s="27">
        <f t="shared" si="42"/>
        <v>11</v>
      </c>
      <c r="E559" s="27">
        <f t="shared" si="43"/>
        <v>6</v>
      </c>
      <c r="F559" s="27">
        <f>VLOOKUP(E559,[1]t_calendarioPolitica!A:C,3,FALSE)</f>
        <v>1</v>
      </c>
      <c r="G559" s="1">
        <v>1</v>
      </c>
      <c r="H559" s="1">
        <v>1</v>
      </c>
      <c r="I559" s="1">
        <f t="shared" si="44"/>
        <v>1</v>
      </c>
    </row>
    <row r="560" spans="1:9" x14ac:dyDescent="0.3">
      <c r="A560" s="26">
        <v>45850</v>
      </c>
      <c r="B560" s="27">
        <f t="shared" si="40"/>
        <v>2025</v>
      </c>
      <c r="C560" s="27">
        <f t="shared" si="41"/>
        <v>7</v>
      </c>
      <c r="D560" s="27">
        <f t="shared" si="42"/>
        <v>12</v>
      </c>
      <c r="E560" s="27">
        <f t="shared" si="43"/>
        <v>7</v>
      </c>
      <c r="F560" s="27">
        <f>VLOOKUP(E560,[1]t_calendarioPolitica!A:C,3,FALSE)</f>
        <v>2</v>
      </c>
      <c r="G560" s="1">
        <v>1</v>
      </c>
      <c r="H560" s="1">
        <v>1</v>
      </c>
      <c r="I560" s="1">
        <f t="shared" si="44"/>
        <v>1</v>
      </c>
    </row>
    <row r="561" spans="1:9" x14ac:dyDescent="0.3">
      <c r="A561" s="26">
        <v>45851</v>
      </c>
      <c r="B561" s="27">
        <f t="shared" si="40"/>
        <v>2025</v>
      </c>
      <c r="C561" s="27">
        <f t="shared" si="41"/>
        <v>7</v>
      </c>
      <c r="D561" s="27">
        <f t="shared" si="42"/>
        <v>13</v>
      </c>
      <c r="E561" s="27">
        <f t="shared" si="43"/>
        <v>1</v>
      </c>
      <c r="F561" s="27">
        <f>VLOOKUP(E561,[1]t_calendarioPolitica!A:C,3,FALSE)</f>
        <v>0</v>
      </c>
      <c r="G561" s="1">
        <v>1</v>
      </c>
      <c r="H561" s="1">
        <v>1</v>
      </c>
      <c r="I561" s="1">
        <f t="shared" si="44"/>
        <v>0</v>
      </c>
    </row>
    <row r="562" spans="1:9" x14ac:dyDescent="0.3">
      <c r="A562" s="26">
        <v>45852</v>
      </c>
      <c r="B562" s="27">
        <f t="shared" si="40"/>
        <v>2025</v>
      </c>
      <c r="C562" s="27">
        <f t="shared" si="41"/>
        <v>7</v>
      </c>
      <c r="D562" s="27">
        <f t="shared" si="42"/>
        <v>14</v>
      </c>
      <c r="E562" s="27">
        <f t="shared" si="43"/>
        <v>2</v>
      </c>
      <c r="F562" s="27">
        <f>VLOOKUP(E562,[1]t_calendarioPolitica!A:C,3,FALSE)</f>
        <v>1</v>
      </c>
      <c r="G562" s="1">
        <v>1</v>
      </c>
      <c r="H562" s="1">
        <v>1</v>
      </c>
      <c r="I562" s="1">
        <f t="shared" si="44"/>
        <v>1</v>
      </c>
    </row>
    <row r="563" spans="1:9" x14ac:dyDescent="0.3">
      <c r="A563" s="26">
        <v>45853</v>
      </c>
      <c r="B563" s="27">
        <f t="shared" si="40"/>
        <v>2025</v>
      </c>
      <c r="C563" s="27">
        <f t="shared" si="41"/>
        <v>7</v>
      </c>
      <c r="D563" s="27">
        <f t="shared" si="42"/>
        <v>15</v>
      </c>
      <c r="E563" s="27">
        <f t="shared" si="43"/>
        <v>3</v>
      </c>
      <c r="F563" s="27">
        <f>VLOOKUP(E563,[1]t_calendarioPolitica!A:C,3,FALSE)</f>
        <v>1</v>
      </c>
      <c r="G563" s="1">
        <v>1</v>
      </c>
      <c r="H563" s="1">
        <v>1</v>
      </c>
      <c r="I563" s="1">
        <f t="shared" si="44"/>
        <v>1</v>
      </c>
    </row>
    <row r="564" spans="1:9" x14ac:dyDescent="0.3">
      <c r="A564" s="26">
        <v>45854</v>
      </c>
      <c r="B564" s="27">
        <f t="shared" si="40"/>
        <v>2025</v>
      </c>
      <c r="C564" s="27">
        <f t="shared" si="41"/>
        <v>7</v>
      </c>
      <c r="D564" s="27">
        <f t="shared" si="42"/>
        <v>16</v>
      </c>
      <c r="E564" s="27">
        <f t="shared" si="43"/>
        <v>4</v>
      </c>
      <c r="F564" s="27">
        <f>VLOOKUP(E564,[1]t_calendarioPolitica!A:C,3,FALSE)</f>
        <v>1</v>
      </c>
      <c r="G564" s="1">
        <v>1</v>
      </c>
      <c r="H564" s="1">
        <v>1</v>
      </c>
      <c r="I564" s="1">
        <f t="shared" si="44"/>
        <v>1</v>
      </c>
    </row>
    <row r="565" spans="1:9" x14ac:dyDescent="0.3">
      <c r="A565" s="26">
        <v>45855</v>
      </c>
      <c r="B565" s="27">
        <f t="shared" si="40"/>
        <v>2025</v>
      </c>
      <c r="C565" s="27">
        <f t="shared" si="41"/>
        <v>7</v>
      </c>
      <c r="D565" s="27">
        <f t="shared" si="42"/>
        <v>17</v>
      </c>
      <c r="E565" s="27">
        <f t="shared" si="43"/>
        <v>5</v>
      </c>
      <c r="F565" s="27">
        <f>VLOOKUP(E565,[1]t_calendarioPolitica!A:C,3,FALSE)</f>
        <v>1</v>
      </c>
      <c r="G565" s="1">
        <v>1</v>
      </c>
      <c r="H565" s="1">
        <v>1</v>
      </c>
      <c r="I565" s="1">
        <f t="shared" si="44"/>
        <v>1</v>
      </c>
    </row>
    <row r="566" spans="1:9" x14ac:dyDescent="0.3">
      <c r="A566" s="26">
        <v>45856</v>
      </c>
      <c r="B566" s="27">
        <f t="shared" si="40"/>
        <v>2025</v>
      </c>
      <c r="C566" s="27">
        <f t="shared" si="41"/>
        <v>7</v>
      </c>
      <c r="D566" s="27">
        <f t="shared" si="42"/>
        <v>18</v>
      </c>
      <c r="E566" s="27">
        <f t="shared" si="43"/>
        <v>6</v>
      </c>
      <c r="F566" s="27">
        <f>VLOOKUP(E566,[1]t_calendarioPolitica!A:C,3,FALSE)</f>
        <v>1</v>
      </c>
      <c r="G566" s="1">
        <v>1</v>
      </c>
      <c r="H566" s="1">
        <v>1</v>
      </c>
      <c r="I566" s="1">
        <f t="shared" si="44"/>
        <v>1</v>
      </c>
    </row>
    <row r="567" spans="1:9" x14ac:dyDescent="0.3">
      <c r="A567" s="26">
        <v>45857</v>
      </c>
      <c r="B567" s="27">
        <f t="shared" si="40"/>
        <v>2025</v>
      </c>
      <c r="C567" s="27">
        <f t="shared" si="41"/>
        <v>7</v>
      </c>
      <c r="D567" s="27">
        <f t="shared" si="42"/>
        <v>19</v>
      </c>
      <c r="E567" s="27">
        <f t="shared" si="43"/>
        <v>7</v>
      </c>
      <c r="F567" s="27">
        <f>VLOOKUP(E567,[1]t_calendarioPolitica!A:C,3,FALSE)</f>
        <v>2</v>
      </c>
      <c r="G567" s="1">
        <v>1</v>
      </c>
      <c r="H567" s="1">
        <v>1</v>
      </c>
      <c r="I567" s="1">
        <f t="shared" si="44"/>
        <v>1</v>
      </c>
    </row>
    <row r="568" spans="1:9" x14ac:dyDescent="0.3">
      <c r="A568" s="26">
        <v>45858</v>
      </c>
      <c r="B568" s="27">
        <f t="shared" si="40"/>
        <v>2025</v>
      </c>
      <c r="C568" s="27">
        <f t="shared" si="41"/>
        <v>7</v>
      </c>
      <c r="D568" s="27">
        <f t="shared" si="42"/>
        <v>20</v>
      </c>
      <c r="E568" s="27">
        <f t="shared" si="43"/>
        <v>1</v>
      </c>
      <c r="F568" s="27">
        <f>VLOOKUP(E568,[1]t_calendarioPolitica!A:C,3,FALSE)</f>
        <v>0</v>
      </c>
      <c r="G568" s="1">
        <v>1</v>
      </c>
      <c r="H568" s="1">
        <v>1</v>
      </c>
      <c r="I568" s="1">
        <f t="shared" si="44"/>
        <v>0</v>
      </c>
    </row>
    <row r="569" spans="1:9" x14ac:dyDescent="0.3">
      <c r="A569" s="26">
        <v>45859</v>
      </c>
      <c r="B569" s="27">
        <f t="shared" si="40"/>
        <v>2025</v>
      </c>
      <c r="C569" s="27">
        <f t="shared" si="41"/>
        <v>7</v>
      </c>
      <c r="D569" s="27">
        <f t="shared" si="42"/>
        <v>21</v>
      </c>
      <c r="E569" s="27">
        <f t="shared" si="43"/>
        <v>2</v>
      </c>
      <c r="F569" s="27">
        <f>VLOOKUP(E569,[1]t_calendarioPolitica!A:C,3,FALSE)</f>
        <v>1</v>
      </c>
      <c r="G569" s="1">
        <v>1</v>
      </c>
      <c r="H569" s="1">
        <v>1</v>
      </c>
      <c r="I569" s="1">
        <f t="shared" si="44"/>
        <v>1</v>
      </c>
    </row>
    <row r="570" spans="1:9" x14ac:dyDescent="0.3">
      <c r="A570" s="26">
        <v>45860</v>
      </c>
      <c r="B570" s="27">
        <f t="shared" si="40"/>
        <v>2025</v>
      </c>
      <c r="C570" s="27">
        <f t="shared" si="41"/>
        <v>7</v>
      </c>
      <c r="D570" s="27">
        <f t="shared" si="42"/>
        <v>22</v>
      </c>
      <c r="E570" s="27">
        <f t="shared" si="43"/>
        <v>3</v>
      </c>
      <c r="F570" s="27">
        <f>VLOOKUP(E570,[1]t_calendarioPolitica!A:C,3,FALSE)</f>
        <v>1</v>
      </c>
      <c r="G570" s="1">
        <v>1</v>
      </c>
      <c r="H570" s="1">
        <v>1</v>
      </c>
      <c r="I570" s="1">
        <f t="shared" si="44"/>
        <v>1</v>
      </c>
    </row>
    <row r="571" spans="1:9" x14ac:dyDescent="0.3">
      <c r="A571" s="26">
        <v>45861</v>
      </c>
      <c r="B571" s="27">
        <f t="shared" si="40"/>
        <v>2025</v>
      </c>
      <c r="C571" s="27">
        <f t="shared" si="41"/>
        <v>7</v>
      </c>
      <c r="D571" s="27">
        <f t="shared" si="42"/>
        <v>23</v>
      </c>
      <c r="E571" s="27">
        <f t="shared" si="43"/>
        <v>4</v>
      </c>
      <c r="F571" s="27">
        <f>VLOOKUP(E571,[1]t_calendarioPolitica!A:C,3,FALSE)</f>
        <v>1</v>
      </c>
      <c r="G571" s="1">
        <v>1</v>
      </c>
      <c r="H571" s="1">
        <v>1</v>
      </c>
      <c r="I571" s="1">
        <f t="shared" si="44"/>
        <v>1</v>
      </c>
    </row>
    <row r="572" spans="1:9" x14ac:dyDescent="0.3">
      <c r="A572" s="26">
        <v>45862</v>
      </c>
      <c r="B572" s="27">
        <f t="shared" si="40"/>
        <v>2025</v>
      </c>
      <c r="C572" s="27">
        <f t="shared" si="41"/>
        <v>7</v>
      </c>
      <c r="D572" s="27">
        <f t="shared" si="42"/>
        <v>24</v>
      </c>
      <c r="E572" s="27">
        <f t="shared" si="43"/>
        <v>5</v>
      </c>
      <c r="F572" s="27">
        <f>VLOOKUP(E572,[1]t_calendarioPolitica!A:C,3,FALSE)</f>
        <v>1</v>
      </c>
      <c r="G572" s="1">
        <v>1</v>
      </c>
      <c r="H572" s="1">
        <v>1</v>
      </c>
      <c r="I572" s="1">
        <f t="shared" si="44"/>
        <v>1</v>
      </c>
    </row>
    <row r="573" spans="1:9" x14ac:dyDescent="0.3">
      <c r="A573" s="26">
        <v>45863</v>
      </c>
      <c r="B573" s="27">
        <f t="shared" si="40"/>
        <v>2025</v>
      </c>
      <c r="C573" s="27">
        <f t="shared" si="41"/>
        <v>7</v>
      </c>
      <c r="D573" s="27">
        <f t="shared" si="42"/>
        <v>25</v>
      </c>
      <c r="E573" s="27">
        <f t="shared" si="43"/>
        <v>6</v>
      </c>
      <c r="F573" s="27">
        <f>VLOOKUP(E573,[1]t_calendarioPolitica!A:C,3,FALSE)</f>
        <v>1</v>
      </c>
      <c r="G573" s="1">
        <v>1</v>
      </c>
      <c r="H573" s="1">
        <v>1</v>
      </c>
      <c r="I573" s="1">
        <f t="shared" si="44"/>
        <v>1</v>
      </c>
    </row>
    <row r="574" spans="1:9" x14ac:dyDescent="0.3">
      <c r="A574" s="26">
        <v>45864</v>
      </c>
      <c r="B574" s="27">
        <f t="shared" si="40"/>
        <v>2025</v>
      </c>
      <c r="C574" s="27">
        <f t="shared" si="41"/>
        <v>7</v>
      </c>
      <c r="D574" s="27">
        <f t="shared" si="42"/>
        <v>26</v>
      </c>
      <c r="E574" s="27">
        <f t="shared" si="43"/>
        <v>7</v>
      </c>
      <c r="F574" s="27">
        <f>VLOOKUP(E574,[1]t_calendarioPolitica!A:C,3,FALSE)</f>
        <v>2</v>
      </c>
      <c r="G574" s="1">
        <v>1</v>
      </c>
      <c r="H574" s="1">
        <v>1</v>
      </c>
      <c r="I574" s="1">
        <f t="shared" si="44"/>
        <v>1</v>
      </c>
    </row>
    <row r="575" spans="1:9" x14ac:dyDescent="0.3">
      <c r="A575" s="26">
        <v>45865</v>
      </c>
      <c r="B575" s="27">
        <f t="shared" si="40"/>
        <v>2025</v>
      </c>
      <c r="C575" s="27">
        <f t="shared" si="41"/>
        <v>7</v>
      </c>
      <c r="D575" s="27">
        <f t="shared" si="42"/>
        <v>27</v>
      </c>
      <c r="E575" s="27">
        <f t="shared" si="43"/>
        <v>1</v>
      </c>
      <c r="F575" s="27">
        <f>VLOOKUP(E575,[1]t_calendarioPolitica!A:C,3,FALSE)</f>
        <v>0</v>
      </c>
      <c r="G575" s="1">
        <v>1</v>
      </c>
      <c r="H575" s="1">
        <v>1</v>
      </c>
      <c r="I575" s="1">
        <f t="shared" si="44"/>
        <v>0</v>
      </c>
    </row>
    <row r="576" spans="1:9" x14ac:dyDescent="0.3">
      <c r="A576" s="26">
        <v>45866</v>
      </c>
      <c r="B576" s="27">
        <f t="shared" si="40"/>
        <v>2025</v>
      </c>
      <c r="C576" s="27">
        <f t="shared" si="41"/>
        <v>7</v>
      </c>
      <c r="D576" s="27">
        <f t="shared" si="42"/>
        <v>28</v>
      </c>
      <c r="E576" s="27">
        <f t="shared" si="43"/>
        <v>2</v>
      </c>
      <c r="F576" s="27">
        <f>VLOOKUP(E576,[1]t_calendarioPolitica!A:C,3,FALSE)</f>
        <v>1</v>
      </c>
      <c r="G576" s="1">
        <v>1</v>
      </c>
      <c r="H576" s="1">
        <v>1</v>
      </c>
      <c r="I576" s="1">
        <f t="shared" si="44"/>
        <v>1</v>
      </c>
    </row>
    <row r="577" spans="1:9" x14ac:dyDescent="0.3">
      <c r="A577" s="26">
        <v>45867</v>
      </c>
      <c r="B577" s="27">
        <f t="shared" si="40"/>
        <v>2025</v>
      </c>
      <c r="C577" s="27">
        <f t="shared" si="41"/>
        <v>7</v>
      </c>
      <c r="D577" s="27">
        <f t="shared" si="42"/>
        <v>29</v>
      </c>
      <c r="E577" s="27">
        <f t="shared" si="43"/>
        <v>3</v>
      </c>
      <c r="F577" s="27">
        <f>VLOOKUP(E577,[1]t_calendarioPolitica!A:C,3,FALSE)</f>
        <v>1</v>
      </c>
      <c r="G577" s="1">
        <v>1</v>
      </c>
      <c r="H577" s="1">
        <v>1</v>
      </c>
      <c r="I577" s="1">
        <f t="shared" si="44"/>
        <v>1</v>
      </c>
    </row>
    <row r="578" spans="1:9" x14ac:dyDescent="0.3">
      <c r="A578" s="26">
        <v>45868</v>
      </c>
      <c r="B578" s="27">
        <f t="shared" si="40"/>
        <v>2025</v>
      </c>
      <c r="C578" s="27">
        <f t="shared" si="41"/>
        <v>7</v>
      </c>
      <c r="D578" s="27">
        <f t="shared" si="42"/>
        <v>30</v>
      </c>
      <c r="E578" s="27">
        <f t="shared" si="43"/>
        <v>4</v>
      </c>
      <c r="F578" s="27">
        <f>VLOOKUP(E578,[1]t_calendarioPolitica!A:C,3,FALSE)</f>
        <v>1</v>
      </c>
      <c r="G578" s="1">
        <v>1</v>
      </c>
      <c r="H578" s="1">
        <v>1</v>
      </c>
      <c r="I578" s="1">
        <f t="shared" si="44"/>
        <v>1</v>
      </c>
    </row>
    <row r="579" spans="1:9" x14ac:dyDescent="0.3">
      <c r="A579" s="26">
        <v>45869</v>
      </c>
      <c r="B579" s="27">
        <f t="shared" ref="B579:B642" si="45">YEAR(A579)</f>
        <v>2025</v>
      </c>
      <c r="C579" s="27">
        <f t="shared" ref="C579:C642" si="46">MONTH(A579)</f>
        <v>7</v>
      </c>
      <c r="D579" s="27">
        <f t="shared" ref="D579:D642" si="47">DAY(A579)</f>
        <v>31</v>
      </c>
      <c r="E579" s="27">
        <f t="shared" ref="E579:E642" si="48">WEEKDAY(A579)</f>
        <v>5</v>
      </c>
      <c r="F579" s="27">
        <f>VLOOKUP(E579,[1]t_calendarioPolitica!A:C,3,FALSE)</f>
        <v>1</v>
      </c>
      <c r="G579" s="1">
        <v>1</v>
      </c>
      <c r="H579" s="1">
        <v>1</v>
      </c>
      <c r="I579" s="1">
        <f t="shared" ref="I579:I642" si="49">IF(AND(F579&lt;&gt;0, H579&lt;&gt;0,G579&lt;&gt;0), 1, 0)</f>
        <v>1</v>
      </c>
    </row>
    <row r="580" spans="1:9" x14ac:dyDescent="0.3">
      <c r="A580" s="26">
        <v>45870</v>
      </c>
      <c r="B580" s="27">
        <f t="shared" si="45"/>
        <v>2025</v>
      </c>
      <c r="C580" s="27">
        <f t="shared" si="46"/>
        <v>8</v>
      </c>
      <c r="D580" s="27">
        <f t="shared" si="47"/>
        <v>1</v>
      </c>
      <c r="E580" s="27">
        <f t="shared" si="48"/>
        <v>6</v>
      </c>
      <c r="F580" s="27">
        <f>VLOOKUP(E580,[1]t_calendarioPolitica!A:C,3,FALSE)</f>
        <v>1</v>
      </c>
      <c r="G580" s="1">
        <v>1</v>
      </c>
      <c r="H580" s="1">
        <v>1</v>
      </c>
      <c r="I580" s="1">
        <f t="shared" si="49"/>
        <v>1</v>
      </c>
    </row>
    <row r="581" spans="1:9" x14ac:dyDescent="0.3">
      <c r="A581" s="26">
        <v>45871</v>
      </c>
      <c r="B581" s="27">
        <f t="shared" si="45"/>
        <v>2025</v>
      </c>
      <c r="C581" s="27">
        <f t="shared" si="46"/>
        <v>8</v>
      </c>
      <c r="D581" s="27">
        <f t="shared" si="47"/>
        <v>2</v>
      </c>
      <c r="E581" s="27">
        <f t="shared" si="48"/>
        <v>7</v>
      </c>
      <c r="F581" s="27">
        <f>VLOOKUP(E581,[1]t_calendarioPolitica!A:C,3,FALSE)</f>
        <v>2</v>
      </c>
      <c r="G581" s="1">
        <v>1</v>
      </c>
      <c r="H581" s="1">
        <v>1</v>
      </c>
      <c r="I581" s="1">
        <f t="shared" si="49"/>
        <v>1</v>
      </c>
    </row>
    <row r="582" spans="1:9" x14ac:dyDescent="0.3">
      <c r="A582" s="26">
        <v>45872</v>
      </c>
      <c r="B582" s="27">
        <f t="shared" si="45"/>
        <v>2025</v>
      </c>
      <c r="C582" s="27">
        <f t="shared" si="46"/>
        <v>8</v>
      </c>
      <c r="D582" s="27">
        <f t="shared" si="47"/>
        <v>3</v>
      </c>
      <c r="E582" s="27">
        <f t="shared" si="48"/>
        <v>1</v>
      </c>
      <c r="F582" s="27">
        <f>VLOOKUP(E582,[1]t_calendarioPolitica!A:C,3,FALSE)</f>
        <v>0</v>
      </c>
      <c r="G582" s="1">
        <v>1</v>
      </c>
      <c r="H582" s="1">
        <v>1</v>
      </c>
      <c r="I582" s="1">
        <f t="shared" si="49"/>
        <v>0</v>
      </c>
    </row>
    <row r="583" spans="1:9" x14ac:dyDescent="0.3">
      <c r="A583" s="26">
        <v>45873</v>
      </c>
      <c r="B583" s="27">
        <f t="shared" si="45"/>
        <v>2025</v>
      </c>
      <c r="C583" s="27">
        <f t="shared" si="46"/>
        <v>8</v>
      </c>
      <c r="D583" s="27">
        <f t="shared" si="47"/>
        <v>4</v>
      </c>
      <c r="E583" s="27">
        <f t="shared" si="48"/>
        <v>2</v>
      </c>
      <c r="F583" s="27">
        <f>VLOOKUP(E583,[1]t_calendarioPolitica!A:C,3,FALSE)</f>
        <v>1</v>
      </c>
      <c r="G583" s="1">
        <v>1</v>
      </c>
      <c r="H583" s="1">
        <v>1</v>
      </c>
      <c r="I583" s="1">
        <f t="shared" si="49"/>
        <v>1</v>
      </c>
    </row>
    <row r="584" spans="1:9" x14ac:dyDescent="0.3">
      <c r="A584" s="26">
        <v>45874</v>
      </c>
      <c r="B584" s="27">
        <f t="shared" si="45"/>
        <v>2025</v>
      </c>
      <c r="C584" s="27">
        <f t="shared" si="46"/>
        <v>8</v>
      </c>
      <c r="D584" s="27">
        <f t="shared" si="47"/>
        <v>5</v>
      </c>
      <c r="E584" s="27">
        <f t="shared" si="48"/>
        <v>3</v>
      </c>
      <c r="F584" s="27">
        <f>VLOOKUP(E584,[1]t_calendarioPolitica!A:C,3,FALSE)</f>
        <v>1</v>
      </c>
      <c r="G584" s="1">
        <v>1</v>
      </c>
      <c r="H584" s="1">
        <v>1</v>
      </c>
      <c r="I584" s="1">
        <f t="shared" si="49"/>
        <v>1</v>
      </c>
    </row>
    <row r="585" spans="1:9" x14ac:dyDescent="0.3">
      <c r="A585" s="26">
        <v>45875</v>
      </c>
      <c r="B585" s="27">
        <f t="shared" si="45"/>
        <v>2025</v>
      </c>
      <c r="C585" s="27">
        <f t="shared" si="46"/>
        <v>8</v>
      </c>
      <c r="D585" s="27">
        <f t="shared" si="47"/>
        <v>6</v>
      </c>
      <c r="E585" s="27">
        <f t="shared" si="48"/>
        <v>4</v>
      </c>
      <c r="F585" s="27">
        <f>VLOOKUP(E585,[1]t_calendarioPolitica!A:C,3,FALSE)</f>
        <v>1</v>
      </c>
      <c r="G585" s="1">
        <v>1</v>
      </c>
      <c r="H585" s="1">
        <v>1</v>
      </c>
      <c r="I585" s="1">
        <f t="shared" si="49"/>
        <v>1</v>
      </c>
    </row>
    <row r="586" spans="1:9" x14ac:dyDescent="0.3">
      <c r="A586" s="26">
        <v>45876</v>
      </c>
      <c r="B586" s="27">
        <f t="shared" si="45"/>
        <v>2025</v>
      </c>
      <c r="C586" s="27">
        <f t="shared" si="46"/>
        <v>8</v>
      </c>
      <c r="D586" s="27">
        <f t="shared" si="47"/>
        <v>7</v>
      </c>
      <c r="E586" s="27">
        <f t="shared" si="48"/>
        <v>5</v>
      </c>
      <c r="F586" s="27">
        <f>VLOOKUP(E586,[1]t_calendarioPolitica!A:C,3,FALSE)</f>
        <v>1</v>
      </c>
      <c r="G586" s="1">
        <v>1</v>
      </c>
      <c r="H586" s="1">
        <v>1</v>
      </c>
      <c r="I586" s="1">
        <f t="shared" si="49"/>
        <v>1</v>
      </c>
    </row>
    <row r="587" spans="1:9" x14ac:dyDescent="0.3">
      <c r="A587" s="26">
        <v>45877</v>
      </c>
      <c r="B587" s="27">
        <f t="shared" si="45"/>
        <v>2025</v>
      </c>
      <c r="C587" s="27">
        <f t="shared" si="46"/>
        <v>8</v>
      </c>
      <c r="D587" s="27">
        <f t="shared" si="47"/>
        <v>8</v>
      </c>
      <c r="E587" s="27">
        <f t="shared" si="48"/>
        <v>6</v>
      </c>
      <c r="F587" s="27">
        <f>VLOOKUP(E587,[1]t_calendarioPolitica!A:C,3,FALSE)</f>
        <v>1</v>
      </c>
      <c r="G587" s="1">
        <v>1</v>
      </c>
      <c r="H587" s="1">
        <v>1</v>
      </c>
      <c r="I587" s="1">
        <f t="shared" si="49"/>
        <v>1</v>
      </c>
    </row>
    <row r="588" spans="1:9" x14ac:dyDescent="0.3">
      <c r="A588" s="26">
        <v>45878</v>
      </c>
      <c r="B588" s="27">
        <f t="shared" si="45"/>
        <v>2025</v>
      </c>
      <c r="C588" s="27">
        <f t="shared" si="46"/>
        <v>8</v>
      </c>
      <c r="D588" s="27">
        <f t="shared" si="47"/>
        <v>9</v>
      </c>
      <c r="E588" s="27">
        <f t="shared" si="48"/>
        <v>7</v>
      </c>
      <c r="F588" s="27">
        <f>VLOOKUP(E588,[1]t_calendarioPolitica!A:C,3,FALSE)</f>
        <v>2</v>
      </c>
      <c r="G588" s="1">
        <v>1</v>
      </c>
      <c r="H588" s="1">
        <v>1</v>
      </c>
      <c r="I588" s="1">
        <f t="shared" si="49"/>
        <v>1</v>
      </c>
    </row>
    <row r="589" spans="1:9" x14ac:dyDescent="0.3">
      <c r="A589" s="26">
        <v>45879</v>
      </c>
      <c r="B589" s="27">
        <f t="shared" si="45"/>
        <v>2025</v>
      </c>
      <c r="C589" s="27">
        <f t="shared" si="46"/>
        <v>8</v>
      </c>
      <c r="D589" s="27">
        <f t="shared" si="47"/>
        <v>10</v>
      </c>
      <c r="E589" s="27">
        <f t="shared" si="48"/>
        <v>1</v>
      </c>
      <c r="F589" s="27">
        <f>VLOOKUP(E589,[1]t_calendarioPolitica!A:C,3,FALSE)</f>
        <v>0</v>
      </c>
      <c r="G589" s="1">
        <v>1</v>
      </c>
      <c r="H589" s="1">
        <v>1</v>
      </c>
      <c r="I589" s="1">
        <f t="shared" si="49"/>
        <v>0</v>
      </c>
    </row>
    <row r="590" spans="1:9" x14ac:dyDescent="0.3">
      <c r="A590" s="26">
        <v>45880</v>
      </c>
      <c r="B590" s="27">
        <f t="shared" si="45"/>
        <v>2025</v>
      </c>
      <c r="C590" s="27">
        <f t="shared" si="46"/>
        <v>8</v>
      </c>
      <c r="D590" s="27">
        <f t="shared" si="47"/>
        <v>11</v>
      </c>
      <c r="E590" s="27">
        <f t="shared" si="48"/>
        <v>2</v>
      </c>
      <c r="F590" s="27">
        <f>VLOOKUP(E590,[1]t_calendarioPolitica!A:C,3,FALSE)</f>
        <v>1</v>
      </c>
      <c r="G590" s="1">
        <v>1</v>
      </c>
      <c r="H590" s="1">
        <v>1</v>
      </c>
      <c r="I590" s="1">
        <f t="shared" si="49"/>
        <v>1</v>
      </c>
    </row>
    <row r="591" spans="1:9" x14ac:dyDescent="0.3">
      <c r="A591" s="26">
        <v>45881</v>
      </c>
      <c r="B591" s="27">
        <f t="shared" si="45"/>
        <v>2025</v>
      </c>
      <c r="C591" s="27">
        <f t="shared" si="46"/>
        <v>8</v>
      </c>
      <c r="D591" s="27">
        <f t="shared" si="47"/>
        <v>12</v>
      </c>
      <c r="E591" s="27">
        <f t="shared" si="48"/>
        <v>3</v>
      </c>
      <c r="F591" s="27">
        <f>VLOOKUP(E591,[1]t_calendarioPolitica!A:C,3,FALSE)</f>
        <v>1</v>
      </c>
      <c r="G591" s="1">
        <v>1</v>
      </c>
      <c r="H591" s="1">
        <v>1</v>
      </c>
      <c r="I591" s="1">
        <f t="shared" si="49"/>
        <v>1</v>
      </c>
    </row>
    <row r="592" spans="1:9" x14ac:dyDescent="0.3">
      <c r="A592" s="26">
        <v>45882</v>
      </c>
      <c r="B592" s="27">
        <f t="shared" si="45"/>
        <v>2025</v>
      </c>
      <c r="C592" s="27">
        <f t="shared" si="46"/>
        <v>8</v>
      </c>
      <c r="D592" s="27">
        <f t="shared" si="47"/>
        <v>13</v>
      </c>
      <c r="E592" s="27">
        <f t="shared" si="48"/>
        <v>4</v>
      </c>
      <c r="F592" s="27">
        <f>VLOOKUP(E592,[1]t_calendarioPolitica!A:C,3,FALSE)</f>
        <v>1</v>
      </c>
      <c r="G592" s="1">
        <v>1</v>
      </c>
      <c r="H592" s="1">
        <v>1</v>
      </c>
      <c r="I592" s="1">
        <f t="shared" si="49"/>
        <v>1</v>
      </c>
    </row>
    <row r="593" spans="1:9" x14ac:dyDescent="0.3">
      <c r="A593" s="26">
        <v>45883</v>
      </c>
      <c r="B593" s="27">
        <f t="shared" si="45"/>
        <v>2025</v>
      </c>
      <c r="C593" s="27">
        <f t="shared" si="46"/>
        <v>8</v>
      </c>
      <c r="D593" s="27">
        <f t="shared" si="47"/>
        <v>14</v>
      </c>
      <c r="E593" s="27">
        <f t="shared" si="48"/>
        <v>5</v>
      </c>
      <c r="F593" s="27">
        <f>VLOOKUP(E593,[1]t_calendarioPolitica!A:C,3,FALSE)</f>
        <v>1</v>
      </c>
      <c r="G593" s="1">
        <v>1</v>
      </c>
      <c r="H593" s="1">
        <v>1</v>
      </c>
      <c r="I593" s="1">
        <f t="shared" si="49"/>
        <v>1</v>
      </c>
    </row>
    <row r="594" spans="1:9" x14ac:dyDescent="0.3">
      <c r="A594" s="26">
        <v>45884</v>
      </c>
      <c r="B594" s="27">
        <f t="shared" si="45"/>
        <v>2025</v>
      </c>
      <c r="C594" s="27">
        <f t="shared" si="46"/>
        <v>8</v>
      </c>
      <c r="D594" s="27">
        <f t="shared" si="47"/>
        <v>15</v>
      </c>
      <c r="E594" s="27">
        <f t="shared" si="48"/>
        <v>6</v>
      </c>
      <c r="F594" s="27">
        <f>VLOOKUP(E594,[1]t_calendarioPolitica!A:C,3,FALSE)</f>
        <v>1</v>
      </c>
      <c r="G594" s="1">
        <v>1</v>
      </c>
      <c r="H594" s="1">
        <v>1</v>
      </c>
      <c r="I594" s="1">
        <f t="shared" si="49"/>
        <v>1</v>
      </c>
    </row>
    <row r="595" spans="1:9" x14ac:dyDescent="0.3">
      <c r="A595" s="26">
        <v>45885</v>
      </c>
      <c r="B595" s="27">
        <f t="shared" si="45"/>
        <v>2025</v>
      </c>
      <c r="C595" s="27">
        <f t="shared" si="46"/>
        <v>8</v>
      </c>
      <c r="D595" s="27">
        <f t="shared" si="47"/>
        <v>16</v>
      </c>
      <c r="E595" s="27">
        <f t="shared" si="48"/>
        <v>7</v>
      </c>
      <c r="F595" s="27">
        <f>VLOOKUP(E595,[1]t_calendarioPolitica!A:C,3,FALSE)</f>
        <v>2</v>
      </c>
      <c r="G595" s="1">
        <v>1</v>
      </c>
      <c r="H595" s="1">
        <v>1</v>
      </c>
      <c r="I595" s="1">
        <f t="shared" si="49"/>
        <v>1</v>
      </c>
    </row>
    <row r="596" spans="1:9" x14ac:dyDescent="0.3">
      <c r="A596" s="26">
        <v>45886</v>
      </c>
      <c r="B596" s="27">
        <f t="shared" si="45"/>
        <v>2025</v>
      </c>
      <c r="C596" s="27">
        <f t="shared" si="46"/>
        <v>8</v>
      </c>
      <c r="D596" s="27">
        <f t="shared" si="47"/>
        <v>17</v>
      </c>
      <c r="E596" s="27">
        <f t="shared" si="48"/>
        <v>1</v>
      </c>
      <c r="F596" s="27">
        <f>VLOOKUP(E596,[1]t_calendarioPolitica!A:C,3,FALSE)</f>
        <v>0</v>
      </c>
      <c r="G596" s="1">
        <v>1</v>
      </c>
      <c r="H596" s="1">
        <v>1</v>
      </c>
      <c r="I596" s="1">
        <f t="shared" si="49"/>
        <v>0</v>
      </c>
    </row>
    <row r="597" spans="1:9" x14ac:dyDescent="0.3">
      <c r="A597" s="26">
        <v>45887</v>
      </c>
      <c r="B597" s="27">
        <f t="shared" si="45"/>
        <v>2025</v>
      </c>
      <c r="C597" s="27">
        <f t="shared" si="46"/>
        <v>8</v>
      </c>
      <c r="D597" s="27">
        <f t="shared" si="47"/>
        <v>18</v>
      </c>
      <c r="E597" s="27">
        <f t="shared" si="48"/>
        <v>2</v>
      </c>
      <c r="F597" s="27">
        <f>VLOOKUP(E597,[1]t_calendarioPolitica!A:C,3,FALSE)</f>
        <v>1</v>
      </c>
      <c r="G597" s="1">
        <v>1</v>
      </c>
      <c r="H597" s="1">
        <v>1</v>
      </c>
      <c r="I597" s="1">
        <f t="shared" si="49"/>
        <v>1</v>
      </c>
    </row>
    <row r="598" spans="1:9" x14ac:dyDescent="0.3">
      <c r="A598" s="26">
        <v>45888</v>
      </c>
      <c r="B598" s="27">
        <f t="shared" si="45"/>
        <v>2025</v>
      </c>
      <c r="C598" s="27">
        <f t="shared" si="46"/>
        <v>8</v>
      </c>
      <c r="D598" s="27">
        <f t="shared" si="47"/>
        <v>19</v>
      </c>
      <c r="E598" s="27">
        <f t="shared" si="48"/>
        <v>3</v>
      </c>
      <c r="F598" s="27">
        <f>VLOOKUP(E598,[1]t_calendarioPolitica!A:C,3,FALSE)</f>
        <v>1</v>
      </c>
      <c r="G598" s="1">
        <v>1</v>
      </c>
      <c r="H598" s="1">
        <v>1</v>
      </c>
      <c r="I598" s="1">
        <f t="shared" si="49"/>
        <v>1</v>
      </c>
    </row>
    <row r="599" spans="1:9" x14ac:dyDescent="0.3">
      <c r="A599" s="26">
        <v>45889</v>
      </c>
      <c r="B599" s="27">
        <f t="shared" si="45"/>
        <v>2025</v>
      </c>
      <c r="C599" s="27">
        <f t="shared" si="46"/>
        <v>8</v>
      </c>
      <c r="D599" s="27">
        <f t="shared" si="47"/>
        <v>20</v>
      </c>
      <c r="E599" s="27">
        <f t="shared" si="48"/>
        <v>4</v>
      </c>
      <c r="F599" s="27">
        <f>VLOOKUP(E599,[1]t_calendarioPolitica!A:C,3,FALSE)</f>
        <v>1</v>
      </c>
      <c r="G599" s="1">
        <v>1</v>
      </c>
      <c r="H599" s="1">
        <v>1</v>
      </c>
      <c r="I599" s="1">
        <f t="shared" si="49"/>
        <v>1</v>
      </c>
    </row>
    <row r="600" spans="1:9" x14ac:dyDescent="0.3">
      <c r="A600" s="26">
        <v>45890</v>
      </c>
      <c r="B600" s="27">
        <f t="shared" si="45"/>
        <v>2025</v>
      </c>
      <c r="C600" s="27">
        <f t="shared" si="46"/>
        <v>8</v>
      </c>
      <c r="D600" s="27">
        <f t="shared" si="47"/>
        <v>21</v>
      </c>
      <c r="E600" s="27">
        <f t="shared" si="48"/>
        <v>5</v>
      </c>
      <c r="F600" s="27">
        <f>VLOOKUP(E600,[1]t_calendarioPolitica!A:C,3,FALSE)</f>
        <v>1</v>
      </c>
      <c r="G600" s="1">
        <v>1</v>
      </c>
      <c r="H600" s="1">
        <v>1</v>
      </c>
      <c r="I600" s="1">
        <f t="shared" si="49"/>
        <v>1</v>
      </c>
    </row>
    <row r="601" spans="1:9" x14ac:dyDescent="0.3">
      <c r="A601" s="26">
        <v>45891</v>
      </c>
      <c r="B601" s="27">
        <f t="shared" si="45"/>
        <v>2025</v>
      </c>
      <c r="C601" s="27">
        <f t="shared" si="46"/>
        <v>8</v>
      </c>
      <c r="D601" s="27">
        <f t="shared" si="47"/>
        <v>22</v>
      </c>
      <c r="E601" s="27">
        <f t="shared" si="48"/>
        <v>6</v>
      </c>
      <c r="F601" s="27">
        <f>VLOOKUP(E601,[1]t_calendarioPolitica!A:C,3,FALSE)</f>
        <v>1</v>
      </c>
      <c r="G601" s="1">
        <v>1</v>
      </c>
      <c r="H601" s="1">
        <v>1</v>
      </c>
      <c r="I601" s="1">
        <f t="shared" si="49"/>
        <v>1</v>
      </c>
    </row>
    <row r="602" spans="1:9" x14ac:dyDescent="0.3">
      <c r="A602" s="26">
        <v>45892</v>
      </c>
      <c r="B602" s="27">
        <f t="shared" si="45"/>
        <v>2025</v>
      </c>
      <c r="C602" s="27">
        <f t="shared" si="46"/>
        <v>8</v>
      </c>
      <c r="D602" s="27">
        <f t="shared" si="47"/>
        <v>23</v>
      </c>
      <c r="E602" s="27">
        <f t="shared" si="48"/>
        <v>7</v>
      </c>
      <c r="F602" s="27">
        <f>VLOOKUP(E602,[1]t_calendarioPolitica!A:C,3,FALSE)</f>
        <v>2</v>
      </c>
      <c r="G602" s="1">
        <v>1</v>
      </c>
      <c r="H602" s="1">
        <v>1</v>
      </c>
      <c r="I602" s="1">
        <f t="shared" si="49"/>
        <v>1</v>
      </c>
    </row>
    <row r="603" spans="1:9" x14ac:dyDescent="0.3">
      <c r="A603" s="26">
        <v>45893</v>
      </c>
      <c r="B603" s="27">
        <f t="shared" si="45"/>
        <v>2025</v>
      </c>
      <c r="C603" s="27">
        <f t="shared" si="46"/>
        <v>8</v>
      </c>
      <c r="D603" s="27">
        <f t="shared" si="47"/>
        <v>24</v>
      </c>
      <c r="E603" s="27">
        <f t="shared" si="48"/>
        <v>1</v>
      </c>
      <c r="F603" s="27">
        <f>VLOOKUP(E603,[1]t_calendarioPolitica!A:C,3,FALSE)</f>
        <v>0</v>
      </c>
      <c r="G603" s="1">
        <v>1</v>
      </c>
      <c r="H603" s="1">
        <v>1</v>
      </c>
      <c r="I603" s="1">
        <f t="shared" si="49"/>
        <v>0</v>
      </c>
    </row>
    <row r="604" spans="1:9" x14ac:dyDescent="0.3">
      <c r="A604" s="26">
        <v>45894</v>
      </c>
      <c r="B604" s="27">
        <f t="shared" si="45"/>
        <v>2025</v>
      </c>
      <c r="C604" s="27">
        <f t="shared" si="46"/>
        <v>8</v>
      </c>
      <c r="D604" s="27">
        <f t="shared" si="47"/>
        <v>25</v>
      </c>
      <c r="E604" s="27">
        <f t="shared" si="48"/>
        <v>2</v>
      </c>
      <c r="F604" s="27">
        <f>VLOOKUP(E604,[1]t_calendarioPolitica!A:C,3,FALSE)</f>
        <v>1</v>
      </c>
      <c r="G604" s="1">
        <v>1</v>
      </c>
      <c r="H604" s="1">
        <v>1</v>
      </c>
      <c r="I604" s="1">
        <f t="shared" si="49"/>
        <v>1</v>
      </c>
    </row>
    <row r="605" spans="1:9" x14ac:dyDescent="0.3">
      <c r="A605" s="26">
        <v>45895</v>
      </c>
      <c r="B605" s="27">
        <f t="shared" si="45"/>
        <v>2025</v>
      </c>
      <c r="C605" s="27">
        <f t="shared" si="46"/>
        <v>8</v>
      </c>
      <c r="D605" s="27">
        <f t="shared" si="47"/>
        <v>26</v>
      </c>
      <c r="E605" s="27">
        <f t="shared" si="48"/>
        <v>3</v>
      </c>
      <c r="F605" s="27">
        <f>VLOOKUP(E605,[1]t_calendarioPolitica!A:C,3,FALSE)</f>
        <v>1</v>
      </c>
      <c r="G605" s="1">
        <v>1</v>
      </c>
      <c r="H605" s="1">
        <v>1</v>
      </c>
      <c r="I605" s="1">
        <f t="shared" si="49"/>
        <v>1</v>
      </c>
    </row>
    <row r="606" spans="1:9" x14ac:dyDescent="0.3">
      <c r="A606" s="26">
        <v>45896</v>
      </c>
      <c r="B606" s="27">
        <f t="shared" si="45"/>
        <v>2025</v>
      </c>
      <c r="C606" s="27">
        <f t="shared" si="46"/>
        <v>8</v>
      </c>
      <c r="D606" s="27">
        <f t="shared" si="47"/>
        <v>27</v>
      </c>
      <c r="E606" s="27">
        <f t="shared" si="48"/>
        <v>4</v>
      </c>
      <c r="F606" s="27">
        <f>VLOOKUP(E606,[1]t_calendarioPolitica!A:C,3,FALSE)</f>
        <v>1</v>
      </c>
      <c r="G606" s="1">
        <v>1</v>
      </c>
      <c r="H606" s="1">
        <v>1</v>
      </c>
      <c r="I606" s="1">
        <f t="shared" si="49"/>
        <v>1</v>
      </c>
    </row>
    <row r="607" spans="1:9" x14ac:dyDescent="0.3">
      <c r="A607" s="26">
        <v>45897</v>
      </c>
      <c r="B607" s="27">
        <f t="shared" si="45"/>
        <v>2025</v>
      </c>
      <c r="C607" s="27">
        <f t="shared" si="46"/>
        <v>8</v>
      </c>
      <c r="D607" s="27">
        <f t="shared" si="47"/>
        <v>28</v>
      </c>
      <c r="E607" s="27">
        <f t="shared" si="48"/>
        <v>5</v>
      </c>
      <c r="F607" s="27">
        <f>VLOOKUP(E607,[1]t_calendarioPolitica!A:C,3,FALSE)</f>
        <v>1</v>
      </c>
      <c r="G607" s="1">
        <v>1</v>
      </c>
      <c r="H607" s="1">
        <v>1</v>
      </c>
      <c r="I607" s="1">
        <f t="shared" si="49"/>
        <v>1</v>
      </c>
    </row>
    <row r="608" spans="1:9" x14ac:dyDescent="0.3">
      <c r="A608" s="26">
        <v>45898</v>
      </c>
      <c r="B608" s="27">
        <f t="shared" si="45"/>
        <v>2025</v>
      </c>
      <c r="C608" s="27">
        <f t="shared" si="46"/>
        <v>8</v>
      </c>
      <c r="D608" s="27">
        <f t="shared" si="47"/>
        <v>29</v>
      </c>
      <c r="E608" s="27">
        <f t="shared" si="48"/>
        <v>6</v>
      </c>
      <c r="F608" s="27">
        <f>VLOOKUP(E608,[1]t_calendarioPolitica!A:C,3,FALSE)</f>
        <v>1</v>
      </c>
      <c r="G608" s="1">
        <v>1</v>
      </c>
      <c r="H608" s="1">
        <v>1</v>
      </c>
      <c r="I608" s="1">
        <f t="shared" si="49"/>
        <v>1</v>
      </c>
    </row>
    <row r="609" spans="1:9" x14ac:dyDescent="0.3">
      <c r="A609" s="26">
        <v>45899</v>
      </c>
      <c r="B609" s="27">
        <f t="shared" si="45"/>
        <v>2025</v>
      </c>
      <c r="C609" s="27">
        <f t="shared" si="46"/>
        <v>8</v>
      </c>
      <c r="D609" s="27">
        <f t="shared" si="47"/>
        <v>30</v>
      </c>
      <c r="E609" s="27">
        <f t="shared" si="48"/>
        <v>7</v>
      </c>
      <c r="F609" s="27">
        <f>VLOOKUP(E609,[1]t_calendarioPolitica!A:C,3,FALSE)</f>
        <v>2</v>
      </c>
      <c r="G609" s="1">
        <v>1</v>
      </c>
      <c r="H609" s="1">
        <v>1</v>
      </c>
      <c r="I609" s="1">
        <f t="shared" si="49"/>
        <v>1</v>
      </c>
    </row>
    <row r="610" spans="1:9" x14ac:dyDescent="0.3">
      <c r="A610" s="26">
        <v>45900</v>
      </c>
      <c r="B610" s="27">
        <f t="shared" si="45"/>
        <v>2025</v>
      </c>
      <c r="C610" s="27">
        <f t="shared" si="46"/>
        <v>8</v>
      </c>
      <c r="D610" s="27">
        <f t="shared" si="47"/>
        <v>31</v>
      </c>
      <c r="E610" s="27">
        <f t="shared" si="48"/>
        <v>1</v>
      </c>
      <c r="F610" s="27">
        <f>VLOOKUP(E610,[1]t_calendarioPolitica!A:C,3,FALSE)</f>
        <v>0</v>
      </c>
      <c r="G610" s="1">
        <v>1</v>
      </c>
      <c r="H610" s="1">
        <v>1</v>
      </c>
      <c r="I610" s="1">
        <f t="shared" si="49"/>
        <v>0</v>
      </c>
    </row>
    <row r="611" spans="1:9" x14ac:dyDescent="0.3">
      <c r="A611" s="26">
        <v>45901</v>
      </c>
      <c r="B611" s="27">
        <f t="shared" si="45"/>
        <v>2025</v>
      </c>
      <c r="C611" s="27">
        <f t="shared" si="46"/>
        <v>9</v>
      </c>
      <c r="D611" s="27">
        <f t="shared" si="47"/>
        <v>1</v>
      </c>
      <c r="E611" s="27">
        <f t="shared" si="48"/>
        <v>2</v>
      </c>
      <c r="F611" s="27">
        <f>VLOOKUP(E611,[1]t_calendarioPolitica!A:C,3,FALSE)</f>
        <v>1</v>
      </c>
      <c r="G611" s="1">
        <v>1</v>
      </c>
      <c r="H611" s="1">
        <v>1</v>
      </c>
      <c r="I611" s="1">
        <f t="shared" si="49"/>
        <v>1</v>
      </c>
    </row>
    <row r="612" spans="1:9" x14ac:dyDescent="0.3">
      <c r="A612" s="26">
        <v>45902</v>
      </c>
      <c r="B612" s="27">
        <f t="shared" si="45"/>
        <v>2025</v>
      </c>
      <c r="C612" s="27">
        <f t="shared" si="46"/>
        <v>9</v>
      </c>
      <c r="D612" s="27">
        <f t="shared" si="47"/>
        <v>2</v>
      </c>
      <c r="E612" s="27">
        <f t="shared" si="48"/>
        <v>3</v>
      </c>
      <c r="F612" s="27">
        <f>VLOOKUP(E612,[1]t_calendarioPolitica!A:C,3,FALSE)</f>
        <v>1</v>
      </c>
      <c r="G612" s="1">
        <v>1</v>
      </c>
      <c r="H612" s="1">
        <v>1</v>
      </c>
      <c r="I612" s="1">
        <f t="shared" si="49"/>
        <v>1</v>
      </c>
    </row>
    <row r="613" spans="1:9" x14ac:dyDescent="0.3">
      <c r="A613" s="26">
        <v>45903</v>
      </c>
      <c r="B613" s="27">
        <f t="shared" si="45"/>
        <v>2025</v>
      </c>
      <c r="C613" s="27">
        <f t="shared" si="46"/>
        <v>9</v>
      </c>
      <c r="D613" s="27">
        <f t="shared" si="47"/>
        <v>3</v>
      </c>
      <c r="E613" s="27">
        <f t="shared" si="48"/>
        <v>4</v>
      </c>
      <c r="F613" s="27">
        <f>VLOOKUP(E613,[1]t_calendarioPolitica!A:C,3,FALSE)</f>
        <v>1</v>
      </c>
      <c r="G613" s="1">
        <v>1</v>
      </c>
      <c r="H613" s="1">
        <v>1</v>
      </c>
      <c r="I613" s="1">
        <f t="shared" si="49"/>
        <v>1</v>
      </c>
    </row>
    <row r="614" spans="1:9" x14ac:dyDescent="0.3">
      <c r="A614" s="26">
        <v>45904</v>
      </c>
      <c r="B614" s="27">
        <f t="shared" si="45"/>
        <v>2025</v>
      </c>
      <c r="C614" s="27">
        <f t="shared" si="46"/>
        <v>9</v>
      </c>
      <c r="D614" s="27">
        <f t="shared" si="47"/>
        <v>4</v>
      </c>
      <c r="E614" s="27">
        <f t="shared" si="48"/>
        <v>5</v>
      </c>
      <c r="F614" s="27">
        <f>VLOOKUP(E614,[1]t_calendarioPolitica!A:C,3,FALSE)</f>
        <v>1</v>
      </c>
      <c r="G614" s="1">
        <v>1</v>
      </c>
      <c r="H614" s="1">
        <v>1</v>
      </c>
      <c r="I614" s="1">
        <f t="shared" si="49"/>
        <v>1</v>
      </c>
    </row>
    <row r="615" spans="1:9" x14ac:dyDescent="0.3">
      <c r="A615" s="26">
        <v>45905</v>
      </c>
      <c r="B615" s="27">
        <f t="shared" si="45"/>
        <v>2025</v>
      </c>
      <c r="C615" s="27">
        <f t="shared" si="46"/>
        <v>9</v>
      </c>
      <c r="D615" s="27">
        <f t="shared" si="47"/>
        <v>5</v>
      </c>
      <c r="E615" s="27">
        <f t="shared" si="48"/>
        <v>6</v>
      </c>
      <c r="F615" s="27">
        <f>VLOOKUP(E615,[1]t_calendarioPolitica!A:C,3,FALSE)</f>
        <v>1</v>
      </c>
      <c r="G615" s="1">
        <v>1</v>
      </c>
      <c r="H615" s="1">
        <v>1</v>
      </c>
      <c r="I615" s="1">
        <f t="shared" si="49"/>
        <v>1</v>
      </c>
    </row>
    <row r="616" spans="1:9" x14ac:dyDescent="0.3">
      <c r="A616" s="26">
        <v>45906</v>
      </c>
      <c r="B616" s="27">
        <f t="shared" si="45"/>
        <v>2025</v>
      </c>
      <c r="C616" s="27">
        <f t="shared" si="46"/>
        <v>9</v>
      </c>
      <c r="D616" s="27">
        <f t="shared" si="47"/>
        <v>6</v>
      </c>
      <c r="E616" s="27">
        <f t="shared" si="48"/>
        <v>7</v>
      </c>
      <c r="F616" s="27">
        <f>VLOOKUP(E616,[1]t_calendarioPolitica!A:C,3,FALSE)</f>
        <v>2</v>
      </c>
      <c r="G616" s="1">
        <v>1</v>
      </c>
      <c r="H616" s="1">
        <v>1</v>
      </c>
      <c r="I616" s="1">
        <f t="shared" si="49"/>
        <v>1</v>
      </c>
    </row>
    <row r="617" spans="1:9" x14ac:dyDescent="0.3">
      <c r="A617" s="26">
        <v>45907</v>
      </c>
      <c r="B617" s="27">
        <f t="shared" si="45"/>
        <v>2025</v>
      </c>
      <c r="C617" s="27">
        <f t="shared" si="46"/>
        <v>9</v>
      </c>
      <c r="D617" s="27">
        <f t="shared" si="47"/>
        <v>7</v>
      </c>
      <c r="E617" s="27">
        <f t="shared" si="48"/>
        <v>1</v>
      </c>
      <c r="F617" s="27">
        <f>VLOOKUP(E617,[1]t_calendarioPolitica!A:C,3,FALSE)</f>
        <v>0</v>
      </c>
      <c r="G617" s="1">
        <v>1</v>
      </c>
      <c r="H617" s="1">
        <v>1</v>
      </c>
      <c r="I617" s="1">
        <f t="shared" si="49"/>
        <v>0</v>
      </c>
    </row>
    <row r="618" spans="1:9" x14ac:dyDescent="0.3">
      <c r="A618" s="26">
        <v>45908</v>
      </c>
      <c r="B618" s="27">
        <f t="shared" si="45"/>
        <v>2025</v>
      </c>
      <c r="C618" s="27">
        <f t="shared" si="46"/>
        <v>9</v>
      </c>
      <c r="D618" s="27">
        <f t="shared" si="47"/>
        <v>8</v>
      </c>
      <c r="E618" s="27">
        <f t="shared" si="48"/>
        <v>2</v>
      </c>
      <c r="F618" s="27">
        <f>VLOOKUP(E618,[1]t_calendarioPolitica!A:C,3,FALSE)</f>
        <v>1</v>
      </c>
      <c r="G618" s="1">
        <v>1</v>
      </c>
      <c r="H618" s="1">
        <v>1</v>
      </c>
      <c r="I618" s="1">
        <f t="shared" si="49"/>
        <v>1</v>
      </c>
    </row>
    <row r="619" spans="1:9" x14ac:dyDescent="0.3">
      <c r="A619" s="26">
        <v>45909</v>
      </c>
      <c r="B619" s="27">
        <f t="shared" si="45"/>
        <v>2025</v>
      </c>
      <c r="C619" s="27">
        <f t="shared" si="46"/>
        <v>9</v>
      </c>
      <c r="D619" s="27">
        <f t="shared" si="47"/>
        <v>9</v>
      </c>
      <c r="E619" s="27">
        <f t="shared" si="48"/>
        <v>3</v>
      </c>
      <c r="F619" s="27">
        <f>VLOOKUP(E619,[1]t_calendarioPolitica!A:C,3,FALSE)</f>
        <v>1</v>
      </c>
      <c r="G619" s="1">
        <v>1</v>
      </c>
      <c r="H619" s="1">
        <v>1</v>
      </c>
      <c r="I619" s="1">
        <f t="shared" si="49"/>
        <v>1</v>
      </c>
    </row>
    <row r="620" spans="1:9" x14ac:dyDescent="0.3">
      <c r="A620" s="26">
        <v>45910</v>
      </c>
      <c r="B620" s="27">
        <f t="shared" si="45"/>
        <v>2025</v>
      </c>
      <c r="C620" s="27">
        <f t="shared" si="46"/>
        <v>9</v>
      </c>
      <c r="D620" s="27">
        <f t="shared" si="47"/>
        <v>10</v>
      </c>
      <c r="E620" s="27">
        <f t="shared" si="48"/>
        <v>4</v>
      </c>
      <c r="F620" s="27">
        <f>VLOOKUP(E620,[1]t_calendarioPolitica!A:C,3,FALSE)</f>
        <v>1</v>
      </c>
      <c r="G620" s="1">
        <v>1</v>
      </c>
      <c r="H620" s="1">
        <v>1</v>
      </c>
      <c r="I620" s="1">
        <f t="shared" si="49"/>
        <v>1</v>
      </c>
    </row>
    <row r="621" spans="1:9" x14ac:dyDescent="0.3">
      <c r="A621" s="26">
        <v>45911</v>
      </c>
      <c r="B621" s="27">
        <f t="shared" si="45"/>
        <v>2025</v>
      </c>
      <c r="C621" s="27">
        <f t="shared" si="46"/>
        <v>9</v>
      </c>
      <c r="D621" s="27">
        <f t="shared" si="47"/>
        <v>11</v>
      </c>
      <c r="E621" s="27">
        <f t="shared" si="48"/>
        <v>5</v>
      </c>
      <c r="F621" s="27">
        <f>VLOOKUP(E621,[1]t_calendarioPolitica!A:C,3,FALSE)</f>
        <v>1</v>
      </c>
      <c r="G621" s="1">
        <v>1</v>
      </c>
      <c r="H621" s="1">
        <v>1</v>
      </c>
      <c r="I621" s="1">
        <f t="shared" si="49"/>
        <v>1</v>
      </c>
    </row>
    <row r="622" spans="1:9" x14ac:dyDescent="0.3">
      <c r="A622" s="26">
        <v>45912</v>
      </c>
      <c r="B622" s="27">
        <f t="shared" si="45"/>
        <v>2025</v>
      </c>
      <c r="C622" s="27">
        <f t="shared" si="46"/>
        <v>9</v>
      </c>
      <c r="D622" s="27">
        <f t="shared" si="47"/>
        <v>12</v>
      </c>
      <c r="E622" s="27">
        <f t="shared" si="48"/>
        <v>6</v>
      </c>
      <c r="F622" s="27">
        <f>VLOOKUP(E622,[1]t_calendarioPolitica!A:C,3,FALSE)</f>
        <v>1</v>
      </c>
      <c r="G622" s="1">
        <v>1</v>
      </c>
      <c r="H622" s="1">
        <v>1</v>
      </c>
      <c r="I622" s="1">
        <f t="shared" si="49"/>
        <v>1</v>
      </c>
    </row>
    <row r="623" spans="1:9" x14ac:dyDescent="0.3">
      <c r="A623" s="26">
        <v>45913</v>
      </c>
      <c r="B623" s="27">
        <f t="shared" si="45"/>
        <v>2025</v>
      </c>
      <c r="C623" s="27">
        <f t="shared" si="46"/>
        <v>9</v>
      </c>
      <c r="D623" s="27">
        <f t="shared" si="47"/>
        <v>13</v>
      </c>
      <c r="E623" s="27">
        <f t="shared" si="48"/>
        <v>7</v>
      </c>
      <c r="F623" s="27">
        <f>VLOOKUP(E623,[1]t_calendarioPolitica!A:C,3,FALSE)</f>
        <v>2</v>
      </c>
      <c r="G623" s="1">
        <v>1</v>
      </c>
      <c r="H623" s="1">
        <v>1</v>
      </c>
      <c r="I623" s="1">
        <f t="shared" si="49"/>
        <v>1</v>
      </c>
    </row>
    <row r="624" spans="1:9" x14ac:dyDescent="0.3">
      <c r="A624" s="26">
        <v>45914</v>
      </c>
      <c r="B624" s="27">
        <f t="shared" si="45"/>
        <v>2025</v>
      </c>
      <c r="C624" s="27">
        <f t="shared" si="46"/>
        <v>9</v>
      </c>
      <c r="D624" s="27">
        <f t="shared" si="47"/>
        <v>14</v>
      </c>
      <c r="E624" s="27">
        <f t="shared" si="48"/>
        <v>1</v>
      </c>
      <c r="F624" s="27">
        <f>VLOOKUP(E624,[1]t_calendarioPolitica!A:C,3,FALSE)</f>
        <v>0</v>
      </c>
      <c r="G624" s="1">
        <v>1</v>
      </c>
      <c r="H624" s="1">
        <v>1</v>
      </c>
      <c r="I624" s="1">
        <f t="shared" si="49"/>
        <v>0</v>
      </c>
    </row>
    <row r="625" spans="1:9" x14ac:dyDescent="0.3">
      <c r="A625" s="26">
        <v>45915</v>
      </c>
      <c r="B625" s="27">
        <f t="shared" si="45"/>
        <v>2025</v>
      </c>
      <c r="C625" s="27">
        <f t="shared" si="46"/>
        <v>9</v>
      </c>
      <c r="D625" s="27">
        <f t="shared" si="47"/>
        <v>15</v>
      </c>
      <c r="E625" s="27">
        <f t="shared" si="48"/>
        <v>2</v>
      </c>
      <c r="F625" s="27">
        <f>VLOOKUP(E625,[1]t_calendarioPolitica!A:C,3,FALSE)</f>
        <v>1</v>
      </c>
      <c r="G625" s="1">
        <v>1</v>
      </c>
      <c r="H625" s="1">
        <v>0</v>
      </c>
      <c r="I625" s="1">
        <f t="shared" si="49"/>
        <v>0</v>
      </c>
    </row>
    <row r="626" spans="1:9" x14ac:dyDescent="0.3">
      <c r="A626" s="26">
        <v>45916</v>
      </c>
      <c r="B626" s="27">
        <f t="shared" si="45"/>
        <v>2025</v>
      </c>
      <c r="C626" s="27">
        <f t="shared" si="46"/>
        <v>9</v>
      </c>
      <c r="D626" s="27">
        <f t="shared" si="47"/>
        <v>16</v>
      </c>
      <c r="E626" s="27">
        <f t="shared" si="48"/>
        <v>3</v>
      </c>
      <c r="F626" s="27">
        <f>VLOOKUP(E626,[1]t_calendarioPolitica!A:C,3,FALSE)</f>
        <v>1</v>
      </c>
      <c r="G626" s="1">
        <v>0</v>
      </c>
      <c r="H626" s="1">
        <v>1</v>
      </c>
      <c r="I626" s="1">
        <f t="shared" si="49"/>
        <v>0</v>
      </c>
    </row>
    <row r="627" spans="1:9" x14ac:dyDescent="0.3">
      <c r="A627" s="26">
        <v>45917</v>
      </c>
      <c r="B627" s="27">
        <f t="shared" si="45"/>
        <v>2025</v>
      </c>
      <c r="C627" s="27">
        <f t="shared" si="46"/>
        <v>9</v>
      </c>
      <c r="D627" s="27">
        <f t="shared" si="47"/>
        <v>17</v>
      </c>
      <c r="E627" s="27">
        <f t="shared" si="48"/>
        <v>4</v>
      </c>
      <c r="F627" s="27">
        <f>VLOOKUP(E627,[1]t_calendarioPolitica!A:C,3,FALSE)</f>
        <v>1</v>
      </c>
      <c r="G627" s="1">
        <v>1</v>
      </c>
      <c r="H627" s="1">
        <v>1</v>
      </c>
      <c r="I627" s="1">
        <f t="shared" si="49"/>
        <v>1</v>
      </c>
    </row>
    <row r="628" spans="1:9" x14ac:dyDescent="0.3">
      <c r="A628" s="26">
        <v>45918</v>
      </c>
      <c r="B628" s="27">
        <f t="shared" si="45"/>
        <v>2025</v>
      </c>
      <c r="C628" s="27">
        <f t="shared" si="46"/>
        <v>9</v>
      </c>
      <c r="D628" s="27">
        <f t="shared" si="47"/>
        <v>18</v>
      </c>
      <c r="E628" s="27">
        <f t="shared" si="48"/>
        <v>5</v>
      </c>
      <c r="F628" s="27">
        <f>VLOOKUP(E628,[1]t_calendarioPolitica!A:C,3,FALSE)</f>
        <v>1</v>
      </c>
      <c r="G628" s="1">
        <v>1</v>
      </c>
      <c r="H628" s="1">
        <v>1</v>
      </c>
      <c r="I628" s="1">
        <f t="shared" si="49"/>
        <v>1</v>
      </c>
    </row>
    <row r="629" spans="1:9" x14ac:dyDescent="0.3">
      <c r="A629" s="26">
        <v>45919</v>
      </c>
      <c r="B629" s="27">
        <f t="shared" si="45"/>
        <v>2025</v>
      </c>
      <c r="C629" s="27">
        <f t="shared" si="46"/>
        <v>9</v>
      </c>
      <c r="D629" s="27">
        <f t="shared" si="47"/>
        <v>19</v>
      </c>
      <c r="E629" s="27">
        <f t="shared" si="48"/>
        <v>6</v>
      </c>
      <c r="F629" s="27">
        <f>VLOOKUP(E629,[1]t_calendarioPolitica!A:C,3,FALSE)</f>
        <v>1</v>
      </c>
      <c r="G629" s="1">
        <v>1</v>
      </c>
      <c r="H629" s="1">
        <v>1</v>
      </c>
      <c r="I629" s="1">
        <f t="shared" si="49"/>
        <v>1</v>
      </c>
    </row>
    <row r="630" spans="1:9" x14ac:dyDescent="0.3">
      <c r="A630" s="26">
        <v>45920</v>
      </c>
      <c r="B630" s="27">
        <f t="shared" si="45"/>
        <v>2025</v>
      </c>
      <c r="C630" s="27">
        <f t="shared" si="46"/>
        <v>9</v>
      </c>
      <c r="D630" s="27">
        <f t="shared" si="47"/>
        <v>20</v>
      </c>
      <c r="E630" s="27">
        <f t="shared" si="48"/>
        <v>7</v>
      </c>
      <c r="F630" s="27">
        <f>VLOOKUP(E630,[1]t_calendarioPolitica!A:C,3,FALSE)</f>
        <v>2</v>
      </c>
      <c r="G630" s="1">
        <v>1</v>
      </c>
      <c r="H630" s="1">
        <v>1</v>
      </c>
      <c r="I630" s="1">
        <f t="shared" si="49"/>
        <v>1</v>
      </c>
    </row>
    <row r="631" spans="1:9" x14ac:dyDescent="0.3">
      <c r="A631" s="26">
        <v>45921</v>
      </c>
      <c r="B631" s="27">
        <f t="shared" si="45"/>
        <v>2025</v>
      </c>
      <c r="C631" s="27">
        <f t="shared" si="46"/>
        <v>9</v>
      </c>
      <c r="D631" s="27">
        <f t="shared" si="47"/>
        <v>21</v>
      </c>
      <c r="E631" s="27">
        <f t="shared" si="48"/>
        <v>1</v>
      </c>
      <c r="F631" s="27">
        <f>VLOOKUP(E631,[1]t_calendarioPolitica!A:C,3,FALSE)</f>
        <v>0</v>
      </c>
      <c r="G631" s="1">
        <v>1</v>
      </c>
      <c r="H631" s="1">
        <v>1</v>
      </c>
      <c r="I631" s="1">
        <f t="shared" si="49"/>
        <v>0</v>
      </c>
    </row>
    <row r="632" spans="1:9" x14ac:dyDescent="0.3">
      <c r="A632" s="26">
        <v>45922</v>
      </c>
      <c r="B632" s="27">
        <f t="shared" si="45"/>
        <v>2025</v>
      </c>
      <c r="C632" s="27">
        <f t="shared" si="46"/>
        <v>9</v>
      </c>
      <c r="D632" s="27">
        <f t="shared" si="47"/>
        <v>22</v>
      </c>
      <c r="E632" s="27">
        <f t="shared" si="48"/>
        <v>2</v>
      </c>
      <c r="F632" s="27">
        <f>VLOOKUP(E632,[1]t_calendarioPolitica!A:C,3,FALSE)</f>
        <v>1</v>
      </c>
      <c r="G632" s="1">
        <v>1</v>
      </c>
      <c r="H632" s="1">
        <v>1</v>
      </c>
      <c r="I632" s="1">
        <f t="shared" si="49"/>
        <v>1</v>
      </c>
    </row>
    <row r="633" spans="1:9" x14ac:dyDescent="0.3">
      <c r="A633" s="26">
        <v>45923</v>
      </c>
      <c r="B633" s="27">
        <f t="shared" si="45"/>
        <v>2025</v>
      </c>
      <c r="C633" s="27">
        <f t="shared" si="46"/>
        <v>9</v>
      </c>
      <c r="D633" s="27">
        <f t="shared" si="47"/>
        <v>23</v>
      </c>
      <c r="E633" s="27">
        <f t="shared" si="48"/>
        <v>3</v>
      </c>
      <c r="F633" s="27">
        <f>VLOOKUP(E633,[1]t_calendarioPolitica!A:C,3,FALSE)</f>
        <v>1</v>
      </c>
      <c r="G633" s="1">
        <v>1</v>
      </c>
      <c r="H633" s="1">
        <v>1</v>
      </c>
      <c r="I633" s="1">
        <f t="shared" si="49"/>
        <v>1</v>
      </c>
    </row>
    <row r="634" spans="1:9" x14ac:dyDescent="0.3">
      <c r="A634" s="26">
        <v>45924</v>
      </c>
      <c r="B634" s="27">
        <f t="shared" si="45"/>
        <v>2025</v>
      </c>
      <c r="C634" s="27">
        <f t="shared" si="46"/>
        <v>9</v>
      </c>
      <c r="D634" s="27">
        <f t="shared" si="47"/>
        <v>24</v>
      </c>
      <c r="E634" s="27">
        <f t="shared" si="48"/>
        <v>4</v>
      </c>
      <c r="F634" s="27">
        <f>VLOOKUP(E634,[1]t_calendarioPolitica!A:C,3,FALSE)</f>
        <v>1</v>
      </c>
      <c r="G634" s="1">
        <v>1</v>
      </c>
      <c r="H634" s="1">
        <v>1</v>
      </c>
      <c r="I634" s="1">
        <f t="shared" si="49"/>
        <v>1</v>
      </c>
    </row>
    <row r="635" spans="1:9" x14ac:dyDescent="0.3">
      <c r="A635" s="26">
        <v>45925</v>
      </c>
      <c r="B635" s="27">
        <f t="shared" si="45"/>
        <v>2025</v>
      </c>
      <c r="C635" s="27">
        <f t="shared" si="46"/>
        <v>9</v>
      </c>
      <c r="D635" s="27">
        <f t="shared" si="47"/>
        <v>25</v>
      </c>
      <c r="E635" s="27">
        <f t="shared" si="48"/>
        <v>5</v>
      </c>
      <c r="F635" s="27">
        <f>VLOOKUP(E635,[1]t_calendarioPolitica!A:C,3,FALSE)</f>
        <v>1</v>
      </c>
      <c r="G635" s="1">
        <v>1</v>
      </c>
      <c r="H635" s="1">
        <v>1</v>
      </c>
      <c r="I635" s="1">
        <f t="shared" si="49"/>
        <v>1</v>
      </c>
    </row>
    <row r="636" spans="1:9" x14ac:dyDescent="0.3">
      <c r="A636" s="26">
        <v>45926</v>
      </c>
      <c r="B636" s="27">
        <f t="shared" si="45"/>
        <v>2025</v>
      </c>
      <c r="C636" s="27">
        <f t="shared" si="46"/>
        <v>9</v>
      </c>
      <c r="D636" s="27">
        <f t="shared" si="47"/>
        <v>26</v>
      </c>
      <c r="E636" s="27">
        <f t="shared" si="48"/>
        <v>6</v>
      </c>
      <c r="F636" s="27">
        <f>VLOOKUP(E636,[1]t_calendarioPolitica!A:C,3,FALSE)</f>
        <v>1</v>
      </c>
      <c r="G636" s="1">
        <v>1</v>
      </c>
      <c r="H636" s="1">
        <v>1</v>
      </c>
      <c r="I636" s="1">
        <f t="shared" si="49"/>
        <v>1</v>
      </c>
    </row>
    <row r="637" spans="1:9" x14ac:dyDescent="0.3">
      <c r="A637" s="26">
        <v>45927</v>
      </c>
      <c r="B637" s="27">
        <f t="shared" si="45"/>
        <v>2025</v>
      </c>
      <c r="C637" s="27">
        <f t="shared" si="46"/>
        <v>9</v>
      </c>
      <c r="D637" s="27">
        <f t="shared" si="47"/>
        <v>27</v>
      </c>
      <c r="E637" s="27">
        <f t="shared" si="48"/>
        <v>7</v>
      </c>
      <c r="F637" s="27">
        <f>VLOOKUP(E637,[1]t_calendarioPolitica!A:C,3,FALSE)</f>
        <v>2</v>
      </c>
      <c r="G637" s="1">
        <v>1</v>
      </c>
      <c r="H637" s="1">
        <v>1</v>
      </c>
      <c r="I637" s="1">
        <f t="shared" si="49"/>
        <v>1</v>
      </c>
    </row>
    <row r="638" spans="1:9" x14ac:dyDescent="0.3">
      <c r="A638" s="26">
        <v>45928</v>
      </c>
      <c r="B638" s="27">
        <f t="shared" si="45"/>
        <v>2025</v>
      </c>
      <c r="C638" s="27">
        <f t="shared" si="46"/>
        <v>9</v>
      </c>
      <c r="D638" s="27">
        <f t="shared" si="47"/>
        <v>28</v>
      </c>
      <c r="E638" s="27">
        <f t="shared" si="48"/>
        <v>1</v>
      </c>
      <c r="F638" s="27">
        <f>VLOOKUP(E638,[1]t_calendarioPolitica!A:C,3,FALSE)</f>
        <v>0</v>
      </c>
      <c r="G638" s="1">
        <v>1</v>
      </c>
      <c r="H638" s="1">
        <v>1</v>
      </c>
      <c r="I638" s="1">
        <f t="shared" si="49"/>
        <v>0</v>
      </c>
    </row>
    <row r="639" spans="1:9" x14ac:dyDescent="0.3">
      <c r="A639" s="26">
        <v>45929</v>
      </c>
      <c r="B639" s="27">
        <f t="shared" si="45"/>
        <v>2025</v>
      </c>
      <c r="C639" s="27">
        <f t="shared" si="46"/>
        <v>9</v>
      </c>
      <c r="D639" s="27">
        <f t="shared" si="47"/>
        <v>29</v>
      </c>
      <c r="E639" s="27">
        <f t="shared" si="48"/>
        <v>2</v>
      </c>
      <c r="F639" s="27">
        <f>VLOOKUP(E639,[1]t_calendarioPolitica!A:C,3,FALSE)</f>
        <v>1</v>
      </c>
      <c r="G639" s="1">
        <v>1</v>
      </c>
      <c r="H639" s="1">
        <v>1</v>
      </c>
      <c r="I639" s="1">
        <f t="shared" si="49"/>
        <v>1</v>
      </c>
    </row>
    <row r="640" spans="1:9" x14ac:dyDescent="0.3">
      <c r="A640" s="26">
        <v>45930</v>
      </c>
      <c r="B640" s="27">
        <f t="shared" si="45"/>
        <v>2025</v>
      </c>
      <c r="C640" s="27">
        <f t="shared" si="46"/>
        <v>9</v>
      </c>
      <c r="D640" s="27">
        <f t="shared" si="47"/>
        <v>30</v>
      </c>
      <c r="E640" s="27">
        <f t="shared" si="48"/>
        <v>3</v>
      </c>
      <c r="F640" s="27">
        <f>VLOOKUP(E640,[1]t_calendarioPolitica!A:C,3,FALSE)</f>
        <v>1</v>
      </c>
      <c r="G640" s="1">
        <v>1</v>
      </c>
      <c r="H640" s="1">
        <v>1</v>
      </c>
      <c r="I640" s="1">
        <f t="shared" si="49"/>
        <v>1</v>
      </c>
    </row>
    <row r="641" spans="1:9" x14ac:dyDescent="0.3">
      <c r="A641" s="26">
        <v>45931</v>
      </c>
      <c r="B641" s="27">
        <f t="shared" si="45"/>
        <v>2025</v>
      </c>
      <c r="C641" s="27">
        <f t="shared" si="46"/>
        <v>10</v>
      </c>
      <c r="D641" s="27">
        <f t="shared" si="47"/>
        <v>1</v>
      </c>
      <c r="E641" s="27">
        <f t="shared" si="48"/>
        <v>4</v>
      </c>
      <c r="F641" s="27">
        <f>VLOOKUP(E641,[1]t_calendarioPolitica!A:C,3,FALSE)</f>
        <v>1</v>
      </c>
      <c r="G641" s="1">
        <v>1</v>
      </c>
      <c r="H641" s="1">
        <v>1</v>
      </c>
      <c r="I641" s="1">
        <f t="shared" si="49"/>
        <v>1</v>
      </c>
    </row>
    <row r="642" spans="1:9" x14ac:dyDescent="0.3">
      <c r="A642" s="26">
        <v>45932</v>
      </c>
      <c r="B642" s="27">
        <f t="shared" si="45"/>
        <v>2025</v>
      </c>
      <c r="C642" s="27">
        <f t="shared" si="46"/>
        <v>10</v>
      </c>
      <c r="D642" s="27">
        <f t="shared" si="47"/>
        <v>2</v>
      </c>
      <c r="E642" s="27">
        <f t="shared" si="48"/>
        <v>5</v>
      </c>
      <c r="F642" s="27">
        <f>VLOOKUP(E642,[1]t_calendarioPolitica!A:C,3,FALSE)</f>
        <v>1</v>
      </c>
      <c r="G642" s="1">
        <v>1</v>
      </c>
      <c r="H642" s="1">
        <v>1</v>
      </c>
      <c r="I642" s="1">
        <f t="shared" si="49"/>
        <v>1</v>
      </c>
    </row>
    <row r="643" spans="1:9" x14ac:dyDescent="0.3">
      <c r="A643" s="26">
        <v>45933</v>
      </c>
      <c r="B643" s="27">
        <f t="shared" ref="B643:B706" si="50">YEAR(A643)</f>
        <v>2025</v>
      </c>
      <c r="C643" s="27">
        <f t="shared" ref="C643:C706" si="51">MONTH(A643)</f>
        <v>10</v>
      </c>
      <c r="D643" s="27">
        <f t="shared" ref="D643:D706" si="52">DAY(A643)</f>
        <v>3</v>
      </c>
      <c r="E643" s="27">
        <f t="shared" ref="E643:E706" si="53">WEEKDAY(A643)</f>
        <v>6</v>
      </c>
      <c r="F643" s="27">
        <f>VLOOKUP(E643,[1]t_calendarioPolitica!A:C,3,FALSE)</f>
        <v>1</v>
      </c>
      <c r="G643" s="1">
        <v>1</v>
      </c>
      <c r="H643" s="1">
        <v>1</v>
      </c>
      <c r="I643" s="1">
        <f t="shared" ref="I643:I706" si="54">IF(AND(F643&lt;&gt;0, H643&lt;&gt;0,G643&lt;&gt;0), 1, 0)</f>
        <v>1</v>
      </c>
    </row>
    <row r="644" spans="1:9" x14ac:dyDescent="0.3">
      <c r="A644" s="26">
        <v>45934</v>
      </c>
      <c r="B644" s="27">
        <f t="shared" si="50"/>
        <v>2025</v>
      </c>
      <c r="C644" s="27">
        <f t="shared" si="51"/>
        <v>10</v>
      </c>
      <c r="D644" s="27">
        <f t="shared" si="52"/>
        <v>4</v>
      </c>
      <c r="E644" s="27">
        <f t="shared" si="53"/>
        <v>7</v>
      </c>
      <c r="F644" s="27">
        <f>VLOOKUP(E644,[1]t_calendarioPolitica!A:C,3,FALSE)</f>
        <v>2</v>
      </c>
      <c r="G644" s="1">
        <v>1</v>
      </c>
      <c r="H644" s="1">
        <v>1</v>
      </c>
      <c r="I644" s="1">
        <f t="shared" si="54"/>
        <v>1</v>
      </c>
    </row>
    <row r="645" spans="1:9" x14ac:dyDescent="0.3">
      <c r="A645" s="26">
        <v>45935</v>
      </c>
      <c r="B645" s="27">
        <f t="shared" si="50"/>
        <v>2025</v>
      </c>
      <c r="C645" s="27">
        <f t="shared" si="51"/>
        <v>10</v>
      </c>
      <c r="D645" s="27">
        <f t="shared" si="52"/>
        <v>5</v>
      </c>
      <c r="E645" s="27">
        <f t="shared" si="53"/>
        <v>1</v>
      </c>
      <c r="F645" s="27">
        <f>VLOOKUP(E645,[1]t_calendarioPolitica!A:C,3,FALSE)</f>
        <v>0</v>
      </c>
      <c r="G645" s="1">
        <v>1</v>
      </c>
      <c r="H645" s="1">
        <v>1</v>
      </c>
      <c r="I645" s="1">
        <f t="shared" si="54"/>
        <v>0</v>
      </c>
    </row>
    <row r="646" spans="1:9" x14ac:dyDescent="0.3">
      <c r="A646" s="26">
        <v>45936</v>
      </c>
      <c r="B646" s="27">
        <f t="shared" si="50"/>
        <v>2025</v>
      </c>
      <c r="C646" s="27">
        <f t="shared" si="51"/>
        <v>10</v>
      </c>
      <c r="D646" s="27">
        <f t="shared" si="52"/>
        <v>6</v>
      </c>
      <c r="E646" s="27">
        <f t="shared" si="53"/>
        <v>2</v>
      </c>
      <c r="F646" s="27">
        <f>VLOOKUP(E646,[1]t_calendarioPolitica!A:C,3,FALSE)</f>
        <v>1</v>
      </c>
      <c r="G646" s="1">
        <v>1</v>
      </c>
      <c r="H646" s="1">
        <v>1</v>
      </c>
      <c r="I646" s="1">
        <f t="shared" si="54"/>
        <v>1</v>
      </c>
    </row>
    <row r="647" spans="1:9" x14ac:dyDescent="0.3">
      <c r="A647" s="26">
        <v>45937</v>
      </c>
      <c r="B647" s="27">
        <f t="shared" si="50"/>
        <v>2025</v>
      </c>
      <c r="C647" s="27">
        <f t="shared" si="51"/>
        <v>10</v>
      </c>
      <c r="D647" s="27">
        <f t="shared" si="52"/>
        <v>7</v>
      </c>
      <c r="E647" s="27">
        <f t="shared" si="53"/>
        <v>3</v>
      </c>
      <c r="F647" s="27">
        <f>VLOOKUP(E647,[1]t_calendarioPolitica!A:C,3,FALSE)</f>
        <v>1</v>
      </c>
      <c r="G647" s="1">
        <v>1</v>
      </c>
      <c r="H647" s="1">
        <v>1</v>
      </c>
      <c r="I647" s="1">
        <f t="shared" si="54"/>
        <v>1</v>
      </c>
    </row>
    <row r="648" spans="1:9" x14ac:dyDescent="0.3">
      <c r="A648" s="26">
        <v>45938</v>
      </c>
      <c r="B648" s="27">
        <f t="shared" si="50"/>
        <v>2025</v>
      </c>
      <c r="C648" s="27">
        <f t="shared" si="51"/>
        <v>10</v>
      </c>
      <c r="D648" s="27">
        <f t="shared" si="52"/>
        <v>8</v>
      </c>
      <c r="E648" s="27">
        <f t="shared" si="53"/>
        <v>4</v>
      </c>
      <c r="F648" s="27">
        <f>VLOOKUP(E648,[1]t_calendarioPolitica!A:C,3,FALSE)</f>
        <v>1</v>
      </c>
      <c r="G648" s="1">
        <v>1</v>
      </c>
      <c r="H648" s="1">
        <v>1</v>
      </c>
      <c r="I648" s="1">
        <f t="shared" si="54"/>
        <v>1</v>
      </c>
    </row>
    <row r="649" spans="1:9" x14ac:dyDescent="0.3">
      <c r="A649" s="26">
        <v>45939</v>
      </c>
      <c r="B649" s="27">
        <f t="shared" si="50"/>
        <v>2025</v>
      </c>
      <c r="C649" s="27">
        <f t="shared" si="51"/>
        <v>10</v>
      </c>
      <c r="D649" s="27">
        <f t="shared" si="52"/>
        <v>9</v>
      </c>
      <c r="E649" s="27">
        <f t="shared" si="53"/>
        <v>5</v>
      </c>
      <c r="F649" s="27">
        <f>VLOOKUP(E649,[1]t_calendarioPolitica!A:C,3,FALSE)</f>
        <v>1</v>
      </c>
      <c r="G649" s="1">
        <v>1</v>
      </c>
      <c r="H649" s="1">
        <v>1</v>
      </c>
      <c r="I649" s="1">
        <f t="shared" si="54"/>
        <v>1</v>
      </c>
    </row>
    <row r="650" spans="1:9" x14ac:dyDescent="0.3">
      <c r="A650" s="26">
        <v>45940</v>
      </c>
      <c r="B650" s="27">
        <f t="shared" si="50"/>
        <v>2025</v>
      </c>
      <c r="C650" s="27">
        <f t="shared" si="51"/>
        <v>10</v>
      </c>
      <c r="D650" s="27">
        <f t="shared" si="52"/>
        <v>10</v>
      </c>
      <c r="E650" s="27">
        <f t="shared" si="53"/>
        <v>6</v>
      </c>
      <c r="F650" s="27">
        <f>VLOOKUP(E650,[1]t_calendarioPolitica!A:C,3,FALSE)</f>
        <v>1</v>
      </c>
      <c r="G650" s="1">
        <v>1</v>
      </c>
      <c r="H650" s="1">
        <v>1</v>
      </c>
      <c r="I650" s="1">
        <f t="shared" si="54"/>
        <v>1</v>
      </c>
    </row>
    <row r="651" spans="1:9" x14ac:dyDescent="0.3">
      <c r="A651" s="26">
        <v>45941</v>
      </c>
      <c r="B651" s="27">
        <f t="shared" si="50"/>
        <v>2025</v>
      </c>
      <c r="C651" s="27">
        <f t="shared" si="51"/>
        <v>10</v>
      </c>
      <c r="D651" s="27">
        <f t="shared" si="52"/>
        <v>11</v>
      </c>
      <c r="E651" s="27">
        <f t="shared" si="53"/>
        <v>7</v>
      </c>
      <c r="F651" s="27">
        <f>VLOOKUP(E651,[1]t_calendarioPolitica!A:C,3,FALSE)</f>
        <v>2</v>
      </c>
      <c r="G651" s="1">
        <v>1</v>
      </c>
      <c r="H651" s="1">
        <v>1</v>
      </c>
      <c r="I651" s="1">
        <f t="shared" si="54"/>
        <v>1</v>
      </c>
    </row>
    <row r="652" spans="1:9" x14ac:dyDescent="0.3">
      <c r="A652" s="26">
        <v>45942</v>
      </c>
      <c r="B652" s="27">
        <f t="shared" si="50"/>
        <v>2025</v>
      </c>
      <c r="C652" s="27">
        <f t="shared" si="51"/>
        <v>10</v>
      </c>
      <c r="D652" s="27">
        <f t="shared" si="52"/>
        <v>12</v>
      </c>
      <c r="E652" s="27">
        <f t="shared" si="53"/>
        <v>1</v>
      </c>
      <c r="F652" s="27">
        <f>VLOOKUP(E652,[1]t_calendarioPolitica!A:C,3,FALSE)</f>
        <v>0</v>
      </c>
      <c r="G652" s="1">
        <v>1</v>
      </c>
      <c r="H652" s="1">
        <v>1</v>
      </c>
      <c r="I652" s="1">
        <f t="shared" si="54"/>
        <v>0</v>
      </c>
    </row>
    <row r="653" spans="1:9" x14ac:dyDescent="0.3">
      <c r="A653" s="26">
        <v>45943</v>
      </c>
      <c r="B653" s="27">
        <f t="shared" si="50"/>
        <v>2025</v>
      </c>
      <c r="C653" s="27">
        <f t="shared" si="51"/>
        <v>10</v>
      </c>
      <c r="D653" s="27">
        <f t="shared" si="52"/>
        <v>13</v>
      </c>
      <c r="E653" s="27">
        <f t="shared" si="53"/>
        <v>2</v>
      </c>
      <c r="F653" s="27">
        <f>VLOOKUP(E653,[1]t_calendarioPolitica!A:C,3,FALSE)</f>
        <v>1</v>
      </c>
      <c r="G653" s="1">
        <v>1</v>
      </c>
      <c r="H653" s="1">
        <v>1</v>
      </c>
      <c r="I653" s="1">
        <f t="shared" si="54"/>
        <v>1</v>
      </c>
    </row>
    <row r="654" spans="1:9" x14ac:dyDescent="0.3">
      <c r="A654" s="26">
        <v>45944</v>
      </c>
      <c r="B654" s="27">
        <f t="shared" si="50"/>
        <v>2025</v>
      </c>
      <c r="C654" s="27">
        <f t="shared" si="51"/>
        <v>10</v>
      </c>
      <c r="D654" s="27">
        <f t="shared" si="52"/>
        <v>14</v>
      </c>
      <c r="E654" s="27">
        <f t="shared" si="53"/>
        <v>3</v>
      </c>
      <c r="F654" s="27">
        <f>VLOOKUP(E654,[1]t_calendarioPolitica!A:C,3,FALSE)</f>
        <v>1</v>
      </c>
      <c r="G654" s="1">
        <v>1</v>
      </c>
      <c r="H654" s="1">
        <v>1</v>
      </c>
      <c r="I654" s="1">
        <f t="shared" si="54"/>
        <v>1</v>
      </c>
    </row>
    <row r="655" spans="1:9" x14ac:dyDescent="0.3">
      <c r="A655" s="26">
        <v>45945</v>
      </c>
      <c r="B655" s="27">
        <f t="shared" si="50"/>
        <v>2025</v>
      </c>
      <c r="C655" s="27">
        <f t="shared" si="51"/>
        <v>10</v>
      </c>
      <c r="D655" s="27">
        <f t="shared" si="52"/>
        <v>15</v>
      </c>
      <c r="E655" s="27">
        <f t="shared" si="53"/>
        <v>4</v>
      </c>
      <c r="F655" s="27">
        <f>VLOOKUP(E655,[1]t_calendarioPolitica!A:C,3,FALSE)</f>
        <v>1</v>
      </c>
      <c r="G655" s="1">
        <v>1</v>
      </c>
      <c r="H655" s="1">
        <v>1</v>
      </c>
      <c r="I655" s="1">
        <f t="shared" si="54"/>
        <v>1</v>
      </c>
    </row>
    <row r="656" spans="1:9" x14ac:dyDescent="0.3">
      <c r="A656" s="26">
        <v>45946</v>
      </c>
      <c r="B656" s="27">
        <f t="shared" si="50"/>
        <v>2025</v>
      </c>
      <c r="C656" s="27">
        <f t="shared" si="51"/>
        <v>10</v>
      </c>
      <c r="D656" s="27">
        <f t="shared" si="52"/>
        <v>16</v>
      </c>
      <c r="E656" s="27">
        <f t="shared" si="53"/>
        <v>5</v>
      </c>
      <c r="F656" s="27">
        <f>VLOOKUP(E656,[1]t_calendarioPolitica!A:C,3,FALSE)</f>
        <v>1</v>
      </c>
      <c r="G656" s="1">
        <v>1</v>
      </c>
      <c r="H656" s="1">
        <v>1</v>
      </c>
      <c r="I656" s="1">
        <f t="shared" si="54"/>
        <v>1</v>
      </c>
    </row>
    <row r="657" spans="1:9" x14ac:dyDescent="0.3">
      <c r="A657" s="26">
        <v>45947</v>
      </c>
      <c r="B657" s="27">
        <f t="shared" si="50"/>
        <v>2025</v>
      </c>
      <c r="C657" s="27">
        <f t="shared" si="51"/>
        <v>10</v>
      </c>
      <c r="D657" s="27">
        <f t="shared" si="52"/>
        <v>17</v>
      </c>
      <c r="E657" s="27">
        <f t="shared" si="53"/>
        <v>6</v>
      </c>
      <c r="F657" s="27">
        <f>VLOOKUP(E657,[1]t_calendarioPolitica!A:C,3,FALSE)</f>
        <v>1</v>
      </c>
      <c r="G657" s="1">
        <v>1</v>
      </c>
      <c r="H657" s="1">
        <v>1</v>
      </c>
      <c r="I657" s="1">
        <f t="shared" si="54"/>
        <v>1</v>
      </c>
    </row>
    <row r="658" spans="1:9" x14ac:dyDescent="0.3">
      <c r="A658" s="26">
        <v>45948</v>
      </c>
      <c r="B658" s="27">
        <f t="shared" si="50"/>
        <v>2025</v>
      </c>
      <c r="C658" s="27">
        <f t="shared" si="51"/>
        <v>10</v>
      </c>
      <c r="D658" s="27">
        <f t="shared" si="52"/>
        <v>18</v>
      </c>
      <c r="E658" s="27">
        <f t="shared" si="53"/>
        <v>7</v>
      </c>
      <c r="F658" s="27">
        <f>VLOOKUP(E658,[1]t_calendarioPolitica!A:C,3,FALSE)</f>
        <v>2</v>
      </c>
      <c r="G658" s="1">
        <v>1</v>
      </c>
      <c r="H658" s="1">
        <v>1</v>
      </c>
      <c r="I658" s="1">
        <f t="shared" si="54"/>
        <v>1</v>
      </c>
    </row>
    <row r="659" spans="1:9" x14ac:dyDescent="0.3">
      <c r="A659" s="26">
        <v>45949</v>
      </c>
      <c r="B659" s="27">
        <f t="shared" si="50"/>
        <v>2025</v>
      </c>
      <c r="C659" s="27">
        <f t="shared" si="51"/>
        <v>10</v>
      </c>
      <c r="D659" s="27">
        <f t="shared" si="52"/>
        <v>19</v>
      </c>
      <c r="E659" s="27">
        <f t="shared" si="53"/>
        <v>1</v>
      </c>
      <c r="F659" s="27">
        <f>VLOOKUP(E659,[1]t_calendarioPolitica!A:C,3,FALSE)</f>
        <v>0</v>
      </c>
      <c r="G659" s="1">
        <v>1</v>
      </c>
      <c r="H659" s="1">
        <v>1</v>
      </c>
      <c r="I659" s="1">
        <f t="shared" si="54"/>
        <v>0</v>
      </c>
    </row>
    <row r="660" spans="1:9" x14ac:dyDescent="0.3">
      <c r="A660" s="26">
        <v>45950</v>
      </c>
      <c r="B660" s="27">
        <f t="shared" si="50"/>
        <v>2025</v>
      </c>
      <c r="C660" s="27">
        <f t="shared" si="51"/>
        <v>10</v>
      </c>
      <c r="D660" s="27">
        <f t="shared" si="52"/>
        <v>20</v>
      </c>
      <c r="E660" s="27">
        <f t="shared" si="53"/>
        <v>2</v>
      </c>
      <c r="F660" s="27">
        <f>VLOOKUP(E660,[1]t_calendarioPolitica!A:C,3,FALSE)</f>
        <v>1</v>
      </c>
      <c r="G660" s="1">
        <v>1</v>
      </c>
      <c r="H660" s="1">
        <v>1</v>
      </c>
      <c r="I660" s="1">
        <f t="shared" si="54"/>
        <v>1</v>
      </c>
    </row>
    <row r="661" spans="1:9" x14ac:dyDescent="0.3">
      <c r="A661" s="26">
        <v>45951</v>
      </c>
      <c r="B661" s="27">
        <f t="shared" si="50"/>
        <v>2025</v>
      </c>
      <c r="C661" s="27">
        <f t="shared" si="51"/>
        <v>10</v>
      </c>
      <c r="D661" s="27">
        <f t="shared" si="52"/>
        <v>21</v>
      </c>
      <c r="E661" s="27">
        <f t="shared" si="53"/>
        <v>3</v>
      </c>
      <c r="F661" s="27">
        <f>VLOOKUP(E661,[1]t_calendarioPolitica!A:C,3,FALSE)</f>
        <v>1</v>
      </c>
      <c r="G661" s="1">
        <v>1</v>
      </c>
      <c r="H661" s="1">
        <v>1</v>
      </c>
      <c r="I661" s="1">
        <f t="shared" si="54"/>
        <v>1</v>
      </c>
    </row>
    <row r="662" spans="1:9" x14ac:dyDescent="0.3">
      <c r="A662" s="26">
        <v>45952</v>
      </c>
      <c r="B662" s="27">
        <f t="shared" si="50"/>
        <v>2025</v>
      </c>
      <c r="C662" s="27">
        <f t="shared" si="51"/>
        <v>10</v>
      </c>
      <c r="D662" s="27">
        <f t="shared" si="52"/>
        <v>22</v>
      </c>
      <c r="E662" s="27">
        <f t="shared" si="53"/>
        <v>4</v>
      </c>
      <c r="F662" s="27">
        <f>VLOOKUP(E662,[1]t_calendarioPolitica!A:C,3,FALSE)</f>
        <v>1</v>
      </c>
      <c r="G662" s="1">
        <v>1</v>
      </c>
      <c r="H662" s="1">
        <v>1</v>
      </c>
      <c r="I662" s="1">
        <f t="shared" si="54"/>
        <v>1</v>
      </c>
    </row>
    <row r="663" spans="1:9" x14ac:dyDescent="0.3">
      <c r="A663" s="26">
        <v>45953</v>
      </c>
      <c r="B663" s="27">
        <f t="shared" si="50"/>
        <v>2025</v>
      </c>
      <c r="C663" s="27">
        <f t="shared" si="51"/>
        <v>10</v>
      </c>
      <c r="D663" s="27">
        <f t="shared" si="52"/>
        <v>23</v>
      </c>
      <c r="E663" s="27">
        <f t="shared" si="53"/>
        <v>5</v>
      </c>
      <c r="F663" s="27">
        <f>VLOOKUP(E663,[1]t_calendarioPolitica!A:C,3,FALSE)</f>
        <v>1</v>
      </c>
      <c r="G663" s="1">
        <v>1</v>
      </c>
      <c r="H663" s="1">
        <v>1</v>
      </c>
      <c r="I663" s="1">
        <f t="shared" si="54"/>
        <v>1</v>
      </c>
    </row>
    <row r="664" spans="1:9" x14ac:dyDescent="0.3">
      <c r="A664" s="26">
        <v>45954</v>
      </c>
      <c r="B664" s="27">
        <f t="shared" si="50"/>
        <v>2025</v>
      </c>
      <c r="C664" s="27">
        <f t="shared" si="51"/>
        <v>10</v>
      </c>
      <c r="D664" s="27">
        <f t="shared" si="52"/>
        <v>24</v>
      </c>
      <c r="E664" s="27">
        <f t="shared" si="53"/>
        <v>6</v>
      </c>
      <c r="F664" s="27">
        <f>VLOOKUP(E664,[1]t_calendarioPolitica!A:C,3,FALSE)</f>
        <v>1</v>
      </c>
      <c r="G664" s="1">
        <v>1</v>
      </c>
      <c r="H664" s="1">
        <v>1</v>
      </c>
      <c r="I664" s="1">
        <f t="shared" si="54"/>
        <v>1</v>
      </c>
    </row>
    <row r="665" spans="1:9" x14ac:dyDescent="0.3">
      <c r="A665" s="26">
        <v>45955</v>
      </c>
      <c r="B665" s="27">
        <f t="shared" si="50"/>
        <v>2025</v>
      </c>
      <c r="C665" s="27">
        <f t="shared" si="51"/>
        <v>10</v>
      </c>
      <c r="D665" s="27">
        <f t="shared" si="52"/>
        <v>25</v>
      </c>
      <c r="E665" s="27">
        <f t="shared" si="53"/>
        <v>7</v>
      </c>
      <c r="F665" s="27">
        <f>VLOOKUP(E665,[1]t_calendarioPolitica!A:C,3,FALSE)</f>
        <v>2</v>
      </c>
      <c r="G665" s="1">
        <v>1</v>
      </c>
      <c r="H665" s="1">
        <v>1</v>
      </c>
      <c r="I665" s="1">
        <f t="shared" si="54"/>
        <v>1</v>
      </c>
    </row>
    <row r="666" spans="1:9" x14ac:dyDescent="0.3">
      <c r="A666" s="26">
        <v>45956</v>
      </c>
      <c r="B666" s="27">
        <f t="shared" si="50"/>
        <v>2025</v>
      </c>
      <c r="C666" s="27">
        <f t="shared" si="51"/>
        <v>10</v>
      </c>
      <c r="D666" s="27">
        <f t="shared" si="52"/>
        <v>26</v>
      </c>
      <c r="E666" s="27">
        <f t="shared" si="53"/>
        <v>1</v>
      </c>
      <c r="F666" s="27">
        <f>VLOOKUP(E666,[1]t_calendarioPolitica!A:C,3,FALSE)</f>
        <v>0</v>
      </c>
      <c r="G666" s="1">
        <v>1</v>
      </c>
      <c r="H666" s="1">
        <v>1</v>
      </c>
      <c r="I666" s="1">
        <f t="shared" si="54"/>
        <v>0</v>
      </c>
    </row>
    <row r="667" spans="1:9" x14ac:dyDescent="0.3">
      <c r="A667" s="26">
        <v>45957</v>
      </c>
      <c r="B667" s="27">
        <f t="shared" si="50"/>
        <v>2025</v>
      </c>
      <c r="C667" s="27">
        <f t="shared" si="51"/>
        <v>10</v>
      </c>
      <c r="D667" s="27">
        <f t="shared" si="52"/>
        <v>27</v>
      </c>
      <c r="E667" s="27">
        <f t="shared" si="53"/>
        <v>2</v>
      </c>
      <c r="F667" s="27">
        <f>VLOOKUP(E667,[1]t_calendarioPolitica!A:C,3,FALSE)</f>
        <v>1</v>
      </c>
      <c r="G667" s="1">
        <v>1</v>
      </c>
      <c r="H667" s="1">
        <v>1</v>
      </c>
      <c r="I667" s="1">
        <f t="shared" si="54"/>
        <v>1</v>
      </c>
    </row>
    <row r="668" spans="1:9" x14ac:dyDescent="0.3">
      <c r="A668" s="26">
        <v>45958</v>
      </c>
      <c r="B668" s="27">
        <f t="shared" si="50"/>
        <v>2025</v>
      </c>
      <c r="C668" s="27">
        <f t="shared" si="51"/>
        <v>10</v>
      </c>
      <c r="D668" s="27">
        <f t="shared" si="52"/>
        <v>28</v>
      </c>
      <c r="E668" s="27">
        <f t="shared" si="53"/>
        <v>3</v>
      </c>
      <c r="F668" s="27">
        <f>VLOOKUP(E668,[1]t_calendarioPolitica!A:C,3,FALSE)</f>
        <v>1</v>
      </c>
      <c r="G668" s="1">
        <v>1</v>
      </c>
      <c r="H668" s="1">
        <v>1</v>
      </c>
      <c r="I668" s="1">
        <f t="shared" si="54"/>
        <v>1</v>
      </c>
    </row>
    <row r="669" spans="1:9" x14ac:dyDescent="0.3">
      <c r="A669" s="26">
        <v>45959</v>
      </c>
      <c r="B669" s="27">
        <f t="shared" si="50"/>
        <v>2025</v>
      </c>
      <c r="C669" s="27">
        <f t="shared" si="51"/>
        <v>10</v>
      </c>
      <c r="D669" s="27">
        <f t="shared" si="52"/>
        <v>29</v>
      </c>
      <c r="E669" s="27">
        <f t="shared" si="53"/>
        <v>4</v>
      </c>
      <c r="F669" s="27">
        <f>VLOOKUP(E669,[1]t_calendarioPolitica!A:C,3,FALSE)</f>
        <v>1</v>
      </c>
      <c r="G669" s="1">
        <v>1</v>
      </c>
      <c r="H669" s="1">
        <v>1</v>
      </c>
      <c r="I669" s="1">
        <f t="shared" si="54"/>
        <v>1</v>
      </c>
    </row>
    <row r="670" spans="1:9" x14ac:dyDescent="0.3">
      <c r="A670" s="26">
        <v>45960</v>
      </c>
      <c r="B670" s="27">
        <f t="shared" si="50"/>
        <v>2025</v>
      </c>
      <c r="C670" s="27">
        <f t="shared" si="51"/>
        <v>10</v>
      </c>
      <c r="D670" s="27">
        <f t="shared" si="52"/>
        <v>30</v>
      </c>
      <c r="E670" s="27">
        <f t="shared" si="53"/>
        <v>5</v>
      </c>
      <c r="F670" s="27">
        <f>VLOOKUP(E670,[1]t_calendarioPolitica!A:C,3,FALSE)</f>
        <v>1</v>
      </c>
      <c r="G670" s="1">
        <v>1</v>
      </c>
      <c r="H670" s="1">
        <v>1</v>
      </c>
      <c r="I670" s="1">
        <f t="shared" si="54"/>
        <v>1</v>
      </c>
    </row>
    <row r="671" spans="1:9" x14ac:dyDescent="0.3">
      <c r="A671" s="26">
        <v>45961</v>
      </c>
      <c r="B671" s="27">
        <f t="shared" si="50"/>
        <v>2025</v>
      </c>
      <c r="C671" s="27">
        <f t="shared" si="51"/>
        <v>10</v>
      </c>
      <c r="D671" s="27">
        <f t="shared" si="52"/>
        <v>31</v>
      </c>
      <c r="E671" s="27">
        <f t="shared" si="53"/>
        <v>6</v>
      </c>
      <c r="F671" s="27">
        <f>VLOOKUP(E671,[1]t_calendarioPolitica!A:C,3,FALSE)</f>
        <v>1</v>
      </c>
      <c r="G671" s="1">
        <v>1</v>
      </c>
      <c r="H671" s="1">
        <v>1</v>
      </c>
      <c r="I671" s="1">
        <f t="shared" si="54"/>
        <v>1</v>
      </c>
    </row>
    <row r="672" spans="1:9" x14ac:dyDescent="0.3">
      <c r="A672" s="26">
        <v>45962</v>
      </c>
      <c r="B672" s="27">
        <f t="shared" si="50"/>
        <v>2025</v>
      </c>
      <c r="C672" s="27">
        <f t="shared" si="51"/>
        <v>11</v>
      </c>
      <c r="D672" s="27">
        <f t="shared" si="52"/>
        <v>1</v>
      </c>
      <c r="E672" s="27">
        <f t="shared" si="53"/>
        <v>7</v>
      </c>
      <c r="F672" s="27">
        <f>VLOOKUP(E672,[1]t_calendarioPolitica!A:C,3,FALSE)</f>
        <v>2</v>
      </c>
      <c r="G672" s="1">
        <v>1</v>
      </c>
      <c r="H672" s="1">
        <v>1</v>
      </c>
      <c r="I672" s="1">
        <f t="shared" si="54"/>
        <v>1</v>
      </c>
    </row>
    <row r="673" spans="1:9" x14ac:dyDescent="0.3">
      <c r="A673" s="26">
        <v>45963</v>
      </c>
      <c r="B673" s="27">
        <f t="shared" si="50"/>
        <v>2025</v>
      </c>
      <c r="C673" s="27">
        <f t="shared" si="51"/>
        <v>11</v>
      </c>
      <c r="D673" s="27">
        <f t="shared" si="52"/>
        <v>2</v>
      </c>
      <c r="E673" s="27">
        <f t="shared" si="53"/>
        <v>1</v>
      </c>
      <c r="F673" s="27">
        <f>VLOOKUP(E673,[1]t_calendarioPolitica!A:C,3,FALSE)</f>
        <v>0</v>
      </c>
      <c r="G673" s="1">
        <v>1</v>
      </c>
      <c r="H673" s="1">
        <v>0</v>
      </c>
      <c r="I673" s="1">
        <f t="shared" si="54"/>
        <v>0</v>
      </c>
    </row>
    <row r="674" spans="1:9" x14ac:dyDescent="0.3">
      <c r="A674" s="26">
        <v>45964</v>
      </c>
      <c r="B674" s="27">
        <f t="shared" si="50"/>
        <v>2025</v>
      </c>
      <c r="C674" s="27">
        <f t="shared" si="51"/>
        <v>11</v>
      </c>
      <c r="D674" s="27">
        <f t="shared" si="52"/>
        <v>3</v>
      </c>
      <c r="E674" s="27">
        <f t="shared" si="53"/>
        <v>2</v>
      </c>
      <c r="F674" s="27">
        <f>VLOOKUP(E674,[1]t_calendarioPolitica!A:C,3,FALSE)</f>
        <v>1</v>
      </c>
      <c r="G674" s="1">
        <v>1</v>
      </c>
      <c r="H674" s="1">
        <v>1</v>
      </c>
      <c r="I674" s="1">
        <f t="shared" si="54"/>
        <v>1</v>
      </c>
    </row>
    <row r="675" spans="1:9" x14ac:dyDescent="0.3">
      <c r="A675" s="26">
        <v>45965</v>
      </c>
      <c r="B675" s="27">
        <f t="shared" si="50"/>
        <v>2025</v>
      </c>
      <c r="C675" s="27">
        <f t="shared" si="51"/>
        <v>11</v>
      </c>
      <c r="D675" s="27">
        <f t="shared" si="52"/>
        <v>4</v>
      </c>
      <c r="E675" s="27">
        <f t="shared" si="53"/>
        <v>3</v>
      </c>
      <c r="F675" s="27">
        <f>VLOOKUP(E675,[1]t_calendarioPolitica!A:C,3,FALSE)</f>
        <v>1</v>
      </c>
      <c r="G675" s="1">
        <v>1</v>
      </c>
      <c r="H675" s="1">
        <v>1</v>
      </c>
      <c r="I675" s="1">
        <f t="shared" si="54"/>
        <v>1</v>
      </c>
    </row>
    <row r="676" spans="1:9" x14ac:dyDescent="0.3">
      <c r="A676" s="26">
        <v>45966</v>
      </c>
      <c r="B676" s="27">
        <f t="shared" si="50"/>
        <v>2025</v>
      </c>
      <c r="C676" s="27">
        <f t="shared" si="51"/>
        <v>11</v>
      </c>
      <c r="D676" s="27">
        <f t="shared" si="52"/>
        <v>5</v>
      </c>
      <c r="E676" s="27">
        <f t="shared" si="53"/>
        <v>4</v>
      </c>
      <c r="F676" s="27">
        <f>VLOOKUP(E676,[1]t_calendarioPolitica!A:C,3,FALSE)</f>
        <v>1</v>
      </c>
      <c r="G676" s="1">
        <v>1</v>
      </c>
      <c r="H676" s="1">
        <v>1</v>
      </c>
      <c r="I676" s="1">
        <f t="shared" si="54"/>
        <v>1</v>
      </c>
    </row>
    <row r="677" spans="1:9" x14ac:dyDescent="0.3">
      <c r="A677" s="26">
        <v>45967</v>
      </c>
      <c r="B677" s="27">
        <f t="shared" si="50"/>
        <v>2025</v>
      </c>
      <c r="C677" s="27">
        <f t="shared" si="51"/>
        <v>11</v>
      </c>
      <c r="D677" s="27">
        <f t="shared" si="52"/>
        <v>6</v>
      </c>
      <c r="E677" s="27">
        <f t="shared" si="53"/>
        <v>5</v>
      </c>
      <c r="F677" s="27">
        <f>VLOOKUP(E677,[1]t_calendarioPolitica!A:C,3,FALSE)</f>
        <v>1</v>
      </c>
      <c r="G677" s="1">
        <v>1</v>
      </c>
      <c r="H677" s="1">
        <v>1</v>
      </c>
      <c r="I677" s="1">
        <f t="shared" si="54"/>
        <v>1</v>
      </c>
    </row>
    <row r="678" spans="1:9" x14ac:dyDescent="0.3">
      <c r="A678" s="26">
        <v>45968</v>
      </c>
      <c r="B678" s="27">
        <f t="shared" si="50"/>
        <v>2025</v>
      </c>
      <c r="C678" s="27">
        <f t="shared" si="51"/>
        <v>11</v>
      </c>
      <c r="D678" s="27">
        <f t="shared" si="52"/>
        <v>7</v>
      </c>
      <c r="E678" s="27">
        <f t="shared" si="53"/>
        <v>6</v>
      </c>
      <c r="F678" s="27">
        <f>VLOOKUP(E678,[1]t_calendarioPolitica!A:C,3,FALSE)</f>
        <v>1</v>
      </c>
      <c r="G678" s="1">
        <v>1</v>
      </c>
      <c r="H678" s="1">
        <v>1</v>
      </c>
      <c r="I678" s="1">
        <f t="shared" si="54"/>
        <v>1</v>
      </c>
    </row>
    <row r="679" spans="1:9" x14ac:dyDescent="0.3">
      <c r="A679" s="26">
        <v>45969</v>
      </c>
      <c r="B679" s="27">
        <f t="shared" si="50"/>
        <v>2025</v>
      </c>
      <c r="C679" s="27">
        <f t="shared" si="51"/>
        <v>11</v>
      </c>
      <c r="D679" s="27">
        <f t="shared" si="52"/>
        <v>8</v>
      </c>
      <c r="E679" s="27">
        <f t="shared" si="53"/>
        <v>7</v>
      </c>
      <c r="F679" s="27">
        <f>VLOOKUP(E679,[1]t_calendarioPolitica!A:C,3,FALSE)</f>
        <v>2</v>
      </c>
      <c r="G679" s="1">
        <v>1</v>
      </c>
      <c r="H679" s="1">
        <v>1</v>
      </c>
      <c r="I679" s="1">
        <f t="shared" si="54"/>
        <v>1</v>
      </c>
    </row>
    <row r="680" spans="1:9" x14ac:dyDescent="0.3">
      <c r="A680" s="26">
        <v>45970</v>
      </c>
      <c r="B680" s="27">
        <f t="shared" si="50"/>
        <v>2025</v>
      </c>
      <c r="C680" s="27">
        <f t="shared" si="51"/>
        <v>11</v>
      </c>
      <c r="D680" s="27">
        <f t="shared" si="52"/>
        <v>9</v>
      </c>
      <c r="E680" s="27">
        <f t="shared" si="53"/>
        <v>1</v>
      </c>
      <c r="F680" s="27">
        <f>VLOOKUP(E680,[1]t_calendarioPolitica!A:C,3,FALSE)</f>
        <v>0</v>
      </c>
      <c r="G680" s="1">
        <v>1</v>
      </c>
      <c r="H680" s="1">
        <v>1</v>
      </c>
      <c r="I680" s="1">
        <f t="shared" si="54"/>
        <v>0</v>
      </c>
    </row>
    <row r="681" spans="1:9" x14ac:dyDescent="0.3">
      <c r="A681" s="26">
        <v>45971</v>
      </c>
      <c r="B681" s="27">
        <f t="shared" si="50"/>
        <v>2025</v>
      </c>
      <c r="C681" s="27">
        <f t="shared" si="51"/>
        <v>11</v>
      </c>
      <c r="D681" s="27">
        <f t="shared" si="52"/>
        <v>10</v>
      </c>
      <c r="E681" s="27">
        <f t="shared" si="53"/>
        <v>2</v>
      </c>
      <c r="F681" s="27">
        <f>VLOOKUP(E681,[1]t_calendarioPolitica!A:C,3,FALSE)</f>
        <v>1</v>
      </c>
      <c r="G681" s="1">
        <v>1</v>
      </c>
      <c r="H681" s="1">
        <v>1</v>
      </c>
      <c r="I681" s="1">
        <f t="shared" si="54"/>
        <v>1</v>
      </c>
    </row>
    <row r="682" spans="1:9" x14ac:dyDescent="0.3">
      <c r="A682" s="26">
        <v>45972</v>
      </c>
      <c r="B682" s="27">
        <f t="shared" si="50"/>
        <v>2025</v>
      </c>
      <c r="C682" s="27">
        <f t="shared" si="51"/>
        <v>11</v>
      </c>
      <c r="D682" s="27">
        <f t="shared" si="52"/>
        <v>11</v>
      </c>
      <c r="E682" s="27">
        <f t="shared" si="53"/>
        <v>3</v>
      </c>
      <c r="F682" s="27">
        <f>VLOOKUP(E682,[1]t_calendarioPolitica!A:C,3,FALSE)</f>
        <v>1</v>
      </c>
      <c r="G682" s="1">
        <v>1</v>
      </c>
      <c r="H682" s="1">
        <v>1</v>
      </c>
      <c r="I682" s="1">
        <f t="shared" si="54"/>
        <v>1</v>
      </c>
    </row>
    <row r="683" spans="1:9" x14ac:dyDescent="0.3">
      <c r="A683" s="26">
        <v>45973</v>
      </c>
      <c r="B683" s="27">
        <f t="shared" si="50"/>
        <v>2025</v>
      </c>
      <c r="C683" s="27">
        <f t="shared" si="51"/>
        <v>11</v>
      </c>
      <c r="D683" s="27">
        <f t="shared" si="52"/>
        <v>12</v>
      </c>
      <c r="E683" s="27">
        <f t="shared" si="53"/>
        <v>4</v>
      </c>
      <c r="F683" s="27">
        <f>VLOOKUP(E683,[1]t_calendarioPolitica!A:C,3,FALSE)</f>
        <v>1</v>
      </c>
      <c r="G683" s="1">
        <v>1</v>
      </c>
      <c r="H683" s="1">
        <v>1</v>
      </c>
      <c r="I683" s="1">
        <f t="shared" si="54"/>
        <v>1</v>
      </c>
    </row>
    <row r="684" spans="1:9" x14ac:dyDescent="0.3">
      <c r="A684" s="26">
        <v>45974</v>
      </c>
      <c r="B684" s="27">
        <f t="shared" si="50"/>
        <v>2025</v>
      </c>
      <c r="C684" s="27">
        <f t="shared" si="51"/>
        <v>11</v>
      </c>
      <c r="D684" s="27">
        <f t="shared" si="52"/>
        <v>13</v>
      </c>
      <c r="E684" s="27">
        <f t="shared" si="53"/>
        <v>5</v>
      </c>
      <c r="F684" s="27">
        <f>VLOOKUP(E684,[1]t_calendarioPolitica!A:C,3,FALSE)</f>
        <v>1</v>
      </c>
      <c r="G684" s="1">
        <v>1</v>
      </c>
      <c r="H684" s="1">
        <v>1</v>
      </c>
      <c r="I684" s="1">
        <f t="shared" si="54"/>
        <v>1</v>
      </c>
    </row>
    <row r="685" spans="1:9" x14ac:dyDescent="0.3">
      <c r="A685" s="26">
        <v>45975</v>
      </c>
      <c r="B685" s="27">
        <f t="shared" si="50"/>
        <v>2025</v>
      </c>
      <c r="C685" s="27">
        <f t="shared" si="51"/>
        <v>11</v>
      </c>
      <c r="D685" s="27">
        <f t="shared" si="52"/>
        <v>14</v>
      </c>
      <c r="E685" s="27">
        <f t="shared" si="53"/>
        <v>6</v>
      </c>
      <c r="F685" s="27">
        <f>VLOOKUP(E685,[1]t_calendarioPolitica!A:C,3,FALSE)</f>
        <v>1</v>
      </c>
      <c r="G685" s="1">
        <v>1</v>
      </c>
      <c r="H685" s="1">
        <v>1</v>
      </c>
      <c r="I685" s="1">
        <f t="shared" si="54"/>
        <v>1</v>
      </c>
    </row>
    <row r="686" spans="1:9" x14ac:dyDescent="0.3">
      <c r="A686" s="26">
        <v>45976</v>
      </c>
      <c r="B686" s="27">
        <f t="shared" si="50"/>
        <v>2025</v>
      </c>
      <c r="C686" s="27">
        <f t="shared" si="51"/>
        <v>11</v>
      </c>
      <c r="D686" s="27">
        <f t="shared" si="52"/>
        <v>15</v>
      </c>
      <c r="E686" s="27">
        <f t="shared" si="53"/>
        <v>7</v>
      </c>
      <c r="F686" s="27">
        <f>VLOOKUP(E686,[1]t_calendarioPolitica!A:C,3,FALSE)</f>
        <v>2</v>
      </c>
      <c r="G686" s="1">
        <v>1</v>
      </c>
      <c r="H686" s="1">
        <v>1</v>
      </c>
      <c r="I686" s="1">
        <f t="shared" si="54"/>
        <v>1</v>
      </c>
    </row>
    <row r="687" spans="1:9" x14ac:dyDescent="0.3">
      <c r="A687" s="26">
        <v>45977</v>
      </c>
      <c r="B687" s="27">
        <f t="shared" si="50"/>
        <v>2025</v>
      </c>
      <c r="C687" s="27">
        <f t="shared" si="51"/>
        <v>11</v>
      </c>
      <c r="D687" s="27">
        <f t="shared" si="52"/>
        <v>16</v>
      </c>
      <c r="E687" s="27">
        <f t="shared" si="53"/>
        <v>1</v>
      </c>
      <c r="F687" s="27">
        <f>VLOOKUP(E687,[1]t_calendarioPolitica!A:C,3,FALSE)</f>
        <v>0</v>
      </c>
      <c r="G687" s="1">
        <v>1</v>
      </c>
      <c r="H687" s="1">
        <v>1</v>
      </c>
      <c r="I687" s="1">
        <f t="shared" si="54"/>
        <v>0</v>
      </c>
    </row>
    <row r="688" spans="1:9" x14ac:dyDescent="0.3">
      <c r="A688" s="26">
        <v>45978</v>
      </c>
      <c r="B688" s="27">
        <f t="shared" si="50"/>
        <v>2025</v>
      </c>
      <c r="C688" s="27">
        <f t="shared" si="51"/>
        <v>11</v>
      </c>
      <c r="D688" s="27">
        <f t="shared" si="52"/>
        <v>17</v>
      </c>
      <c r="E688" s="27">
        <f t="shared" si="53"/>
        <v>2</v>
      </c>
      <c r="F688" s="27">
        <f>VLOOKUP(E688,[1]t_calendarioPolitica!A:C,3,FALSE)</f>
        <v>1</v>
      </c>
      <c r="G688" s="1">
        <v>1</v>
      </c>
      <c r="H688" s="1">
        <v>1</v>
      </c>
      <c r="I688" s="1">
        <f t="shared" si="54"/>
        <v>1</v>
      </c>
    </row>
    <row r="689" spans="1:9" x14ac:dyDescent="0.3">
      <c r="A689" s="26">
        <v>45979</v>
      </c>
      <c r="B689" s="27">
        <f t="shared" si="50"/>
        <v>2025</v>
      </c>
      <c r="C689" s="27">
        <f t="shared" si="51"/>
        <v>11</v>
      </c>
      <c r="D689" s="27">
        <f t="shared" si="52"/>
        <v>18</v>
      </c>
      <c r="E689" s="27">
        <f t="shared" si="53"/>
        <v>3</v>
      </c>
      <c r="F689" s="27">
        <f>VLOOKUP(E689,[1]t_calendarioPolitica!A:C,3,FALSE)</f>
        <v>1</v>
      </c>
      <c r="G689" s="1">
        <v>1</v>
      </c>
      <c r="H689" s="1">
        <v>1</v>
      </c>
      <c r="I689" s="1">
        <f t="shared" si="54"/>
        <v>1</v>
      </c>
    </row>
    <row r="690" spans="1:9" x14ac:dyDescent="0.3">
      <c r="A690" s="26">
        <v>45980</v>
      </c>
      <c r="B690" s="27">
        <f t="shared" si="50"/>
        <v>2025</v>
      </c>
      <c r="C690" s="27">
        <f t="shared" si="51"/>
        <v>11</v>
      </c>
      <c r="D690" s="27">
        <f t="shared" si="52"/>
        <v>19</v>
      </c>
      <c r="E690" s="27">
        <f t="shared" si="53"/>
        <v>4</v>
      </c>
      <c r="F690" s="27">
        <f>VLOOKUP(E690,[1]t_calendarioPolitica!A:C,3,FALSE)</f>
        <v>1</v>
      </c>
      <c r="G690" s="1">
        <v>1</v>
      </c>
      <c r="H690" s="1">
        <v>1</v>
      </c>
      <c r="I690" s="1">
        <f t="shared" si="54"/>
        <v>1</v>
      </c>
    </row>
    <row r="691" spans="1:9" x14ac:dyDescent="0.3">
      <c r="A691" s="26">
        <v>45981</v>
      </c>
      <c r="B691" s="27">
        <f t="shared" si="50"/>
        <v>2025</v>
      </c>
      <c r="C691" s="27">
        <f t="shared" si="51"/>
        <v>11</v>
      </c>
      <c r="D691" s="27">
        <f t="shared" si="52"/>
        <v>20</v>
      </c>
      <c r="E691" s="27">
        <f t="shared" si="53"/>
        <v>5</v>
      </c>
      <c r="F691" s="27">
        <f>VLOOKUP(E691,[1]t_calendarioPolitica!A:C,3,FALSE)</f>
        <v>1</v>
      </c>
      <c r="G691" s="1">
        <v>1</v>
      </c>
      <c r="H691" s="1">
        <v>1</v>
      </c>
      <c r="I691" s="1">
        <f t="shared" si="54"/>
        <v>1</v>
      </c>
    </row>
    <row r="692" spans="1:9" x14ac:dyDescent="0.3">
      <c r="A692" s="26">
        <v>45982</v>
      </c>
      <c r="B692" s="27">
        <f t="shared" si="50"/>
        <v>2025</v>
      </c>
      <c r="C692" s="27">
        <f t="shared" si="51"/>
        <v>11</v>
      </c>
      <c r="D692" s="27">
        <f t="shared" si="52"/>
        <v>21</v>
      </c>
      <c r="E692" s="27">
        <f t="shared" si="53"/>
        <v>6</v>
      </c>
      <c r="F692" s="27">
        <f>VLOOKUP(E692,[1]t_calendarioPolitica!A:C,3,FALSE)</f>
        <v>1</v>
      </c>
      <c r="G692" s="1">
        <v>1</v>
      </c>
      <c r="H692" s="1">
        <v>1</v>
      </c>
      <c r="I692" s="1">
        <f t="shared" si="54"/>
        <v>1</v>
      </c>
    </row>
    <row r="693" spans="1:9" x14ac:dyDescent="0.3">
      <c r="A693" s="26">
        <v>45983</v>
      </c>
      <c r="B693" s="27">
        <f t="shared" si="50"/>
        <v>2025</v>
      </c>
      <c r="C693" s="27">
        <f t="shared" si="51"/>
        <v>11</v>
      </c>
      <c r="D693" s="27">
        <f t="shared" si="52"/>
        <v>22</v>
      </c>
      <c r="E693" s="27">
        <f t="shared" si="53"/>
        <v>7</v>
      </c>
      <c r="F693" s="27">
        <f>VLOOKUP(E693,[1]t_calendarioPolitica!A:C,3,FALSE)</f>
        <v>2</v>
      </c>
      <c r="G693" s="1">
        <v>1</v>
      </c>
      <c r="H693" s="1">
        <v>1</v>
      </c>
      <c r="I693" s="1">
        <f t="shared" si="54"/>
        <v>1</v>
      </c>
    </row>
    <row r="694" spans="1:9" x14ac:dyDescent="0.3">
      <c r="A694" s="26">
        <v>45984</v>
      </c>
      <c r="B694" s="27">
        <f t="shared" si="50"/>
        <v>2025</v>
      </c>
      <c r="C694" s="27">
        <f t="shared" si="51"/>
        <v>11</v>
      </c>
      <c r="D694" s="27">
        <f t="shared" si="52"/>
        <v>23</v>
      </c>
      <c r="E694" s="27">
        <f t="shared" si="53"/>
        <v>1</v>
      </c>
      <c r="F694" s="27">
        <f>VLOOKUP(E694,[1]t_calendarioPolitica!A:C,3,FALSE)</f>
        <v>0</v>
      </c>
      <c r="G694" s="1">
        <v>1</v>
      </c>
      <c r="H694" s="1">
        <v>1</v>
      </c>
      <c r="I694" s="1">
        <f t="shared" si="54"/>
        <v>0</v>
      </c>
    </row>
    <row r="695" spans="1:9" x14ac:dyDescent="0.3">
      <c r="A695" s="26">
        <v>45985</v>
      </c>
      <c r="B695" s="27">
        <f t="shared" si="50"/>
        <v>2025</v>
      </c>
      <c r="C695" s="27">
        <f t="shared" si="51"/>
        <v>11</v>
      </c>
      <c r="D695" s="27">
        <f t="shared" si="52"/>
        <v>24</v>
      </c>
      <c r="E695" s="27">
        <f t="shared" si="53"/>
        <v>2</v>
      </c>
      <c r="F695" s="27">
        <f>VLOOKUP(E695,[1]t_calendarioPolitica!A:C,3,FALSE)</f>
        <v>1</v>
      </c>
      <c r="G695" s="1">
        <v>1</v>
      </c>
      <c r="H695" s="1">
        <v>1</v>
      </c>
      <c r="I695" s="1">
        <f t="shared" si="54"/>
        <v>1</v>
      </c>
    </row>
    <row r="696" spans="1:9" x14ac:dyDescent="0.3">
      <c r="A696" s="26">
        <v>45986</v>
      </c>
      <c r="B696" s="27">
        <f t="shared" si="50"/>
        <v>2025</v>
      </c>
      <c r="C696" s="27">
        <f t="shared" si="51"/>
        <v>11</v>
      </c>
      <c r="D696" s="27">
        <f t="shared" si="52"/>
        <v>25</v>
      </c>
      <c r="E696" s="27">
        <f t="shared" si="53"/>
        <v>3</v>
      </c>
      <c r="F696" s="27">
        <f>VLOOKUP(E696,[1]t_calendarioPolitica!A:C,3,FALSE)</f>
        <v>1</v>
      </c>
      <c r="G696" s="1">
        <v>1</v>
      </c>
      <c r="H696" s="1">
        <v>1</v>
      </c>
      <c r="I696" s="1">
        <f t="shared" si="54"/>
        <v>1</v>
      </c>
    </row>
    <row r="697" spans="1:9" x14ac:dyDescent="0.3">
      <c r="A697" s="26">
        <v>45987</v>
      </c>
      <c r="B697" s="27">
        <f t="shared" si="50"/>
        <v>2025</v>
      </c>
      <c r="C697" s="27">
        <f t="shared" si="51"/>
        <v>11</v>
      </c>
      <c r="D697" s="27">
        <f t="shared" si="52"/>
        <v>26</v>
      </c>
      <c r="E697" s="27">
        <f t="shared" si="53"/>
        <v>4</v>
      </c>
      <c r="F697" s="27">
        <f>VLOOKUP(E697,[1]t_calendarioPolitica!A:C,3,FALSE)</f>
        <v>1</v>
      </c>
      <c r="G697" s="1">
        <v>1</v>
      </c>
      <c r="H697" s="1">
        <v>1</v>
      </c>
      <c r="I697" s="1">
        <f t="shared" si="54"/>
        <v>1</v>
      </c>
    </row>
    <row r="698" spans="1:9" x14ac:dyDescent="0.3">
      <c r="A698" s="26">
        <v>45988</v>
      </c>
      <c r="B698" s="27">
        <f t="shared" si="50"/>
        <v>2025</v>
      </c>
      <c r="C698" s="27">
        <f t="shared" si="51"/>
        <v>11</v>
      </c>
      <c r="D698" s="27">
        <f t="shared" si="52"/>
        <v>27</v>
      </c>
      <c r="E698" s="27">
        <f t="shared" si="53"/>
        <v>5</v>
      </c>
      <c r="F698" s="27">
        <f>VLOOKUP(E698,[1]t_calendarioPolitica!A:C,3,FALSE)</f>
        <v>1</v>
      </c>
      <c r="G698" s="1">
        <v>1</v>
      </c>
      <c r="H698" s="1">
        <v>1</v>
      </c>
      <c r="I698" s="1">
        <f t="shared" si="54"/>
        <v>1</v>
      </c>
    </row>
    <row r="699" spans="1:9" x14ac:dyDescent="0.3">
      <c r="A699" s="26">
        <v>45989</v>
      </c>
      <c r="B699" s="27">
        <f t="shared" si="50"/>
        <v>2025</v>
      </c>
      <c r="C699" s="27">
        <f t="shared" si="51"/>
        <v>11</v>
      </c>
      <c r="D699" s="27">
        <f t="shared" si="52"/>
        <v>28</v>
      </c>
      <c r="E699" s="27">
        <f t="shared" si="53"/>
        <v>6</v>
      </c>
      <c r="F699" s="27">
        <f>VLOOKUP(E699,[1]t_calendarioPolitica!A:C,3,FALSE)</f>
        <v>1</v>
      </c>
      <c r="G699" s="1">
        <v>1</v>
      </c>
      <c r="H699" s="1">
        <v>1</v>
      </c>
      <c r="I699" s="1">
        <f t="shared" si="54"/>
        <v>1</v>
      </c>
    </row>
    <row r="700" spans="1:9" x14ac:dyDescent="0.3">
      <c r="A700" s="26">
        <v>45990</v>
      </c>
      <c r="B700" s="27">
        <f t="shared" si="50"/>
        <v>2025</v>
      </c>
      <c r="C700" s="27">
        <f t="shared" si="51"/>
        <v>11</v>
      </c>
      <c r="D700" s="27">
        <f t="shared" si="52"/>
        <v>29</v>
      </c>
      <c r="E700" s="27">
        <f t="shared" si="53"/>
        <v>7</v>
      </c>
      <c r="F700" s="27">
        <f>VLOOKUP(E700,[1]t_calendarioPolitica!A:C,3,FALSE)</f>
        <v>2</v>
      </c>
      <c r="G700" s="1">
        <v>1</v>
      </c>
      <c r="H700" s="1">
        <v>1</v>
      </c>
      <c r="I700" s="1">
        <f t="shared" si="54"/>
        <v>1</v>
      </c>
    </row>
    <row r="701" spans="1:9" x14ac:dyDescent="0.3">
      <c r="A701" s="26">
        <v>45991</v>
      </c>
      <c r="B701" s="27">
        <f t="shared" si="50"/>
        <v>2025</v>
      </c>
      <c r="C701" s="27">
        <f t="shared" si="51"/>
        <v>11</v>
      </c>
      <c r="D701" s="27">
        <f t="shared" si="52"/>
        <v>30</v>
      </c>
      <c r="E701" s="27">
        <f t="shared" si="53"/>
        <v>1</v>
      </c>
      <c r="F701" s="27">
        <f>VLOOKUP(E701,[1]t_calendarioPolitica!A:C,3,FALSE)</f>
        <v>0</v>
      </c>
      <c r="G701" s="1">
        <v>1</v>
      </c>
      <c r="H701" s="1">
        <v>1</v>
      </c>
      <c r="I701" s="1">
        <f t="shared" si="54"/>
        <v>0</v>
      </c>
    </row>
    <row r="702" spans="1:9" x14ac:dyDescent="0.3">
      <c r="A702" s="26">
        <v>45992</v>
      </c>
      <c r="B702" s="27">
        <f t="shared" si="50"/>
        <v>2025</v>
      </c>
      <c r="C702" s="27">
        <f t="shared" si="51"/>
        <v>12</v>
      </c>
      <c r="D702" s="27">
        <f t="shared" si="52"/>
        <v>1</v>
      </c>
      <c r="E702" s="27">
        <f t="shared" si="53"/>
        <v>2</v>
      </c>
      <c r="F702" s="27">
        <f>VLOOKUP(E702,[1]t_calendarioPolitica!A:C,3,FALSE)</f>
        <v>1</v>
      </c>
      <c r="G702" s="1">
        <v>1</v>
      </c>
      <c r="H702" s="1">
        <v>1</v>
      </c>
      <c r="I702" s="1">
        <f t="shared" si="54"/>
        <v>1</v>
      </c>
    </row>
    <row r="703" spans="1:9" x14ac:dyDescent="0.3">
      <c r="A703" s="26">
        <v>45993</v>
      </c>
      <c r="B703" s="27">
        <f t="shared" si="50"/>
        <v>2025</v>
      </c>
      <c r="C703" s="27">
        <f t="shared" si="51"/>
        <v>12</v>
      </c>
      <c r="D703" s="27">
        <f t="shared" si="52"/>
        <v>2</v>
      </c>
      <c r="E703" s="27">
        <f t="shared" si="53"/>
        <v>3</v>
      </c>
      <c r="F703" s="27">
        <f>VLOOKUP(E703,[1]t_calendarioPolitica!A:C,3,FALSE)</f>
        <v>1</v>
      </c>
      <c r="G703" s="1">
        <v>1</v>
      </c>
      <c r="H703" s="1">
        <v>1</v>
      </c>
      <c r="I703" s="1">
        <f t="shared" si="54"/>
        <v>1</v>
      </c>
    </row>
    <row r="704" spans="1:9" x14ac:dyDescent="0.3">
      <c r="A704" s="26">
        <v>45994</v>
      </c>
      <c r="B704" s="27">
        <f t="shared" si="50"/>
        <v>2025</v>
      </c>
      <c r="C704" s="27">
        <f t="shared" si="51"/>
        <v>12</v>
      </c>
      <c r="D704" s="27">
        <f t="shared" si="52"/>
        <v>3</v>
      </c>
      <c r="E704" s="27">
        <f t="shared" si="53"/>
        <v>4</v>
      </c>
      <c r="F704" s="27">
        <f>VLOOKUP(E704,[1]t_calendarioPolitica!A:C,3,FALSE)</f>
        <v>1</v>
      </c>
      <c r="G704" s="1">
        <v>1</v>
      </c>
      <c r="H704" s="1">
        <v>1</v>
      </c>
      <c r="I704" s="1">
        <f t="shared" si="54"/>
        <v>1</v>
      </c>
    </row>
    <row r="705" spans="1:9" x14ac:dyDescent="0.3">
      <c r="A705" s="26">
        <v>45995</v>
      </c>
      <c r="B705" s="27">
        <f t="shared" si="50"/>
        <v>2025</v>
      </c>
      <c r="C705" s="27">
        <f t="shared" si="51"/>
        <v>12</v>
      </c>
      <c r="D705" s="27">
        <f t="shared" si="52"/>
        <v>4</v>
      </c>
      <c r="E705" s="27">
        <f t="shared" si="53"/>
        <v>5</v>
      </c>
      <c r="F705" s="27">
        <f>VLOOKUP(E705,[1]t_calendarioPolitica!A:C,3,FALSE)</f>
        <v>1</v>
      </c>
      <c r="G705" s="1">
        <v>1</v>
      </c>
      <c r="H705" s="1">
        <v>1</v>
      </c>
      <c r="I705" s="1">
        <f t="shared" si="54"/>
        <v>1</v>
      </c>
    </row>
    <row r="706" spans="1:9" x14ac:dyDescent="0.3">
      <c r="A706" s="26">
        <v>45996</v>
      </c>
      <c r="B706" s="27">
        <f t="shared" si="50"/>
        <v>2025</v>
      </c>
      <c r="C706" s="27">
        <f t="shared" si="51"/>
        <v>12</v>
      </c>
      <c r="D706" s="27">
        <f t="shared" si="52"/>
        <v>5</v>
      </c>
      <c r="E706" s="27">
        <f t="shared" si="53"/>
        <v>6</v>
      </c>
      <c r="F706" s="27">
        <f>VLOOKUP(E706,[1]t_calendarioPolitica!A:C,3,FALSE)</f>
        <v>1</v>
      </c>
      <c r="G706" s="1">
        <v>1</v>
      </c>
      <c r="H706" s="1">
        <v>1</v>
      </c>
      <c r="I706" s="1">
        <f t="shared" si="54"/>
        <v>1</v>
      </c>
    </row>
    <row r="707" spans="1:9" x14ac:dyDescent="0.3">
      <c r="A707" s="26">
        <v>45997</v>
      </c>
      <c r="B707" s="27">
        <f t="shared" ref="B707:B770" si="55">YEAR(A707)</f>
        <v>2025</v>
      </c>
      <c r="C707" s="27">
        <f t="shared" ref="C707:C770" si="56">MONTH(A707)</f>
        <v>12</v>
      </c>
      <c r="D707" s="27">
        <f t="shared" ref="D707:D770" si="57">DAY(A707)</f>
        <v>6</v>
      </c>
      <c r="E707" s="27">
        <f t="shared" ref="E707:E770" si="58">WEEKDAY(A707)</f>
        <v>7</v>
      </c>
      <c r="F707" s="27">
        <f>VLOOKUP(E707,[1]t_calendarioPolitica!A:C,3,FALSE)</f>
        <v>2</v>
      </c>
      <c r="G707" s="1">
        <v>1</v>
      </c>
      <c r="H707" s="1">
        <v>1</v>
      </c>
      <c r="I707" s="1">
        <f t="shared" ref="I707:I770" si="59">IF(AND(F707&lt;&gt;0, H707&lt;&gt;0,G707&lt;&gt;0), 1, 0)</f>
        <v>1</v>
      </c>
    </row>
    <row r="708" spans="1:9" x14ac:dyDescent="0.3">
      <c r="A708" s="26">
        <v>45998</v>
      </c>
      <c r="B708" s="27">
        <f t="shared" si="55"/>
        <v>2025</v>
      </c>
      <c r="C708" s="27">
        <f t="shared" si="56"/>
        <v>12</v>
      </c>
      <c r="D708" s="27">
        <f t="shared" si="57"/>
        <v>7</v>
      </c>
      <c r="E708" s="27">
        <f t="shared" si="58"/>
        <v>1</v>
      </c>
      <c r="F708" s="27">
        <f>VLOOKUP(E708,[1]t_calendarioPolitica!A:C,3,FALSE)</f>
        <v>0</v>
      </c>
      <c r="G708" s="1">
        <v>1</v>
      </c>
      <c r="H708" s="1">
        <v>1</v>
      </c>
      <c r="I708" s="1">
        <f t="shared" si="59"/>
        <v>0</v>
      </c>
    </row>
    <row r="709" spans="1:9" x14ac:dyDescent="0.3">
      <c r="A709" s="26">
        <v>45999</v>
      </c>
      <c r="B709" s="27">
        <f t="shared" si="55"/>
        <v>2025</v>
      </c>
      <c r="C709" s="27">
        <f t="shared" si="56"/>
        <v>12</v>
      </c>
      <c r="D709" s="27">
        <f t="shared" si="57"/>
        <v>8</v>
      </c>
      <c r="E709" s="27">
        <f t="shared" si="58"/>
        <v>2</v>
      </c>
      <c r="F709" s="27">
        <f>VLOOKUP(E709,[1]t_calendarioPolitica!A:C,3,FALSE)</f>
        <v>1</v>
      </c>
      <c r="G709" s="1">
        <v>1</v>
      </c>
      <c r="H709" s="1">
        <v>1</v>
      </c>
      <c r="I709" s="1">
        <f t="shared" si="59"/>
        <v>1</v>
      </c>
    </row>
    <row r="710" spans="1:9" x14ac:dyDescent="0.3">
      <c r="A710" s="26">
        <v>46000</v>
      </c>
      <c r="B710" s="27">
        <f t="shared" si="55"/>
        <v>2025</v>
      </c>
      <c r="C710" s="27">
        <f t="shared" si="56"/>
        <v>12</v>
      </c>
      <c r="D710" s="27">
        <f t="shared" si="57"/>
        <v>9</v>
      </c>
      <c r="E710" s="27">
        <f t="shared" si="58"/>
        <v>3</v>
      </c>
      <c r="F710" s="27">
        <f>VLOOKUP(E710,[1]t_calendarioPolitica!A:C,3,FALSE)</f>
        <v>1</v>
      </c>
      <c r="G710" s="1">
        <v>1</v>
      </c>
      <c r="H710" s="1">
        <v>1</v>
      </c>
      <c r="I710" s="1">
        <f t="shared" si="59"/>
        <v>1</v>
      </c>
    </row>
    <row r="711" spans="1:9" x14ac:dyDescent="0.3">
      <c r="A711" s="26">
        <v>46001</v>
      </c>
      <c r="B711" s="27">
        <f t="shared" si="55"/>
        <v>2025</v>
      </c>
      <c r="C711" s="27">
        <f t="shared" si="56"/>
        <v>12</v>
      </c>
      <c r="D711" s="27">
        <f t="shared" si="57"/>
        <v>10</v>
      </c>
      <c r="E711" s="27">
        <f t="shared" si="58"/>
        <v>4</v>
      </c>
      <c r="F711" s="27">
        <f>VLOOKUP(E711,[1]t_calendarioPolitica!A:C,3,FALSE)</f>
        <v>1</v>
      </c>
      <c r="G711" s="1">
        <v>1</v>
      </c>
      <c r="H711" s="1">
        <v>1</v>
      </c>
      <c r="I711" s="1">
        <f t="shared" si="59"/>
        <v>1</v>
      </c>
    </row>
    <row r="712" spans="1:9" x14ac:dyDescent="0.3">
      <c r="A712" s="26">
        <v>46002</v>
      </c>
      <c r="B712" s="27">
        <f t="shared" si="55"/>
        <v>2025</v>
      </c>
      <c r="C712" s="27">
        <f t="shared" si="56"/>
        <v>12</v>
      </c>
      <c r="D712" s="27">
        <f t="shared" si="57"/>
        <v>11</v>
      </c>
      <c r="E712" s="27">
        <f t="shared" si="58"/>
        <v>5</v>
      </c>
      <c r="F712" s="27">
        <f>VLOOKUP(E712,[1]t_calendarioPolitica!A:C,3,FALSE)</f>
        <v>1</v>
      </c>
      <c r="G712" s="1">
        <v>1</v>
      </c>
      <c r="H712" s="1">
        <v>1</v>
      </c>
      <c r="I712" s="1">
        <f t="shared" si="59"/>
        <v>1</v>
      </c>
    </row>
    <row r="713" spans="1:9" x14ac:dyDescent="0.3">
      <c r="A713" s="26">
        <v>46003</v>
      </c>
      <c r="B713" s="27">
        <f t="shared" si="55"/>
        <v>2025</v>
      </c>
      <c r="C713" s="27">
        <f t="shared" si="56"/>
        <v>12</v>
      </c>
      <c r="D713" s="27">
        <f t="shared" si="57"/>
        <v>12</v>
      </c>
      <c r="E713" s="27">
        <f t="shared" si="58"/>
        <v>6</v>
      </c>
      <c r="F713" s="27">
        <f>VLOOKUP(E713,[1]t_calendarioPolitica!A:C,3,FALSE)</f>
        <v>1</v>
      </c>
      <c r="G713" s="1">
        <v>1</v>
      </c>
      <c r="H713" s="1">
        <v>0</v>
      </c>
      <c r="I713" s="1">
        <f t="shared" si="59"/>
        <v>0</v>
      </c>
    </row>
    <row r="714" spans="1:9" x14ac:dyDescent="0.3">
      <c r="A714" s="26">
        <v>46004</v>
      </c>
      <c r="B714" s="27">
        <f t="shared" si="55"/>
        <v>2025</v>
      </c>
      <c r="C714" s="27">
        <f t="shared" si="56"/>
        <v>12</v>
      </c>
      <c r="D714" s="27">
        <f t="shared" si="57"/>
        <v>13</v>
      </c>
      <c r="E714" s="27">
        <f t="shared" si="58"/>
        <v>7</v>
      </c>
      <c r="F714" s="27">
        <f>VLOOKUP(E714,[1]t_calendarioPolitica!A:C,3,FALSE)</f>
        <v>2</v>
      </c>
      <c r="G714" s="1">
        <v>1</v>
      </c>
      <c r="H714" s="1">
        <v>1</v>
      </c>
      <c r="I714" s="1">
        <f t="shared" si="59"/>
        <v>1</v>
      </c>
    </row>
    <row r="715" spans="1:9" x14ac:dyDescent="0.3">
      <c r="A715" s="26">
        <v>46005</v>
      </c>
      <c r="B715" s="27">
        <f t="shared" si="55"/>
        <v>2025</v>
      </c>
      <c r="C715" s="27">
        <f t="shared" si="56"/>
        <v>12</v>
      </c>
      <c r="D715" s="27">
        <f t="shared" si="57"/>
        <v>14</v>
      </c>
      <c r="E715" s="27">
        <f t="shared" si="58"/>
        <v>1</v>
      </c>
      <c r="F715" s="27">
        <f>VLOOKUP(E715,[1]t_calendarioPolitica!A:C,3,FALSE)</f>
        <v>0</v>
      </c>
      <c r="G715" s="1">
        <v>1</v>
      </c>
      <c r="H715" s="1">
        <v>1</v>
      </c>
      <c r="I715" s="1">
        <f t="shared" si="59"/>
        <v>0</v>
      </c>
    </row>
    <row r="716" spans="1:9" x14ac:dyDescent="0.3">
      <c r="A716" s="26">
        <v>46006</v>
      </c>
      <c r="B716" s="27">
        <f t="shared" si="55"/>
        <v>2025</v>
      </c>
      <c r="C716" s="27">
        <f t="shared" si="56"/>
        <v>12</v>
      </c>
      <c r="D716" s="27">
        <f t="shared" si="57"/>
        <v>15</v>
      </c>
      <c r="E716" s="27">
        <f t="shared" si="58"/>
        <v>2</v>
      </c>
      <c r="F716" s="27">
        <f>VLOOKUP(E716,[1]t_calendarioPolitica!A:C,3,FALSE)</f>
        <v>1</v>
      </c>
      <c r="G716" s="1">
        <v>1</v>
      </c>
      <c r="H716" s="1">
        <v>1</v>
      </c>
      <c r="I716" s="1">
        <f t="shared" si="59"/>
        <v>1</v>
      </c>
    </row>
    <row r="717" spans="1:9" x14ac:dyDescent="0.3">
      <c r="A717" s="26">
        <v>46007</v>
      </c>
      <c r="B717" s="27">
        <f t="shared" si="55"/>
        <v>2025</v>
      </c>
      <c r="C717" s="27">
        <f t="shared" si="56"/>
        <v>12</v>
      </c>
      <c r="D717" s="27">
        <f t="shared" si="57"/>
        <v>16</v>
      </c>
      <c r="E717" s="27">
        <f t="shared" si="58"/>
        <v>3</v>
      </c>
      <c r="F717" s="27">
        <f>VLOOKUP(E717,[1]t_calendarioPolitica!A:C,3,FALSE)</f>
        <v>1</v>
      </c>
      <c r="G717" s="1">
        <v>1</v>
      </c>
      <c r="H717" s="1">
        <v>1</v>
      </c>
      <c r="I717" s="1">
        <f t="shared" si="59"/>
        <v>1</v>
      </c>
    </row>
    <row r="718" spans="1:9" x14ac:dyDescent="0.3">
      <c r="A718" s="26">
        <v>46008</v>
      </c>
      <c r="B718" s="27">
        <f t="shared" si="55"/>
        <v>2025</v>
      </c>
      <c r="C718" s="27">
        <f t="shared" si="56"/>
        <v>12</v>
      </c>
      <c r="D718" s="27">
        <f t="shared" si="57"/>
        <v>17</v>
      </c>
      <c r="E718" s="27">
        <f t="shared" si="58"/>
        <v>4</v>
      </c>
      <c r="F718" s="27">
        <f>VLOOKUP(E718,[1]t_calendarioPolitica!A:C,3,FALSE)</f>
        <v>1</v>
      </c>
      <c r="G718" s="1">
        <v>1</v>
      </c>
      <c r="H718" s="1">
        <v>1</v>
      </c>
      <c r="I718" s="1">
        <f t="shared" si="59"/>
        <v>1</v>
      </c>
    </row>
    <row r="719" spans="1:9" x14ac:dyDescent="0.3">
      <c r="A719" s="26">
        <v>46009</v>
      </c>
      <c r="B719" s="27">
        <f t="shared" si="55"/>
        <v>2025</v>
      </c>
      <c r="C719" s="27">
        <f t="shared" si="56"/>
        <v>12</v>
      </c>
      <c r="D719" s="27">
        <f t="shared" si="57"/>
        <v>18</v>
      </c>
      <c r="E719" s="27">
        <f t="shared" si="58"/>
        <v>5</v>
      </c>
      <c r="F719" s="27">
        <f>VLOOKUP(E719,[1]t_calendarioPolitica!A:C,3,FALSE)</f>
        <v>1</v>
      </c>
      <c r="G719" s="1">
        <v>1</v>
      </c>
      <c r="H719" s="1">
        <v>1</v>
      </c>
      <c r="I719" s="1">
        <f t="shared" si="59"/>
        <v>1</v>
      </c>
    </row>
    <row r="720" spans="1:9" x14ac:dyDescent="0.3">
      <c r="A720" s="26">
        <v>46010</v>
      </c>
      <c r="B720" s="27">
        <f t="shared" si="55"/>
        <v>2025</v>
      </c>
      <c r="C720" s="27">
        <f t="shared" si="56"/>
        <v>12</v>
      </c>
      <c r="D720" s="27">
        <f t="shared" si="57"/>
        <v>19</v>
      </c>
      <c r="E720" s="27">
        <f t="shared" si="58"/>
        <v>6</v>
      </c>
      <c r="F720" s="27">
        <f>VLOOKUP(E720,[1]t_calendarioPolitica!A:C,3,FALSE)</f>
        <v>1</v>
      </c>
      <c r="G720" s="1">
        <v>1</v>
      </c>
      <c r="H720" s="1">
        <v>1</v>
      </c>
      <c r="I720" s="1">
        <f t="shared" si="59"/>
        <v>1</v>
      </c>
    </row>
    <row r="721" spans="1:9" x14ac:dyDescent="0.3">
      <c r="A721" s="26">
        <v>46011</v>
      </c>
      <c r="B721" s="27">
        <f t="shared" si="55"/>
        <v>2025</v>
      </c>
      <c r="C721" s="27">
        <f t="shared" si="56"/>
        <v>12</v>
      </c>
      <c r="D721" s="27">
        <f t="shared" si="57"/>
        <v>20</v>
      </c>
      <c r="E721" s="27">
        <f t="shared" si="58"/>
        <v>7</v>
      </c>
      <c r="F721" s="27">
        <f>VLOOKUP(E721,[1]t_calendarioPolitica!A:C,3,FALSE)</f>
        <v>2</v>
      </c>
      <c r="G721" s="1">
        <v>1</v>
      </c>
      <c r="H721" s="1">
        <v>1</v>
      </c>
      <c r="I721" s="1">
        <f t="shared" si="59"/>
        <v>1</v>
      </c>
    </row>
    <row r="722" spans="1:9" x14ac:dyDescent="0.3">
      <c r="A722" s="26">
        <v>46012</v>
      </c>
      <c r="B722" s="27">
        <f t="shared" si="55"/>
        <v>2025</v>
      </c>
      <c r="C722" s="27">
        <f t="shared" si="56"/>
        <v>12</v>
      </c>
      <c r="D722" s="27">
        <f t="shared" si="57"/>
        <v>21</v>
      </c>
      <c r="E722" s="27">
        <f t="shared" si="58"/>
        <v>1</v>
      </c>
      <c r="F722" s="27">
        <f>VLOOKUP(E722,[1]t_calendarioPolitica!A:C,3,FALSE)</f>
        <v>0</v>
      </c>
      <c r="G722" s="1">
        <v>1</v>
      </c>
      <c r="H722" s="1">
        <v>1</v>
      </c>
      <c r="I722" s="1">
        <f t="shared" si="59"/>
        <v>0</v>
      </c>
    </row>
    <row r="723" spans="1:9" x14ac:dyDescent="0.3">
      <c r="A723" s="26">
        <v>46013</v>
      </c>
      <c r="B723" s="27">
        <f t="shared" si="55"/>
        <v>2025</v>
      </c>
      <c r="C723" s="27">
        <f t="shared" si="56"/>
        <v>12</v>
      </c>
      <c r="D723" s="27">
        <f t="shared" si="57"/>
        <v>22</v>
      </c>
      <c r="E723" s="27">
        <f t="shared" si="58"/>
        <v>2</v>
      </c>
      <c r="F723" s="27">
        <f>VLOOKUP(E723,[1]t_calendarioPolitica!A:C,3,FALSE)</f>
        <v>1</v>
      </c>
      <c r="G723" s="1">
        <v>1</v>
      </c>
      <c r="H723" s="1">
        <v>1</v>
      </c>
      <c r="I723" s="1">
        <f t="shared" si="59"/>
        <v>1</v>
      </c>
    </row>
    <row r="724" spans="1:9" x14ac:dyDescent="0.3">
      <c r="A724" s="26">
        <v>46014</v>
      </c>
      <c r="B724" s="27">
        <f t="shared" si="55"/>
        <v>2025</v>
      </c>
      <c r="C724" s="27">
        <f t="shared" si="56"/>
        <v>12</v>
      </c>
      <c r="D724" s="27">
        <f t="shared" si="57"/>
        <v>23</v>
      </c>
      <c r="E724" s="27">
        <f t="shared" si="58"/>
        <v>3</v>
      </c>
      <c r="F724" s="27">
        <f>VLOOKUP(E724,[1]t_calendarioPolitica!A:C,3,FALSE)</f>
        <v>1</v>
      </c>
      <c r="G724" s="1">
        <v>1</v>
      </c>
      <c r="H724" s="1">
        <v>1</v>
      </c>
      <c r="I724" s="1">
        <f t="shared" si="59"/>
        <v>1</v>
      </c>
    </row>
    <row r="725" spans="1:9" x14ac:dyDescent="0.3">
      <c r="A725" s="26">
        <v>46015</v>
      </c>
      <c r="B725" s="27">
        <f t="shared" si="55"/>
        <v>2025</v>
      </c>
      <c r="C725" s="27">
        <f t="shared" si="56"/>
        <v>12</v>
      </c>
      <c r="D725" s="27">
        <f t="shared" si="57"/>
        <v>24</v>
      </c>
      <c r="E725" s="27">
        <f t="shared" si="58"/>
        <v>4</v>
      </c>
      <c r="F725" s="27">
        <f>VLOOKUP(E725,[1]t_calendarioPolitica!A:C,3,FALSE)</f>
        <v>1</v>
      </c>
      <c r="G725" s="1">
        <v>1</v>
      </c>
      <c r="H725" s="1">
        <v>0</v>
      </c>
      <c r="I725" s="1">
        <f t="shared" si="59"/>
        <v>0</v>
      </c>
    </row>
    <row r="726" spans="1:9" x14ac:dyDescent="0.3">
      <c r="A726" s="26">
        <v>46016</v>
      </c>
      <c r="B726" s="27">
        <f t="shared" si="55"/>
        <v>2025</v>
      </c>
      <c r="C726" s="27">
        <f t="shared" si="56"/>
        <v>12</v>
      </c>
      <c r="D726" s="27">
        <f t="shared" si="57"/>
        <v>25</v>
      </c>
      <c r="E726" s="27">
        <f t="shared" si="58"/>
        <v>5</v>
      </c>
      <c r="F726" s="27">
        <f>VLOOKUP(E726,[1]t_calendarioPolitica!A:C,3,FALSE)</f>
        <v>1</v>
      </c>
      <c r="G726" s="1">
        <v>0</v>
      </c>
      <c r="H726" s="1">
        <v>0</v>
      </c>
      <c r="I726" s="1">
        <f t="shared" si="59"/>
        <v>0</v>
      </c>
    </row>
    <row r="727" spans="1:9" x14ac:dyDescent="0.3">
      <c r="A727" s="26">
        <v>46017</v>
      </c>
      <c r="B727" s="27">
        <f t="shared" si="55"/>
        <v>2025</v>
      </c>
      <c r="C727" s="27">
        <f t="shared" si="56"/>
        <v>12</v>
      </c>
      <c r="D727" s="27">
        <f t="shared" si="57"/>
        <v>26</v>
      </c>
      <c r="E727" s="27">
        <f t="shared" si="58"/>
        <v>6</v>
      </c>
      <c r="F727" s="27">
        <f>VLOOKUP(E727,[1]t_calendarioPolitica!A:C,3,FALSE)</f>
        <v>1</v>
      </c>
      <c r="G727" s="1">
        <v>1</v>
      </c>
      <c r="H727" s="1">
        <v>1</v>
      </c>
      <c r="I727" s="1">
        <f t="shared" si="59"/>
        <v>1</v>
      </c>
    </row>
    <row r="728" spans="1:9" x14ac:dyDescent="0.3">
      <c r="A728" s="26">
        <v>46018</v>
      </c>
      <c r="B728" s="27">
        <f t="shared" si="55"/>
        <v>2025</v>
      </c>
      <c r="C728" s="27">
        <f t="shared" si="56"/>
        <v>12</v>
      </c>
      <c r="D728" s="27">
        <f t="shared" si="57"/>
        <v>27</v>
      </c>
      <c r="E728" s="27">
        <f t="shared" si="58"/>
        <v>7</v>
      </c>
      <c r="F728" s="27">
        <f>VLOOKUP(E728,[1]t_calendarioPolitica!A:C,3,FALSE)</f>
        <v>2</v>
      </c>
      <c r="G728" s="1">
        <v>1</v>
      </c>
      <c r="H728" s="1">
        <v>1</v>
      </c>
      <c r="I728" s="1">
        <f t="shared" si="59"/>
        <v>1</v>
      </c>
    </row>
    <row r="729" spans="1:9" x14ac:dyDescent="0.3">
      <c r="A729" s="26">
        <v>46019</v>
      </c>
      <c r="B729" s="27">
        <f t="shared" si="55"/>
        <v>2025</v>
      </c>
      <c r="C729" s="27">
        <f t="shared" si="56"/>
        <v>12</v>
      </c>
      <c r="D729" s="27">
        <f t="shared" si="57"/>
        <v>28</v>
      </c>
      <c r="E729" s="27">
        <f t="shared" si="58"/>
        <v>1</v>
      </c>
      <c r="F729" s="27">
        <f>VLOOKUP(E729,[1]t_calendarioPolitica!A:C,3,FALSE)</f>
        <v>0</v>
      </c>
      <c r="G729" s="1">
        <v>1</v>
      </c>
      <c r="H729" s="1">
        <v>1</v>
      </c>
      <c r="I729" s="1">
        <f t="shared" si="59"/>
        <v>0</v>
      </c>
    </row>
    <row r="730" spans="1:9" x14ac:dyDescent="0.3">
      <c r="A730" s="26">
        <v>46020</v>
      </c>
      <c r="B730" s="27">
        <f t="shared" si="55"/>
        <v>2025</v>
      </c>
      <c r="C730" s="27">
        <f t="shared" si="56"/>
        <v>12</v>
      </c>
      <c r="D730" s="27">
        <f t="shared" si="57"/>
        <v>29</v>
      </c>
      <c r="E730" s="27">
        <f t="shared" si="58"/>
        <v>2</v>
      </c>
      <c r="F730" s="27">
        <f>VLOOKUP(E730,[1]t_calendarioPolitica!A:C,3,FALSE)</f>
        <v>1</v>
      </c>
      <c r="G730" s="1">
        <v>1</v>
      </c>
      <c r="H730" s="1">
        <v>1</v>
      </c>
      <c r="I730" s="1">
        <f t="shared" si="59"/>
        <v>1</v>
      </c>
    </row>
    <row r="731" spans="1:9" x14ac:dyDescent="0.3">
      <c r="A731" s="26">
        <v>46021</v>
      </c>
      <c r="B731" s="27">
        <f t="shared" si="55"/>
        <v>2025</v>
      </c>
      <c r="C731" s="27">
        <f t="shared" si="56"/>
        <v>12</v>
      </c>
      <c r="D731" s="27">
        <f t="shared" si="57"/>
        <v>30</v>
      </c>
      <c r="E731" s="27">
        <f t="shared" si="58"/>
        <v>3</v>
      </c>
      <c r="F731" s="27">
        <f>VLOOKUP(E731,[1]t_calendarioPolitica!A:C,3,FALSE)</f>
        <v>1</v>
      </c>
      <c r="G731" s="1">
        <v>1</v>
      </c>
      <c r="H731" s="1">
        <v>1</v>
      </c>
      <c r="I731" s="1">
        <f t="shared" si="59"/>
        <v>1</v>
      </c>
    </row>
    <row r="732" spans="1:9" x14ac:dyDescent="0.3">
      <c r="A732" s="26">
        <v>46022</v>
      </c>
      <c r="B732" s="27">
        <f t="shared" si="55"/>
        <v>2025</v>
      </c>
      <c r="C732" s="27">
        <f t="shared" si="56"/>
        <v>12</v>
      </c>
      <c r="D732" s="27">
        <f t="shared" si="57"/>
        <v>31</v>
      </c>
      <c r="E732" s="27">
        <f t="shared" si="58"/>
        <v>4</v>
      </c>
      <c r="F732" s="27">
        <f>VLOOKUP(E732,[1]t_calendarioPolitica!A:C,3,FALSE)</f>
        <v>1</v>
      </c>
      <c r="G732" s="1">
        <v>1</v>
      </c>
      <c r="H732" s="1">
        <v>0</v>
      </c>
      <c r="I732" s="1">
        <f t="shared" si="59"/>
        <v>0</v>
      </c>
    </row>
    <row r="733" spans="1:9" x14ac:dyDescent="0.3">
      <c r="A733" s="26">
        <v>46023</v>
      </c>
      <c r="B733" s="27">
        <f t="shared" si="55"/>
        <v>2026</v>
      </c>
      <c r="C733" s="27">
        <f t="shared" si="56"/>
        <v>1</v>
      </c>
      <c r="D733" s="27">
        <f t="shared" si="57"/>
        <v>1</v>
      </c>
      <c r="E733" s="27">
        <f t="shared" si="58"/>
        <v>5</v>
      </c>
      <c r="F733" s="27">
        <f>VLOOKUP(E733,[1]t_calendarioPolitica!A:C,3,FALSE)</f>
        <v>1</v>
      </c>
      <c r="G733" s="1">
        <v>0</v>
      </c>
      <c r="H733" s="1">
        <v>1</v>
      </c>
      <c r="I733" s="1">
        <f t="shared" si="59"/>
        <v>0</v>
      </c>
    </row>
    <row r="734" spans="1:9" x14ac:dyDescent="0.3">
      <c r="A734" s="26">
        <v>46024</v>
      </c>
      <c r="B734" s="27">
        <f t="shared" si="55"/>
        <v>2026</v>
      </c>
      <c r="C734" s="27">
        <f t="shared" si="56"/>
        <v>1</v>
      </c>
      <c r="D734" s="27">
        <f t="shared" si="57"/>
        <v>2</v>
      </c>
      <c r="E734" s="27">
        <f t="shared" si="58"/>
        <v>6</v>
      </c>
      <c r="F734" s="27">
        <f>VLOOKUP(E734,[1]t_calendarioPolitica!A:C,3,FALSE)</f>
        <v>1</v>
      </c>
      <c r="G734" s="1">
        <v>1</v>
      </c>
      <c r="H734" s="1">
        <v>1</v>
      </c>
      <c r="I734" s="1">
        <f t="shared" si="59"/>
        <v>1</v>
      </c>
    </row>
    <row r="735" spans="1:9" x14ac:dyDescent="0.3">
      <c r="A735" s="26">
        <v>46025</v>
      </c>
      <c r="B735" s="27">
        <f t="shared" si="55"/>
        <v>2026</v>
      </c>
      <c r="C735" s="27">
        <f t="shared" si="56"/>
        <v>1</v>
      </c>
      <c r="D735" s="27">
        <f t="shared" si="57"/>
        <v>3</v>
      </c>
      <c r="E735" s="27">
        <f t="shared" si="58"/>
        <v>7</v>
      </c>
      <c r="F735" s="27">
        <f>VLOOKUP(E735,[1]t_calendarioPolitica!A:C,3,FALSE)</f>
        <v>2</v>
      </c>
      <c r="G735" s="1">
        <v>1</v>
      </c>
      <c r="H735" s="1">
        <v>1</v>
      </c>
      <c r="I735" s="1">
        <f t="shared" si="59"/>
        <v>1</v>
      </c>
    </row>
    <row r="736" spans="1:9" x14ac:dyDescent="0.3">
      <c r="A736" s="26">
        <v>46026</v>
      </c>
      <c r="B736" s="27">
        <f t="shared" si="55"/>
        <v>2026</v>
      </c>
      <c r="C736" s="27">
        <f t="shared" si="56"/>
        <v>1</v>
      </c>
      <c r="D736" s="27">
        <f t="shared" si="57"/>
        <v>4</v>
      </c>
      <c r="E736" s="27">
        <f t="shared" si="58"/>
        <v>1</v>
      </c>
      <c r="F736" s="27">
        <f>VLOOKUP(E736,[1]t_calendarioPolitica!A:C,3,FALSE)</f>
        <v>0</v>
      </c>
      <c r="G736" s="1">
        <v>1</v>
      </c>
      <c r="H736" s="1">
        <v>1</v>
      </c>
      <c r="I736" s="1">
        <f t="shared" si="59"/>
        <v>0</v>
      </c>
    </row>
    <row r="737" spans="1:9" x14ac:dyDescent="0.3">
      <c r="A737" s="26">
        <v>46027</v>
      </c>
      <c r="B737" s="27">
        <f t="shared" si="55"/>
        <v>2026</v>
      </c>
      <c r="C737" s="27">
        <f t="shared" si="56"/>
        <v>1</v>
      </c>
      <c r="D737" s="27">
        <f t="shared" si="57"/>
        <v>5</v>
      </c>
      <c r="E737" s="27">
        <f t="shared" si="58"/>
        <v>2</v>
      </c>
      <c r="F737" s="27">
        <f>VLOOKUP(E737,[1]t_calendarioPolitica!A:C,3,FALSE)</f>
        <v>1</v>
      </c>
      <c r="G737" s="1">
        <v>1</v>
      </c>
      <c r="H737" s="1">
        <v>1</v>
      </c>
      <c r="I737" s="1">
        <f t="shared" si="59"/>
        <v>1</v>
      </c>
    </row>
    <row r="738" spans="1:9" x14ac:dyDescent="0.3">
      <c r="A738" s="26">
        <v>46028</v>
      </c>
      <c r="B738" s="27">
        <f t="shared" si="55"/>
        <v>2026</v>
      </c>
      <c r="C738" s="27">
        <f t="shared" si="56"/>
        <v>1</v>
      </c>
      <c r="D738" s="27">
        <f t="shared" si="57"/>
        <v>6</v>
      </c>
      <c r="E738" s="27">
        <f t="shared" si="58"/>
        <v>3</v>
      </c>
      <c r="F738" s="27">
        <f>VLOOKUP(E738,[1]t_calendarioPolitica!A:C,3,FALSE)</f>
        <v>1</v>
      </c>
      <c r="G738" s="1">
        <v>1</v>
      </c>
      <c r="H738" s="1">
        <v>1</v>
      </c>
      <c r="I738" s="1">
        <f t="shared" si="59"/>
        <v>1</v>
      </c>
    </row>
    <row r="739" spans="1:9" x14ac:dyDescent="0.3">
      <c r="A739" s="26">
        <v>46029</v>
      </c>
      <c r="B739" s="27">
        <f t="shared" si="55"/>
        <v>2026</v>
      </c>
      <c r="C739" s="27">
        <f t="shared" si="56"/>
        <v>1</v>
      </c>
      <c r="D739" s="27">
        <f t="shared" si="57"/>
        <v>7</v>
      </c>
      <c r="E739" s="27">
        <f t="shared" si="58"/>
        <v>4</v>
      </c>
      <c r="F739" s="27">
        <f>VLOOKUP(E739,[1]t_calendarioPolitica!A:C,3,FALSE)</f>
        <v>1</v>
      </c>
      <c r="G739" s="1">
        <v>1</v>
      </c>
      <c r="H739" s="1">
        <v>1</v>
      </c>
      <c r="I739" s="1">
        <f t="shared" si="59"/>
        <v>1</v>
      </c>
    </row>
    <row r="740" spans="1:9" x14ac:dyDescent="0.3">
      <c r="A740" s="26">
        <v>46030</v>
      </c>
      <c r="B740" s="27">
        <f t="shared" si="55"/>
        <v>2026</v>
      </c>
      <c r="C740" s="27">
        <f t="shared" si="56"/>
        <v>1</v>
      </c>
      <c r="D740" s="27">
        <f t="shared" si="57"/>
        <v>8</v>
      </c>
      <c r="E740" s="27">
        <f t="shared" si="58"/>
        <v>5</v>
      </c>
      <c r="F740" s="27">
        <f>VLOOKUP(E740,[1]t_calendarioPolitica!A:C,3,FALSE)</f>
        <v>1</v>
      </c>
      <c r="G740" s="1">
        <v>1</v>
      </c>
      <c r="H740" s="1">
        <v>1</v>
      </c>
      <c r="I740" s="1">
        <f t="shared" si="59"/>
        <v>1</v>
      </c>
    </row>
    <row r="741" spans="1:9" x14ac:dyDescent="0.3">
      <c r="A741" s="26">
        <v>46031</v>
      </c>
      <c r="B741" s="27">
        <f t="shared" si="55"/>
        <v>2026</v>
      </c>
      <c r="C741" s="27">
        <f t="shared" si="56"/>
        <v>1</v>
      </c>
      <c r="D741" s="27">
        <f t="shared" si="57"/>
        <v>9</v>
      </c>
      <c r="E741" s="27">
        <f t="shared" si="58"/>
        <v>6</v>
      </c>
      <c r="F741" s="27">
        <f>VLOOKUP(E741,[1]t_calendarioPolitica!A:C,3,FALSE)</f>
        <v>1</v>
      </c>
      <c r="G741" s="1">
        <v>1</v>
      </c>
      <c r="H741" s="1">
        <v>1</v>
      </c>
      <c r="I741" s="1">
        <f t="shared" si="59"/>
        <v>1</v>
      </c>
    </row>
    <row r="742" spans="1:9" x14ac:dyDescent="0.3">
      <c r="A742" s="26">
        <v>46032</v>
      </c>
      <c r="B742" s="27">
        <f t="shared" si="55"/>
        <v>2026</v>
      </c>
      <c r="C742" s="27">
        <f t="shared" si="56"/>
        <v>1</v>
      </c>
      <c r="D742" s="27">
        <f t="shared" si="57"/>
        <v>10</v>
      </c>
      <c r="E742" s="27">
        <f t="shared" si="58"/>
        <v>7</v>
      </c>
      <c r="F742" s="27">
        <f>VLOOKUP(E742,[1]t_calendarioPolitica!A:C,3,FALSE)</f>
        <v>2</v>
      </c>
      <c r="G742" s="1">
        <v>1</v>
      </c>
      <c r="H742" s="1">
        <v>1</v>
      </c>
      <c r="I742" s="1">
        <f t="shared" si="59"/>
        <v>1</v>
      </c>
    </row>
    <row r="743" spans="1:9" x14ac:dyDescent="0.3">
      <c r="A743" s="26">
        <v>46033</v>
      </c>
      <c r="B743" s="27">
        <f t="shared" si="55"/>
        <v>2026</v>
      </c>
      <c r="C743" s="27">
        <f t="shared" si="56"/>
        <v>1</v>
      </c>
      <c r="D743" s="27">
        <f t="shared" si="57"/>
        <v>11</v>
      </c>
      <c r="E743" s="27">
        <f t="shared" si="58"/>
        <v>1</v>
      </c>
      <c r="F743" s="27">
        <f>VLOOKUP(E743,[1]t_calendarioPolitica!A:C,3,FALSE)</f>
        <v>0</v>
      </c>
      <c r="G743" s="1">
        <v>1</v>
      </c>
      <c r="H743" s="1">
        <v>1</v>
      </c>
      <c r="I743" s="1">
        <f t="shared" si="59"/>
        <v>0</v>
      </c>
    </row>
    <row r="744" spans="1:9" x14ac:dyDescent="0.3">
      <c r="A744" s="26">
        <v>46034</v>
      </c>
      <c r="B744" s="27">
        <f t="shared" si="55"/>
        <v>2026</v>
      </c>
      <c r="C744" s="27">
        <f t="shared" si="56"/>
        <v>1</v>
      </c>
      <c r="D744" s="27">
        <f t="shared" si="57"/>
        <v>12</v>
      </c>
      <c r="E744" s="27">
        <f t="shared" si="58"/>
        <v>2</v>
      </c>
      <c r="F744" s="27">
        <f>VLOOKUP(E744,[1]t_calendarioPolitica!A:C,3,FALSE)</f>
        <v>1</v>
      </c>
      <c r="G744" s="1">
        <v>1</v>
      </c>
      <c r="H744" s="1">
        <v>1</v>
      </c>
      <c r="I744" s="1">
        <f t="shared" si="59"/>
        <v>1</v>
      </c>
    </row>
    <row r="745" spans="1:9" x14ac:dyDescent="0.3">
      <c r="A745" s="26">
        <v>46035</v>
      </c>
      <c r="B745" s="27">
        <f t="shared" si="55"/>
        <v>2026</v>
      </c>
      <c r="C745" s="27">
        <f t="shared" si="56"/>
        <v>1</v>
      </c>
      <c r="D745" s="27">
        <f t="shared" si="57"/>
        <v>13</v>
      </c>
      <c r="E745" s="27">
        <f t="shared" si="58"/>
        <v>3</v>
      </c>
      <c r="F745" s="27">
        <f>VLOOKUP(E745,[1]t_calendarioPolitica!A:C,3,FALSE)</f>
        <v>1</v>
      </c>
      <c r="G745" s="1">
        <v>1</v>
      </c>
      <c r="H745" s="1">
        <v>1</v>
      </c>
      <c r="I745" s="1">
        <f t="shared" si="59"/>
        <v>1</v>
      </c>
    </row>
    <row r="746" spans="1:9" x14ac:dyDescent="0.3">
      <c r="A746" s="26">
        <v>46036</v>
      </c>
      <c r="B746" s="27">
        <f t="shared" si="55"/>
        <v>2026</v>
      </c>
      <c r="C746" s="27">
        <f t="shared" si="56"/>
        <v>1</v>
      </c>
      <c r="D746" s="27">
        <f t="shared" si="57"/>
        <v>14</v>
      </c>
      <c r="E746" s="27">
        <f t="shared" si="58"/>
        <v>4</v>
      </c>
      <c r="F746" s="27">
        <f>VLOOKUP(E746,[1]t_calendarioPolitica!A:C,3,FALSE)</f>
        <v>1</v>
      </c>
      <c r="G746" s="1">
        <v>1</v>
      </c>
      <c r="H746" s="1">
        <v>1</v>
      </c>
      <c r="I746" s="1">
        <f t="shared" si="59"/>
        <v>1</v>
      </c>
    </row>
    <row r="747" spans="1:9" x14ac:dyDescent="0.3">
      <c r="A747" s="26">
        <v>46037</v>
      </c>
      <c r="B747" s="27">
        <f t="shared" si="55"/>
        <v>2026</v>
      </c>
      <c r="C747" s="27">
        <f t="shared" si="56"/>
        <v>1</v>
      </c>
      <c r="D747" s="27">
        <f t="shared" si="57"/>
        <v>15</v>
      </c>
      <c r="E747" s="27">
        <f t="shared" si="58"/>
        <v>5</v>
      </c>
      <c r="F747" s="27">
        <f>VLOOKUP(E747,[1]t_calendarioPolitica!A:C,3,FALSE)</f>
        <v>1</v>
      </c>
      <c r="G747" s="1">
        <v>1</v>
      </c>
      <c r="H747" s="1">
        <v>1</v>
      </c>
      <c r="I747" s="1">
        <f t="shared" si="59"/>
        <v>1</v>
      </c>
    </row>
    <row r="748" spans="1:9" x14ac:dyDescent="0.3">
      <c r="A748" s="26">
        <v>46038</v>
      </c>
      <c r="B748" s="27">
        <f t="shared" si="55"/>
        <v>2026</v>
      </c>
      <c r="C748" s="27">
        <f t="shared" si="56"/>
        <v>1</v>
      </c>
      <c r="D748" s="27">
        <f t="shared" si="57"/>
        <v>16</v>
      </c>
      <c r="E748" s="27">
        <f t="shared" si="58"/>
        <v>6</v>
      </c>
      <c r="F748" s="27">
        <f>VLOOKUP(E748,[1]t_calendarioPolitica!A:C,3,FALSE)</f>
        <v>1</v>
      </c>
      <c r="G748" s="1">
        <v>1</v>
      </c>
      <c r="H748" s="1">
        <v>1</v>
      </c>
      <c r="I748" s="1">
        <f t="shared" si="59"/>
        <v>1</v>
      </c>
    </row>
    <row r="749" spans="1:9" x14ac:dyDescent="0.3">
      <c r="A749" s="26">
        <v>46039</v>
      </c>
      <c r="B749" s="27">
        <f t="shared" si="55"/>
        <v>2026</v>
      </c>
      <c r="C749" s="27">
        <f t="shared" si="56"/>
        <v>1</v>
      </c>
      <c r="D749" s="27">
        <f t="shared" si="57"/>
        <v>17</v>
      </c>
      <c r="E749" s="27">
        <f t="shared" si="58"/>
        <v>7</v>
      </c>
      <c r="F749" s="27">
        <f>VLOOKUP(E749,[1]t_calendarioPolitica!A:C,3,FALSE)</f>
        <v>2</v>
      </c>
      <c r="G749" s="1">
        <v>1</v>
      </c>
      <c r="H749" s="1">
        <v>1</v>
      </c>
      <c r="I749" s="1">
        <f t="shared" si="59"/>
        <v>1</v>
      </c>
    </row>
    <row r="750" spans="1:9" x14ac:dyDescent="0.3">
      <c r="A750" s="26">
        <v>46040</v>
      </c>
      <c r="B750" s="27">
        <f t="shared" si="55"/>
        <v>2026</v>
      </c>
      <c r="C750" s="27">
        <f t="shared" si="56"/>
        <v>1</v>
      </c>
      <c r="D750" s="27">
        <f t="shared" si="57"/>
        <v>18</v>
      </c>
      <c r="E750" s="27">
        <f t="shared" si="58"/>
        <v>1</v>
      </c>
      <c r="F750" s="27">
        <f>VLOOKUP(E750,[1]t_calendarioPolitica!A:C,3,FALSE)</f>
        <v>0</v>
      </c>
      <c r="G750" s="1">
        <v>1</v>
      </c>
      <c r="H750" s="1">
        <v>1</v>
      </c>
      <c r="I750" s="1">
        <f t="shared" si="59"/>
        <v>0</v>
      </c>
    </row>
    <row r="751" spans="1:9" x14ac:dyDescent="0.3">
      <c r="A751" s="26">
        <v>46041</v>
      </c>
      <c r="B751" s="27">
        <f t="shared" si="55"/>
        <v>2026</v>
      </c>
      <c r="C751" s="27">
        <f t="shared" si="56"/>
        <v>1</v>
      </c>
      <c r="D751" s="27">
        <f t="shared" si="57"/>
        <v>19</v>
      </c>
      <c r="E751" s="27">
        <f t="shared" si="58"/>
        <v>2</v>
      </c>
      <c r="F751" s="27">
        <f>VLOOKUP(E751,[1]t_calendarioPolitica!A:C,3,FALSE)</f>
        <v>1</v>
      </c>
      <c r="G751" s="1">
        <v>1</v>
      </c>
      <c r="H751" s="1">
        <v>1</v>
      </c>
      <c r="I751" s="1">
        <f t="shared" si="59"/>
        <v>1</v>
      </c>
    </row>
    <row r="752" spans="1:9" x14ac:dyDescent="0.3">
      <c r="A752" s="26">
        <v>46042</v>
      </c>
      <c r="B752" s="27">
        <f t="shared" si="55"/>
        <v>2026</v>
      </c>
      <c r="C752" s="27">
        <f t="shared" si="56"/>
        <v>1</v>
      </c>
      <c r="D752" s="27">
        <f t="shared" si="57"/>
        <v>20</v>
      </c>
      <c r="E752" s="27">
        <f t="shared" si="58"/>
        <v>3</v>
      </c>
      <c r="F752" s="27">
        <f>VLOOKUP(E752,[1]t_calendarioPolitica!A:C,3,FALSE)</f>
        <v>1</v>
      </c>
      <c r="G752" s="1">
        <v>1</v>
      </c>
      <c r="H752" s="1">
        <v>1</v>
      </c>
      <c r="I752" s="1">
        <f t="shared" si="59"/>
        <v>1</v>
      </c>
    </row>
    <row r="753" spans="1:9" x14ac:dyDescent="0.3">
      <c r="A753" s="26">
        <v>46043</v>
      </c>
      <c r="B753" s="27">
        <f t="shared" si="55"/>
        <v>2026</v>
      </c>
      <c r="C753" s="27">
        <f t="shared" si="56"/>
        <v>1</v>
      </c>
      <c r="D753" s="27">
        <f t="shared" si="57"/>
        <v>21</v>
      </c>
      <c r="E753" s="27">
        <f t="shared" si="58"/>
        <v>4</v>
      </c>
      <c r="F753" s="27">
        <f>VLOOKUP(E753,[1]t_calendarioPolitica!A:C,3,FALSE)</f>
        <v>1</v>
      </c>
      <c r="G753" s="1">
        <v>1</v>
      </c>
      <c r="H753" s="1">
        <v>1</v>
      </c>
      <c r="I753" s="1">
        <f t="shared" si="59"/>
        <v>1</v>
      </c>
    </row>
    <row r="754" spans="1:9" x14ac:dyDescent="0.3">
      <c r="A754" s="26">
        <v>46044</v>
      </c>
      <c r="B754" s="27">
        <f t="shared" si="55"/>
        <v>2026</v>
      </c>
      <c r="C754" s="27">
        <f t="shared" si="56"/>
        <v>1</v>
      </c>
      <c r="D754" s="27">
        <f t="shared" si="57"/>
        <v>22</v>
      </c>
      <c r="E754" s="27">
        <f t="shared" si="58"/>
        <v>5</v>
      </c>
      <c r="F754" s="27">
        <f>VLOOKUP(E754,[1]t_calendarioPolitica!A:C,3,FALSE)</f>
        <v>1</v>
      </c>
      <c r="G754" s="1">
        <v>1</v>
      </c>
      <c r="H754" s="1">
        <v>1</v>
      </c>
      <c r="I754" s="1">
        <f t="shared" si="59"/>
        <v>1</v>
      </c>
    </row>
    <row r="755" spans="1:9" x14ac:dyDescent="0.3">
      <c r="A755" s="26">
        <v>46045</v>
      </c>
      <c r="B755" s="27">
        <f t="shared" si="55"/>
        <v>2026</v>
      </c>
      <c r="C755" s="27">
        <f t="shared" si="56"/>
        <v>1</v>
      </c>
      <c r="D755" s="27">
        <f t="shared" si="57"/>
        <v>23</v>
      </c>
      <c r="E755" s="27">
        <f t="shared" si="58"/>
        <v>6</v>
      </c>
      <c r="F755" s="27">
        <f>VLOOKUP(E755,[1]t_calendarioPolitica!A:C,3,FALSE)</f>
        <v>1</v>
      </c>
      <c r="G755" s="1">
        <v>1</v>
      </c>
      <c r="H755" s="1">
        <v>1</v>
      </c>
      <c r="I755" s="1">
        <f t="shared" si="59"/>
        <v>1</v>
      </c>
    </row>
    <row r="756" spans="1:9" x14ac:dyDescent="0.3">
      <c r="A756" s="26">
        <v>46046</v>
      </c>
      <c r="B756" s="27">
        <f t="shared" si="55"/>
        <v>2026</v>
      </c>
      <c r="C756" s="27">
        <f t="shared" si="56"/>
        <v>1</v>
      </c>
      <c r="D756" s="27">
        <f t="shared" si="57"/>
        <v>24</v>
      </c>
      <c r="E756" s="27">
        <f t="shared" si="58"/>
        <v>7</v>
      </c>
      <c r="F756" s="27">
        <f>VLOOKUP(E756,[1]t_calendarioPolitica!A:C,3,FALSE)</f>
        <v>2</v>
      </c>
      <c r="G756" s="1">
        <v>1</v>
      </c>
      <c r="H756" s="1">
        <v>1</v>
      </c>
      <c r="I756" s="1">
        <f t="shared" si="59"/>
        <v>1</v>
      </c>
    </row>
    <row r="757" spans="1:9" x14ac:dyDescent="0.3">
      <c r="A757" s="26">
        <v>46047</v>
      </c>
      <c r="B757" s="27">
        <f t="shared" si="55"/>
        <v>2026</v>
      </c>
      <c r="C757" s="27">
        <f t="shared" si="56"/>
        <v>1</v>
      </c>
      <c r="D757" s="27">
        <f t="shared" si="57"/>
        <v>25</v>
      </c>
      <c r="E757" s="27">
        <f t="shared" si="58"/>
        <v>1</v>
      </c>
      <c r="F757" s="27">
        <f>VLOOKUP(E757,[1]t_calendarioPolitica!A:C,3,FALSE)</f>
        <v>0</v>
      </c>
      <c r="G757" s="1">
        <v>1</v>
      </c>
      <c r="H757" s="1">
        <v>1</v>
      </c>
      <c r="I757" s="1">
        <f t="shared" si="59"/>
        <v>0</v>
      </c>
    </row>
    <row r="758" spans="1:9" x14ac:dyDescent="0.3">
      <c r="A758" s="26">
        <v>46048</v>
      </c>
      <c r="B758" s="27">
        <f t="shared" si="55"/>
        <v>2026</v>
      </c>
      <c r="C758" s="27">
        <f t="shared" si="56"/>
        <v>1</v>
      </c>
      <c r="D758" s="27">
        <f t="shared" si="57"/>
        <v>26</v>
      </c>
      <c r="E758" s="27">
        <f t="shared" si="58"/>
        <v>2</v>
      </c>
      <c r="F758" s="27">
        <f>VLOOKUP(E758,[1]t_calendarioPolitica!A:C,3,FALSE)</f>
        <v>1</v>
      </c>
      <c r="G758" s="1">
        <v>1</v>
      </c>
      <c r="H758" s="1">
        <v>1</v>
      </c>
      <c r="I758" s="1">
        <f t="shared" si="59"/>
        <v>1</v>
      </c>
    </row>
    <row r="759" spans="1:9" x14ac:dyDescent="0.3">
      <c r="A759" s="26">
        <v>46049</v>
      </c>
      <c r="B759" s="27">
        <f t="shared" si="55"/>
        <v>2026</v>
      </c>
      <c r="C759" s="27">
        <f t="shared" si="56"/>
        <v>1</v>
      </c>
      <c r="D759" s="27">
        <f t="shared" si="57"/>
        <v>27</v>
      </c>
      <c r="E759" s="27">
        <f t="shared" si="58"/>
        <v>3</v>
      </c>
      <c r="F759" s="27">
        <f>VLOOKUP(E759,[1]t_calendarioPolitica!A:C,3,FALSE)</f>
        <v>1</v>
      </c>
      <c r="G759" s="1">
        <v>1</v>
      </c>
      <c r="H759" s="1">
        <v>1</v>
      </c>
      <c r="I759" s="1">
        <f t="shared" si="59"/>
        <v>1</v>
      </c>
    </row>
    <row r="760" spans="1:9" x14ac:dyDescent="0.3">
      <c r="A760" s="26">
        <v>46050</v>
      </c>
      <c r="B760" s="27">
        <f t="shared" si="55"/>
        <v>2026</v>
      </c>
      <c r="C760" s="27">
        <f t="shared" si="56"/>
        <v>1</v>
      </c>
      <c r="D760" s="27">
        <f t="shared" si="57"/>
        <v>28</v>
      </c>
      <c r="E760" s="27">
        <f t="shared" si="58"/>
        <v>4</v>
      </c>
      <c r="F760" s="27">
        <f>VLOOKUP(E760,[1]t_calendarioPolitica!A:C,3,FALSE)</f>
        <v>1</v>
      </c>
      <c r="G760" s="1">
        <v>1</v>
      </c>
      <c r="H760" s="1">
        <v>1</v>
      </c>
      <c r="I760" s="1">
        <f t="shared" si="59"/>
        <v>1</v>
      </c>
    </row>
    <row r="761" spans="1:9" x14ac:dyDescent="0.3">
      <c r="A761" s="26">
        <v>46051</v>
      </c>
      <c r="B761" s="27">
        <f t="shared" si="55"/>
        <v>2026</v>
      </c>
      <c r="C761" s="27">
        <f t="shared" si="56"/>
        <v>1</v>
      </c>
      <c r="D761" s="27">
        <f t="shared" si="57"/>
        <v>29</v>
      </c>
      <c r="E761" s="27">
        <f t="shared" si="58"/>
        <v>5</v>
      </c>
      <c r="F761" s="27">
        <f>VLOOKUP(E761,[1]t_calendarioPolitica!A:C,3,FALSE)</f>
        <v>1</v>
      </c>
      <c r="G761" s="1">
        <v>1</v>
      </c>
      <c r="H761" s="1">
        <v>1</v>
      </c>
      <c r="I761" s="1">
        <f t="shared" si="59"/>
        <v>1</v>
      </c>
    </row>
    <row r="762" spans="1:9" x14ac:dyDescent="0.3">
      <c r="A762" s="26">
        <v>46052</v>
      </c>
      <c r="B762" s="27">
        <f t="shared" si="55"/>
        <v>2026</v>
      </c>
      <c r="C762" s="27">
        <f t="shared" si="56"/>
        <v>1</v>
      </c>
      <c r="D762" s="27">
        <f t="shared" si="57"/>
        <v>30</v>
      </c>
      <c r="E762" s="27">
        <f t="shared" si="58"/>
        <v>6</v>
      </c>
      <c r="F762" s="27">
        <f>VLOOKUP(E762,[1]t_calendarioPolitica!A:C,3,FALSE)</f>
        <v>1</v>
      </c>
      <c r="G762" s="1">
        <v>1</v>
      </c>
      <c r="H762" s="1">
        <v>1</v>
      </c>
      <c r="I762" s="1">
        <f t="shared" si="59"/>
        <v>1</v>
      </c>
    </row>
    <row r="763" spans="1:9" x14ac:dyDescent="0.3">
      <c r="A763" s="26">
        <v>46053</v>
      </c>
      <c r="B763" s="27">
        <f t="shared" si="55"/>
        <v>2026</v>
      </c>
      <c r="C763" s="27">
        <f t="shared" si="56"/>
        <v>1</v>
      </c>
      <c r="D763" s="27">
        <f t="shared" si="57"/>
        <v>31</v>
      </c>
      <c r="E763" s="27">
        <f t="shared" si="58"/>
        <v>7</v>
      </c>
      <c r="F763" s="27">
        <f>VLOOKUP(E763,[1]t_calendarioPolitica!A:C,3,FALSE)</f>
        <v>2</v>
      </c>
      <c r="G763" s="1">
        <v>1</v>
      </c>
      <c r="H763" s="1">
        <v>1</v>
      </c>
      <c r="I763" s="1">
        <f t="shared" si="59"/>
        <v>1</v>
      </c>
    </row>
    <row r="764" spans="1:9" x14ac:dyDescent="0.3">
      <c r="A764" s="26">
        <v>46054</v>
      </c>
      <c r="B764" s="27">
        <f t="shared" si="55"/>
        <v>2026</v>
      </c>
      <c r="C764" s="27">
        <f t="shared" si="56"/>
        <v>2</v>
      </c>
      <c r="D764" s="27">
        <f t="shared" si="57"/>
        <v>1</v>
      </c>
      <c r="E764" s="27">
        <f t="shared" si="58"/>
        <v>1</v>
      </c>
      <c r="F764" s="27">
        <f>VLOOKUP(E764,[1]t_calendarioPolitica!A:C,3,FALSE)</f>
        <v>0</v>
      </c>
      <c r="G764" s="1">
        <v>1</v>
      </c>
      <c r="H764" s="1">
        <v>1</v>
      </c>
      <c r="I764" s="1">
        <f t="shared" si="59"/>
        <v>0</v>
      </c>
    </row>
    <row r="765" spans="1:9" x14ac:dyDescent="0.3">
      <c r="A765" s="26">
        <v>46055</v>
      </c>
      <c r="B765" s="27">
        <f t="shared" si="55"/>
        <v>2026</v>
      </c>
      <c r="C765" s="27">
        <f t="shared" si="56"/>
        <v>2</v>
      </c>
      <c r="D765" s="27">
        <f t="shared" si="57"/>
        <v>2</v>
      </c>
      <c r="E765" s="27">
        <f t="shared" si="58"/>
        <v>2</v>
      </c>
      <c r="F765" s="27">
        <f>VLOOKUP(E765,[1]t_calendarioPolitica!A:C,3,FALSE)</f>
        <v>1</v>
      </c>
      <c r="G765" s="1">
        <v>1</v>
      </c>
      <c r="H765" s="1">
        <v>1</v>
      </c>
      <c r="I765" s="1">
        <f t="shared" si="59"/>
        <v>1</v>
      </c>
    </row>
    <row r="766" spans="1:9" x14ac:dyDescent="0.3">
      <c r="A766" s="26">
        <v>46056</v>
      </c>
      <c r="B766" s="27">
        <f t="shared" si="55"/>
        <v>2026</v>
      </c>
      <c r="C766" s="27">
        <f t="shared" si="56"/>
        <v>2</v>
      </c>
      <c r="D766" s="27">
        <f t="shared" si="57"/>
        <v>3</v>
      </c>
      <c r="E766" s="27">
        <f t="shared" si="58"/>
        <v>3</v>
      </c>
      <c r="F766" s="27">
        <f>VLOOKUP(E766,[1]t_calendarioPolitica!A:C,3,FALSE)</f>
        <v>1</v>
      </c>
      <c r="G766" s="1">
        <v>1</v>
      </c>
      <c r="H766" s="1">
        <v>1</v>
      </c>
      <c r="I766" s="1">
        <f t="shared" si="59"/>
        <v>1</v>
      </c>
    </row>
    <row r="767" spans="1:9" x14ac:dyDescent="0.3">
      <c r="A767" s="26">
        <v>46057</v>
      </c>
      <c r="B767" s="27">
        <f t="shared" si="55"/>
        <v>2026</v>
      </c>
      <c r="C767" s="27">
        <f t="shared" si="56"/>
        <v>2</v>
      </c>
      <c r="D767" s="27">
        <f t="shared" si="57"/>
        <v>4</v>
      </c>
      <c r="E767" s="27">
        <f t="shared" si="58"/>
        <v>4</v>
      </c>
      <c r="F767" s="27">
        <f>VLOOKUP(E767,[1]t_calendarioPolitica!A:C,3,FALSE)</f>
        <v>1</v>
      </c>
      <c r="G767" s="1">
        <v>1</v>
      </c>
      <c r="H767" s="1">
        <v>1</v>
      </c>
      <c r="I767" s="1">
        <f t="shared" si="59"/>
        <v>1</v>
      </c>
    </row>
    <row r="768" spans="1:9" x14ac:dyDescent="0.3">
      <c r="A768" s="26">
        <v>46058</v>
      </c>
      <c r="B768" s="27">
        <f t="shared" si="55"/>
        <v>2026</v>
      </c>
      <c r="C768" s="27">
        <f t="shared" si="56"/>
        <v>2</v>
      </c>
      <c r="D768" s="27">
        <f t="shared" si="57"/>
        <v>5</v>
      </c>
      <c r="E768" s="27">
        <f t="shared" si="58"/>
        <v>5</v>
      </c>
      <c r="F768" s="27">
        <f>VLOOKUP(E768,[1]t_calendarioPolitica!A:C,3,FALSE)</f>
        <v>1</v>
      </c>
      <c r="G768" s="1">
        <v>1</v>
      </c>
      <c r="H768" s="1">
        <v>1</v>
      </c>
      <c r="I768" s="1">
        <f t="shared" si="59"/>
        <v>1</v>
      </c>
    </row>
    <row r="769" spans="1:9" x14ac:dyDescent="0.3">
      <c r="A769" s="26">
        <v>46059</v>
      </c>
      <c r="B769" s="27">
        <f t="shared" si="55"/>
        <v>2026</v>
      </c>
      <c r="C769" s="27">
        <f t="shared" si="56"/>
        <v>2</v>
      </c>
      <c r="D769" s="27">
        <f t="shared" si="57"/>
        <v>6</v>
      </c>
      <c r="E769" s="27">
        <f t="shared" si="58"/>
        <v>6</v>
      </c>
      <c r="F769" s="27">
        <f>VLOOKUP(E769,[1]t_calendarioPolitica!A:C,3,FALSE)</f>
        <v>1</v>
      </c>
      <c r="G769" s="1">
        <v>1</v>
      </c>
      <c r="H769" s="1">
        <v>1</v>
      </c>
      <c r="I769" s="1">
        <f t="shared" si="59"/>
        <v>1</v>
      </c>
    </row>
    <row r="770" spans="1:9" x14ac:dyDescent="0.3">
      <c r="A770" s="26">
        <v>46060</v>
      </c>
      <c r="B770" s="27">
        <f t="shared" si="55"/>
        <v>2026</v>
      </c>
      <c r="C770" s="27">
        <f t="shared" si="56"/>
        <v>2</v>
      </c>
      <c r="D770" s="27">
        <f t="shared" si="57"/>
        <v>7</v>
      </c>
      <c r="E770" s="27">
        <f t="shared" si="58"/>
        <v>7</v>
      </c>
      <c r="F770" s="27">
        <f>VLOOKUP(E770,[1]t_calendarioPolitica!A:C,3,FALSE)</f>
        <v>2</v>
      </c>
      <c r="G770" s="1">
        <v>1</v>
      </c>
      <c r="H770" s="1">
        <v>1</v>
      </c>
      <c r="I770" s="1">
        <f t="shared" si="59"/>
        <v>1</v>
      </c>
    </row>
    <row r="771" spans="1:9" x14ac:dyDescent="0.3">
      <c r="A771" s="26">
        <v>46061</v>
      </c>
      <c r="B771" s="27">
        <f t="shared" ref="B771:B834" si="60">YEAR(A771)</f>
        <v>2026</v>
      </c>
      <c r="C771" s="27">
        <f t="shared" ref="C771:C834" si="61">MONTH(A771)</f>
        <v>2</v>
      </c>
      <c r="D771" s="27">
        <f t="shared" ref="D771:D834" si="62">DAY(A771)</f>
        <v>8</v>
      </c>
      <c r="E771" s="27">
        <f t="shared" ref="E771:E834" si="63">WEEKDAY(A771)</f>
        <v>1</v>
      </c>
      <c r="F771" s="27">
        <f>VLOOKUP(E771,[1]t_calendarioPolitica!A:C,3,FALSE)</f>
        <v>0</v>
      </c>
      <c r="G771" s="1">
        <v>1</v>
      </c>
      <c r="H771" s="1">
        <v>1</v>
      </c>
      <c r="I771" s="1">
        <f t="shared" ref="I771:I834" si="64">IF(AND(F771&lt;&gt;0, H771&lt;&gt;0,G771&lt;&gt;0), 1, 0)</f>
        <v>0</v>
      </c>
    </row>
    <row r="772" spans="1:9" x14ac:dyDescent="0.3">
      <c r="A772" s="26">
        <v>46062</v>
      </c>
      <c r="B772" s="27">
        <f t="shared" si="60"/>
        <v>2026</v>
      </c>
      <c r="C772" s="27">
        <f t="shared" si="61"/>
        <v>2</v>
      </c>
      <c r="D772" s="27">
        <f t="shared" si="62"/>
        <v>9</v>
      </c>
      <c r="E772" s="27">
        <f t="shared" si="63"/>
        <v>2</v>
      </c>
      <c r="F772" s="27">
        <f>VLOOKUP(E772,[1]t_calendarioPolitica!A:C,3,FALSE)</f>
        <v>1</v>
      </c>
      <c r="G772" s="1">
        <v>1</v>
      </c>
      <c r="H772" s="1">
        <v>1</v>
      </c>
      <c r="I772" s="1">
        <f t="shared" si="64"/>
        <v>1</v>
      </c>
    </row>
    <row r="773" spans="1:9" x14ac:dyDescent="0.3">
      <c r="A773" s="26">
        <v>46063</v>
      </c>
      <c r="B773" s="27">
        <f t="shared" si="60"/>
        <v>2026</v>
      </c>
      <c r="C773" s="27">
        <f t="shared" si="61"/>
        <v>2</v>
      </c>
      <c r="D773" s="27">
        <f t="shared" si="62"/>
        <v>10</v>
      </c>
      <c r="E773" s="27">
        <f t="shared" si="63"/>
        <v>3</v>
      </c>
      <c r="F773" s="27">
        <f>VLOOKUP(E773,[1]t_calendarioPolitica!A:C,3,FALSE)</f>
        <v>1</v>
      </c>
      <c r="G773" s="1">
        <v>1</v>
      </c>
      <c r="H773" s="1">
        <v>1</v>
      </c>
      <c r="I773" s="1">
        <f t="shared" si="64"/>
        <v>1</v>
      </c>
    </row>
    <row r="774" spans="1:9" x14ac:dyDescent="0.3">
      <c r="A774" s="26">
        <v>46064</v>
      </c>
      <c r="B774" s="27">
        <f t="shared" si="60"/>
        <v>2026</v>
      </c>
      <c r="C774" s="27">
        <f t="shared" si="61"/>
        <v>2</v>
      </c>
      <c r="D774" s="27">
        <f t="shared" si="62"/>
        <v>11</v>
      </c>
      <c r="E774" s="27">
        <f t="shared" si="63"/>
        <v>4</v>
      </c>
      <c r="F774" s="27">
        <f>VLOOKUP(E774,[1]t_calendarioPolitica!A:C,3,FALSE)</f>
        <v>1</v>
      </c>
      <c r="G774" s="1">
        <v>1</v>
      </c>
      <c r="H774" s="1">
        <v>1</v>
      </c>
      <c r="I774" s="1">
        <f t="shared" si="64"/>
        <v>1</v>
      </c>
    </row>
    <row r="775" spans="1:9" x14ac:dyDescent="0.3">
      <c r="A775" s="26">
        <v>46065</v>
      </c>
      <c r="B775" s="27">
        <f t="shared" si="60"/>
        <v>2026</v>
      </c>
      <c r="C775" s="27">
        <f t="shared" si="61"/>
        <v>2</v>
      </c>
      <c r="D775" s="27">
        <f t="shared" si="62"/>
        <v>12</v>
      </c>
      <c r="E775" s="27">
        <f t="shared" si="63"/>
        <v>5</v>
      </c>
      <c r="F775" s="27">
        <f>VLOOKUP(E775,[1]t_calendarioPolitica!A:C,3,FALSE)</f>
        <v>1</v>
      </c>
      <c r="G775" s="1">
        <v>1</v>
      </c>
      <c r="H775" s="1">
        <v>1</v>
      </c>
      <c r="I775" s="1">
        <f t="shared" si="64"/>
        <v>1</v>
      </c>
    </row>
    <row r="776" spans="1:9" x14ac:dyDescent="0.3">
      <c r="A776" s="26">
        <v>46066</v>
      </c>
      <c r="B776" s="27">
        <f t="shared" si="60"/>
        <v>2026</v>
      </c>
      <c r="C776" s="27">
        <f t="shared" si="61"/>
        <v>2</v>
      </c>
      <c r="D776" s="27">
        <f t="shared" si="62"/>
        <v>13</v>
      </c>
      <c r="E776" s="27">
        <f t="shared" si="63"/>
        <v>6</v>
      </c>
      <c r="F776" s="27">
        <f>VLOOKUP(E776,[1]t_calendarioPolitica!A:C,3,FALSE)</f>
        <v>1</v>
      </c>
      <c r="G776" s="1">
        <v>1</v>
      </c>
      <c r="H776" s="1">
        <v>1</v>
      </c>
      <c r="I776" s="1">
        <f t="shared" si="64"/>
        <v>1</v>
      </c>
    </row>
    <row r="777" spans="1:9" x14ac:dyDescent="0.3">
      <c r="A777" s="26">
        <v>46067</v>
      </c>
      <c r="B777" s="27">
        <f t="shared" si="60"/>
        <v>2026</v>
      </c>
      <c r="C777" s="27">
        <f t="shared" si="61"/>
        <v>2</v>
      </c>
      <c r="D777" s="27">
        <f t="shared" si="62"/>
        <v>14</v>
      </c>
      <c r="E777" s="27">
        <f t="shared" si="63"/>
        <v>7</v>
      </c>
      <c r="F777" s="27">
        <f>VLOOKUP(E777,[1]t_calendarioPolitica!A:C,3,FALSE)</f>
        <v>2</v>
      </c>
      <c r="G777" s="1">
        <v>1</v>
      </c>
      <c r="H777" s="1">
        <v>1</v>
      </c>
      <c r="I777" s="1">
        <f t="shared" si="64"/>
        <v>1</v>
      </c>
    </row>
    <row r="778" spans="1:9" x14ac:dyDescent="0.3">
      <c r="A778" s="26">
        <v>46068</v>
      </c>
      <c r="B778" s="27">
        <f t="shared" si="60"/>
        <v>2026</v>
      </c>
      <c r="C778" s="27">
        <f t="shared" si="61"/>
        <v>2</v>
      </c>
      <c r="D778" s="27">
        <f t="shared" si="62"/>
        <v>15</v>
      </c>
      <c r="E778" s="27">
        <f t="shared" si="63"/>
        <v>1</v>
      </c>
      <c r="F778" s="27">
        <f>VLOOKUP(E778,[1]t_calendarioPolitica!A:C,3,FALSE)</f>
        <v>0</v>
      </c>
      <c r="G778" s="1">
        <v>1</v>
      </c>
      <c r="H778" s="1">
        <v>1</v>
      </c>
      <c r="I778" s="1">
        <f t="shared" si="64"/>
        <v>0</v>
      </c>
    </row>
    <row r="779" spans="1:9" x14ac:dyDescent="0.3">
      <c r="A779" s="26">
        <v>46069</v>
      </c>
      <c r="B779" s="27">
        <f t="shared" si="60"/>
        <v>2026</v>
      </c>
      <c r="C779" s="27">
        <f t="shared" si="61"/>
        <v>2</v>
      </c>
      <c r="D779" s="27">
        <f t="shared" si="62"/>
        <v>16</v>
      </c>
      <c r="E779" s="27">
        <f t="shared" si="63"/>
        <v>2</v>
      </c>
      <c r="F779" s="27">
        <f>VLOOKUP(E779,[1]t_calendarioPolitica!A:C,3,FALSE)</f>
        <v>1</v>
      </c>
      <c r="G779" s="1">
        <v>1</v>
      </c>
      <c r="H779" s="1">
        <v>1</v>
      </c>
      <c r="I779" s="1">
        <f t="shared" si="64"/>
        <v>1</v>
      </c>
    </row>
    <row r="780" spans="1:9" x14ac:dyDescent="0.3">
      <c r="A780" s="26">
        <v>46070</v>
      </c>
      <c r="B780" s="27">
        <f t="shared" si="60"/>
        <v>2026</v>
      </c>
      <c r="C780" s="27">
        <f t="shared" si="61"/>
        <v>2</v>
      </c>
      <c r="D780" s="27">
        <f t="shared" si="62"/>
        <v>17</v>
      </c>
      <c r="E780" s="27">
        <f t="shared" si="63"/>
        <v>3</v>
      </c>
      <c r="F780" s="27">
        <f>VLOOKUP(E780,[1]t_calendarioPolitica!A:C,3,FALSE)</f>
        <v>1</v>
      </c>
      <c r="G780" s="1">
        <v>1</v>
      </c>
      <c r="H780" s="1">
        <v>1</v>
      </c>
      <c r="I780" s="1">
        <f t="shared" si="64"/>
        <v>1</v>
      </c>
    </row>
    <row r="781" spans="1:9" x14ac:dyDescent="0.3">
      <c r="A781" s="26">
        <v>46071</v>
      </c>
      <c r="B781" s="27">
        <f t="shared" si="60"/>
        <v>2026</v>
      </c>
      <c r="C781" s="27">
        <f t="shared" si="61"/>
        <v>2</v>
      </c>
      <c r="D781" s="27">
        <f t="shared" si="62"/>
        <v>18</v>
      </c>
      <c r="E781" s="27">
        <f t="shared" si="63"/>
        <v>4</v>
      </c>
      <c r="F781" s="27">
        <f>VLOOKUP(E781,[1]t_calendarioPolitica!A:C,3,FALSE)</f>
        <v>1</v>
      </c>
      <c r="G781" s="1">
        <v>1</v>
      </c>
      <c r="H781" s="1">
        <v>1</v>
      </c>
      <c r="I781" s="1">
        <f t="shared" si="64"/>
        <v>1</v>
      </c>
    </row>
    <row r="782" spans="1:9" x14ac:dyDescent="0.3">
      <c r="A782" s="26">
        <v>46072</v>
      </c>
      <c r="B782" s="27">
        <f t="shared" si="60"/>
        <v>2026</v>
      </c>
      <c r="C782" s="27">
        <f t="shared" si="61"/>
        <v>2</v>
      </c>
      <c r="D782" s="27">
        <f t="shared" si="62"/>
        <v>19</v>
      </c>
      <c r="E782" s="27">
        <f t="shared" si="63"/>
        <v>5</v>
      </c>
      <c r="F782" s="27">
        <f>VLOOKUP(E782,[1]t_calendarioPolitica!A:C,3,FALSE)</f>
        <v>1</v>
      </c>
      <c r="G782" s="1">
        <v>1</v>
      </c>
      <c r="H782" s="1">
        <v>1</v>
      </c>
      <c r="I782" s="1">
        <f t="shared" si="64"/>
        <v>1</v>
      </c>
    </row>
    <row r="783" spans="1:9" x14ac:dyDescent="0.3">
      <c r="A783" s="26">
        <v>46073</v>
      </c>
      <c r="B783" s="27">
        <f t="shared" si="60"/>
        <v>2026</v>
      </c>
      <c r="C783" s="27">
        <f t="shared" si="61"/>
        <v>2</v>
      </c>
      <c r="D783" s="27">
        <f t="shared" si="62"/>
        <v>20</v>
      </c>
      <c r="E783" s="27">
        <f t="shared" si="63"/>
        <v>6</v>
      </c>
      <c r="F783" s="27">
        <f>VLOOKUP(E783,[1]t_calendarioPolitica!A:C,3,FALSE)</f>
        <v>1</v>
      </c>
      <c r="G783" s="1">
        <v>1</v>
      </c>
      <c r="H783" s="1">
        <v>1</v>
      </c>
      <c r="I783" s="1">
        <f t="shared" si="64"/>
        <v>1</v>
      </c>
    </row>
    <row r="784" spans="1:9" x14ac:dyDescent="0.3">
      <c r="A784" s="26">
        <v>46074</v>
      </c>
      <c r="B784" s="27">
        <f t="shared" si="60"/>
        <v>2026</v>
      </c>
      <c r="C784" s="27">
        <f t="shared" si="61"/>
        <v>2</v>
      </c>
      <c r="D784" s="27">
        <f t="shared" si="62"/>
        <v>21</v>
      </c>
      <c r="E784" s="27">
        <f t="shared" si="63"/>
        <v>7</v>
      </c>
      <c r="F784" s="27">
        <f>VLOOKUP(E784,[1]t_calendarioPolitica!A:C,3,FALSE)</f>
        <v>2</v>
      </c>
      <c r="G784" s="1">
        <v>1</v>
      </c>
      <c r="H784" s="1">
        <v>1</v>
      </c>
      <c r="I784" s="1">
        <f t="shared" si="64"/>
        <v>1</v>
      </c>
    </row>
    <row r="785" spans="1:9" x14ac:dyDescent="0.3">
      <c r="A785" s="26">
        <v>46075</v>
      </c>
      <c r="B785" s="27">
        <f t="shared" si="60"/>
        <v>2026</v>
      </c>
      <c r="C785" s="27">
        <f t="shared" si="61"/>
        <v>2</v>
      </c>
      <c r="D785" s="27">
        <f t="shared" si="62"/>
        <v>22</v>
      </c>
      <c r="E785" s="27">
        <f t="shared" si="63"/>
        <v>1</v>
      </c>
      <c r="F785" s="27">
        <f>VLOOKUP(E785,[1]t_calendarioPolitica!A:C,3,FALSE)</f>
        <v>0</v>
      </c>
      <c r="G785" s="1">
        <v>1</v>
      </c>
      <c r="H785" s="1">
        <v>1</v>
      </c>
      <c r="I785" s="1">
        <f t="shared" si="64"/>
        <v>0</v>
      </c>
    </row>
    <row r="786" spans="1:9" x14ac:dyDescent="0.3">
      <c r="A786" s="26">
        <v>46076</v>
      </c>
      <c r="B786" s="27">
        <f t="shared" si="60"/>
        <v>2026</v>
      </c>
      <c r="C786" s="27">
        <f t="shared" si="61"/>
        <v>2</v>
      </c>
      <c r="D786" s="27">
        <f t="shared" si="62"/>
        <v>23</v>
      </c>
      <c r="E786" s="27">
        <f t="shared" si="63"/>
        <v>2</v>
      </c>
      <c r="F786" s="27">
        <f>VLOOKUP(E786,[1]t_calendarioPolitica!A:C,3,FALSE)</f>
        <v>1</v>
      </c>
      <c r="G786" s="1">
        <v>1</v>
      </c>
      <c r="H786" s="1">
        <v>1</v>
      </c>
      <c r="I786" s="1">
        <f t="shared" si="64"/>
        <v>1</v>
      </c>
    </row>
    <row r="787" spans="1:9" x14ac:dyDescent="0.3">
      <c r="A787" s="26">
        <v>46077</v>
      </c>
      <c r="B787" s="27">
        <f t="shared" si="60"/>
        <v>2026</v>
      </c>
      <c r="C787" s="27">
        <f t="shared" si="61"/>
        <v>2</v>
      </c>
      <c r="D787" s="27">
        <f t="shared" si="62"/>
        <v>24</v>
      </c>
      <c r="E787" s="27">
        <f t="shared" si="63"/>
        <v>3</v>
      </c>
      <c r="F787" s="27">
        <f>VLOOKUP(E787,[1]t_calendarioPolitica!A:C,3,FALSE)</f>
        <v>1</v>
      </c>
      <c r="G787" s="1">
        <v>1</v>
      </c>
      <c r="H787" s="1">
        <v>1</v>
      </c>
      <c r="I787" s="1">
        <f t="shared" si="64"/>
        <v>1</v>
      </c>
    </row>
    <row r="788" spans="1:9" x14ac:dyDescent="0.3">
      <c r="A788" s="26">
        <v>46078</v>
      </c>
      <c r="B788" s="27">
        <f t="shared" si="60"/>
        <v>2026</v>
      </c>
      <c r="C788" s="27">
        <f t="shared" si="61"/>
        <v>2</v>
      </c>
      <c r="D788" s="27">
        <f t="shared" si="62"/>
        <v>25</v>
      </c>
      <c r="E788" s="27">
        <f t="shared" si="63"/>
        <v>4</v>
      </c>
      <c r="F788" s="27">
        <f>VLOOKUP(E788,[1]t_calendarioPolitica!A:C,3,FALSE)</f>
        <v>1</v>
      </c>
      <c r="G788" s="1">
        <v>1</v>
      </c>
      <c r="H788" s="1">
        <v>1</v>
      </c>
      <c r="I788" s="1">
        <f t="shared" si="64"/>
        <v>1</v>
      </c>
    </row>
    <row r="789" spans="1:9" x14ac:dyDescent="0.3">
      <c r="A789" s="26">
        <v>46079</v>
      </c>
      <c r="B789" s="27">
        <f t="shared" si="60"/>
        <v>2026</v>
      </c>
      <c r="C789" s="27">
        <f t="shared" si="61"/>
        <v>2</v>
      </c>
      <c r="D789" s="27">
        <f t="shared" si="62"/>
        <v>26</v>
      </c>
      <c r="E789" s="27">
        <f t="shared" si="63"/>
        <v>5</v>
      </c>
      <c r="F789" s="27">
        <f>VLOOKUP(E789,[1]t_calendarioPolitica!A:C,3,FALSE)</f>
        <v>1</v>
      </c>
      <c r="G789" s="1">
        <v>1</v>
      </c>
      <c r="H789" s="1">
        <v>1</v>
      </c>
      <c r="I789" s="1">
        <f t="shared" si="64"/>
        <v>1</v>
      </c>
    </row>
    <row r="790" spans="1:9" x14ac:dyDescent="0.3">
      <c r="A790" s="26">
        <v>46080</v>
      </c>
      <c r="B790" s="27">
        <f t="shared" si="60"/>
        <v>2026</v>
      </c>
      <c r="C790" s="27">
        <f t="shared" si="61"/>
        <v>2</v>
      </c>
      <c r="D790" s="27">
        <f t="shared" si="62"/>
        <v>27</v>
      </c>
      <c r="E790" s="27">
        <f t="shared" si="63"/>
        <v>6</v>
      </c>
      <c r="F790" s="27">
        <f>VLOOKUP(E790,[1]t_calendarioPolitica!A:C,3,FALSE)</f>
        <v>1</v>
      </c>
      <c r="G790" s="1">
        <v>1</v>
      </c>
      <c r="H790" s="1">
        <v>1</v>
      </c>
      <c r="I790" s="1">
        <f t="shared" si="64"/>
        <v>1</v>
      </c>
    </row>
    <row r="791" spans="1:9" x14ac:dyDescent="0.3">
      <c r="A791" s="26">
        <v>46081</v>
      </c>
      <c r="B791" s="27">
        <f t="shared" si="60"/>
        <v>2026</v>
      </c>
      <c r="C791" s="27">
        <f t="shared" si="61"/>
        <v>2</v>
      </c>
      <c r="D791" s="27">
        <f t="shared" si="62"/>
        <v>28</v>
      </c>
      <c r="E791" s="27">
        <f t="shared" si="63"/>
        <v>7</v>
      </c>
      <c r="F791" s="27">
        <f>VLOOKUP(E791,[1]t_calendarioPolitica!A:C,3,FALSE)</f>
        <v>2</v>
      </c>
      <c r="G791" s="1">
        <v>1</v>
      </c>
      <c r="H791" s="1">
        <v>1</v>
      </c>
      <c r="I791" s="1">
        <f t="shared" si="64"/>
        <v>1</v>
      </c>
    </row>
    <row r="792" spans="1:9" x14ac:dyDescent="0.3">
      <c r="A792" s="26">
        <v>46082</v>
      </c>
      <c r="B792" s="27">
        <f t="shared" si="60"/>
        <v>2026</v>
      </c>
      <c r="C792" s="27">
        <f t="shared" si="61"/>
        <v>3</v>
      </c>
      <c r="D792" s="27">
        <f t="shared" si="62"/>
        <v>1</v>
      </c>
      <c r="E792" s="27">
        <f t="shared" si="63"/>
        <v>1</v>
      </c>
      <c r="F792" s="27">
        <f>VLOOKUP(E792,[1]t_calendarioPolitica!A:C,3,FALSE)</f>
        <v>0</v>
      </c>
      <c r="G792" s="1">
        <v>1</v>
      </c>
      <c r="H792" s="1">
        <v>1</v>
      </c>
      <c r="I792" s="1">
        <f t="shared" si="64"/>
        <v>0</v>
      </c>
    </row>
    <row r="793" spans="1:9" x14ac:dyDescent="0.3">
      <c r="A793" s="26">
        <v>46083</v>
      </c>
      <c r="B793" s="27">
        <f t="shared" si="60"/>
        <v>2026</v>
      </c>
      <c r="C793" s="27">
        <f t="shared" si="61"/>
        <v>3</v>
      </c>
      <c r="D793" s="27">
        <f t="shared" si="62"/>
        <v>2</v>
      </c>
      <c r="E793" s="27">
        <f t="shared" si="63"/>
        <v>2</v>
      </c>
      <c r="F793" s="27">
        <f>VLOOKUP(E793,[1]t_calendarioPolitica!A:C,3,FALSE)</f>
        <v>1</v>
      </c>
      <c r="G793" s="1">
        <v>1</v>
      </c>
      <c r="H793" s="1">
        <v>1</v>
      </c>
      <c r="I793" s="1">
        <f t="shared" si="64"/>
        <v>1</v>
      </c>
    </row>
    <row r="794" spans="1:9" x14ac:dyDescent="0.3">
      <c r="A794" s="26">
        <v>46084</v>
      </c>
      <c r="B794" s="27">
        <f t="shared" si="60"/>
        <v>2026</v>
      </c>
      <c r="C794" s="27">
        <f t="shared" si="61"/>
        <v>3</v>
      </c>
      <c r="D794" s="27">
        <f t="shared" si="62"/>
        <v>3</v>
      </c>
      <c r="E794" s="27">
        <f t="shared" si="63"/>
        <v>3</v>
      </c>
      <c r="F794" s="27">
        <f>VLOOKUP(E794,[1]t_calendarioPolitica!A:C,3,FALSE)</f>
        <v>1</v>
      </c>
      <c r="G794" s="1">
        <v>1</v>
      </c>
      <c r="H794" s="1">
        <v>1</v>
      </c>
      <c r="I794" s="1">
        <f t="shared" si="64"/>
        <v>1</v>
      </c>
    </row>
    <row r="795" spans="1:9" x14ac:dyDescent="0.3">
      <c r="A795" s="26">
        <v>46085</v>
      </c>
      <c r="B795" s="27">
        <f t="shared" si="60"/>
        <v>2026</v>
      </c>
      <c r="C795" s="27">
        <f t="shared" si="61"/>
        <v>3</v>
      </c>
      <c r="D795" s="27">
        <f t="shared" si="62"/>
        <v>4</v>
      </c>
      <c r="E795" s="27">
        <f t="shared" si="63"/>
        <v>4</v>
      </c>
      <c r="F795" s="27">
        <f>VLOOKUP(E795,[1]t_calendarioPolitica!A:C,3,FALSE)</f>
        <v>1</v>
      </c>
      <c r="G795" s="1">
        <v>1</v>
      </c>
      <c r="H795" s="1">
        <v>1</v>
      </c>
      <c r="I795" s="1">
        <f t="shared" si="64"/>
        <v>1</v>
      </c>
    </row>
    <row r="796" spans="1:9" x14ac:dyDescent="0.3">
      <c r="A796" s="26">
        <v>46086</v>
      </c>
      <c r="B796" s="27">
        <f t="shared" si="60"/>
        <v>2026</v>
      </c>
      <c r="C796" s="27">
        <f t="shared" si="61"/>
        <v>3</v>
      </c>
      <c r="D796" s="27">
        <f t="shared" si="62"/>
        <v>5</v>
      </c>
      <c r="E796" s="27">
        <f t="shared" si="63"/>
        <v>5</v>
      </c>
      <c r="F796" s="27">
        <f>VLOOKUP(E796,[1]t_calendarioPolitica!A:C,3,FALSE)</f>
        <v>1</v>
      </c>
      <c r="G796" s="1">
        <v>1</v>
      </c>
      <c r="H796" s="1">
        <v>1</v>
      </c>
      <c r="I796" s="1">
        <f t="shared" si="64"/>
        <v>1</v>
      </c>
    </row>
    <row r="797" spans="1:9" x14ac:dyDescent="0.3">
      <c r="A797" s="26">
        <v>46087</v>
      </c>
      <c r="B797" s="27">
        <f t="shared" si="60"/>
        <v>2026</v>
      </c>
      <c r="C797" s="27">
        <f t="shared" si="61"/>
        <v>3</v>
      </c>
      <c r="D797" s="27">
        <f t="shared" si="62"/>
        <v>6</v>
      </c>
      <c r="E797" s="27">
        <f t="shared" si="63"/>
        <v>6</v>
      </c>
      <c r="F797" s="27">
        <f>VLOOKUP(E797,[1]t_calendarioPolitica!A:C,3,FALSE)</f>
        <v>1</v>
      </c>
      <c r="G797" s="1">
        <v>1</v>
      </c>
      <c r="H797" s="1">
        <v>1</v>
      </c>
      <c r="I797" s="1">
        <f t="shared" si="64"/>
        <v>1</v>
      </c>
    </row>
    <row r="798" spans="1:9" x14ac:dyDescent="0.3">
      <c r="A798" s="26">
        <v>46088</v>
      </c>
      <c r="B798" s="27">
        <f t="shared" si="60"/>
        <v>2026</v>
      </c>
      <c r="C798" s="27">
        <f t="shared" si="61"/>
        <v>3</v>
      </c>
      <c r="D798" s="27">
        <f t="shared" si="62"/>
        <v>7</v>
      </c>
      <c r="E798" s="27">
        <f t="shared" si="63"/>
        <v>7</v>
      </c>
      <c r="F798" s="27">
        <f>VLOOKUP(E798,[1]t_calendarioPolitica!A:C,3,FALSE)</f>
        <v>2</v>
      </c>
      <c r="G798" s="1">
        <v>1</v>
      </c>
      <c r="H798" s="1">
        <v>1</v>
      </c>
      <c r="I798" s="1">
        <f t="shared" si="64"/>
        <v>1</v>
      </c>
    </row>
    <row r="799" spans="1:9" x14ac:dyDescent="0.3">
      <c r="A799" s="26">
        <v>46089</v>
      </c>
      <c r="B799" s="27">
        <f t="shared" si="60"/>
        <v>2026</v>
      </c>
      <c r="C799" s="27">
        <f t="shared" si="61"/>
        <v>3</v>
      </c>
      <c r="D799" s="27">
        <f t="shared" si="62"/>
        <v>8</v>
      </c>
      <c r="E799" s="27">
        <f t="shared" si="63"/>
        <v>1</v>
      </c>
      <c r="F799" s="27">
        <f>VLOOKUP(E799,[1]t_calendarioPolitica!A:C,3,FALSE)</f>
        <v>0</v>
      </c>
      <c r="G799" s="1">
        <v>1</v>
      </c>
      <c r="H799" s="1">
        <v>1</v>
      </c>
      <c r="I799" s="1">
        <f t="shared" si="64"/>
        <v>0</v>
      </c>
    </row>
    <row r="800" spans="1:9" x14ac:dyDescent="0.3">
      <c r="A800" s="26">
        <v>46090</v>
      </c>
      <c r="B800" s="27">
        <f t="shared" si="60"/>
        <v>2026</v>
      </c>
      <c r="C800" s="27">
        <f t="shared" si="61"/>
        <v>3</v>
      </c>
      <c r="D800" s="27">
        <f t="shared" si="62"/>
        <v>9</v>
      </c>
      <c r="E800" s="27">
        <f t="shared" si="63"/>
        <v>2</v>
      </c>
      <c r="F800" s="27">
        <f>VLOOKUP(E800,[1]t_calendarioPolitica!A:C,3,FALSE)</f>
        <v>1</v>
      </c>
      <c r="G800" s="1">
        <v>1</v>
      </c>
      <c r="H800" s="1">
        <v>1</v>
      </c>
      <c r="I800" s="1">
        <f t="shared" si="64"/>
        <v>1</v>
      </c>
    </row>
    <row r="801" spans="1:9" x14ac:dyDescent="0.3">
      <c r="A801" s="26">
        <v>46091</v>
      </c>
      <c r="B801" s="27">
        <f t="shared" si="60"/>
        <v>2026</v>
      </c>
      <c r="C801" s="27">
        <f t="shared" si="61"/>
        <v>3</v>
      </c>
      <c r="D801" s="27">
        <f t="shared" si="62"/>
        <v>10</v>
      </c>
      <c r="E801" s="27">
        <f t="shared" si="63"/>
        <v>3</v>
      </c>
      <c r="F801" s="27">
        <f>VLOOKUP(E801,[1]t_calendarioPolitica!A:C,3,FALSE)</f>
        <v>1</v>
      </c>
      <c r="G801" s="1">
        <v>1</v>
      </c>
      <c r="H801" s="1">
        <v>1</v>
      </c>
      <c r="I801" s="1">
        <f t="shared" si="64"/>
        <v>1</v>
      </c>
    </row>
    <row r="802" spans="1:9" x14ac:dyDescent="0.3">
      <c r="A802" s="26">
        <v>46092</v>
      </c>
      <c r="B802" s="27">
        <f t="shared" si="60"/>
        <v>2026</v>
      </c>
      <c r="C802" s="27">
        <f t="shared" si="61"/>
        <v>3</v>
      </c>
      <c r="D802" s="27">
        <f t="shared" si="62"/>
        <v>11</v>
      </c>
      <c r="E802" s="27">
        <f t="shared" si="63"/>
        <v>4</v>
      </c>
      <c r="F802" s="27">
        <f>VLOOKUP(E802,[1]t_calendarioPolitica!A:C,3,FALSE)</f>
        <v>1</v>
      </c>
      <c r="G802" s="1">
        <v>1</v>
      </c>
      <c r="H802" s="1">
        <v>1</v>
      </c>
      <c r="I802" s="1">
        <f t="shared" si="64"/>
        <v>1</v>
      </c>
    </row>
    <row r="803" spans="1:9" x14ac:dyDescent="0.3">
      <c r="A803" s="26">
        <v>46093</v>
      </c>
      <c r="B803" s="27">
        <f t="shared" si="60"/>
        <v>2026</v>
      </c>
      <c r="C803" s="27">
        <f t="shared" si="61"/>
        <v>3</v>
      </c>
      <c r="D803" s="27">
        <f t="shared" si="62"/>
        <v>12</v>
      </c>
      <c r="E803" s="27">
        <f t="shared" si="63"/>
        <v>5</v>
      </c>
      <c r="F803" s="27">
        <f>VLOOKUP(E803,[1]t_calendarioPolitica!A:C,3,FALSE)</f>
        <v>1</v>
      </c>
      <c r="G803" s="1">
        <v>1</v>
      </c>
      <c r="H803" s="1">
        <v>1</v>
      </c>
      <c r="I803" s="1">
        <f t="shared" si="64"/>
        <v>1</v>
      </c>
    </row>
    <row r="804" spans="1:9" x14ac:dyDescent="0.3">
      <c r="A804" s="26">
        <v>46094</v>
      </c>
      <c r="B804" s="27">
        <f t="shared" si="60"/>
        <v>2026</v>
      </c>
      <c r="C804" s="27">
        <f t="shared" si="61"/>
        <v>3</v>
      </c>
      <c r="D804" s="27">
        <f t="shared" si="62"/>
        <v>13</v>
      </c>
      <c r="E804" s="27">
        <f t="shared" si="63"/>
        <v>6</v>
      </c>
      <c r="F804" s="27">
        <f>VLOOKUP(E804,[1]t_calendarioPolitica!A:C,3,FALSE)</f>
        <v>1</v>
      </c>
      <c r="G804" s="1">
        <v>1</v>
      </c>
      <c r="H804" s="1">
        <v>1</v>
      </c>
      <c r="I804" s="1">
        <f t="shared" si="64"/>
        <v>1</v>
      </c>
    </row>
    <row r="805" spans="1:9" x14ac:dyDescent="0.3">
      <c r="A805" s="26">
        <v>46095</v>
      </c>
      <c r="B805" s="27">
        <f t="shared" si="60"/>
        <v>2026</v>
      </c>
      <c r="C805" s="27">
        <f t="shared" si="61"/>
        <v>3</v>
      </c>
      <c r="D805" s="27">
        <f t="shared" si="62"/>
        <v>14</v>
      </c>
      <c r="E805" s="27">
        <f t="shared" si="63"/>
        <v>7</v>
      </c>
      <c r="F805" s="27">
        <f>VLOOKUP(E805,[1]t_calendarioPolitica!A:C,3,FALSE)</f>
        <v>2</v>
      </c>
      <c r="G805" s="1">
        <v>1</v>
      </c>
      <c r="H805" s="1">
        <v>1</v>
      </c>
      <c r="I805" s="1">
        <f t="shared" si="64"/>
        <v>1</v>
      </c>
    </row>
    <row r="806" spans="1:9" x14ac:dyDescent="0.3">
      <c r="A806" s="26">
        <v>46096</v>
      </c>
      <c r="B806" s="27">
        <f t="shared" si="60"/>
        <v>2026</v>
      </c>
      <c r="C806" s="27">
        <f t="shared" si="61"/>
        <v>3</v>
      </c>
      <c r="D806" s="27">
        <f t="shared" si="62"/>
        <v>15</v>
      </c>
      <c r="E806" s="27">
        <f t="shared" si="63"/>
        <v>1</v>
      </c>
      <c r="F806" s="27">
        <f>VLOOKUP(E806,[1]t_calendarioPolitica!A:C,3,FALSE)</f>
        <v>0</v>
      </c>
      <c r="G806" s="1">
        <v>1</v>
      </c>
      <c r="H806" s="1">
        <v>1</v>
      </c>
      <c r="I806" s="1">
        <f t="shared" si="64"/>
        <v>0</v>
      </c>
    </row>
    <row r="807" spans="1:9" x14ac:dyDescent="0.3">
      <c r="A807" s="26">
        <v>46097</v>
      </c>
      <c r="B807" s="27">
        <f t="shared" si="60"/>
        <v>2026</v>
      </c>
      <c r="C807" s="27">
        <f t="shared" si="61"/>
        <v>3</v>
      </c>
      <c r="D807" s="27">
        <f t="shared" si="62"/>
        <v>16</v>
      </c>
      <c r="E807" s="27">
        <f t="shared" si="63"/>
        <v>2</v>
      </c>
      <c r="F807" s="27">
        <f>VLOOKUP(E807,[1]t_calendarioPolitica!A:C,3,FALSE)</f>
        <v>1</v>
      </c>
      <c r="G807" s="1">
        <v>1</v>
      </c>
      <c r="H807" s="1">
        <v>1</v>
      </c>
      <c r="I807" s="1">
        <f t="shared" si="64"/>
        <v>1</v>
      </c>
    </row>
    <row r="808" spans="1:9" x14ac:dyDescent="0.3">
      <c r="A808" s="26">
        <v>46098</v>
      </c>
      <c r="B808" s="27">
        <f t="shared" si="60"/>
        <v>2026</v>
      </c>
      <c r="C808" s="27">
        <f t="shared" si="61"/>
        <v>3</v>
      </c>
      <c r="D808" s="27">
        <f t="shared" si="62"/>
        <v>17</v>
      </c>
      <c r="E808" s="27">
        <f t="shared" si="63"/>
        <v>3</v>
      </c>
      <c r="F808" s="27">
        <f>VLOOKUP(E808,[1]t_calendarioPolitica!A:C,3,FALSE)</f>
        <v>1</v>
      </c>
      <c r="G808" s="1">
        <v>1</v>
      </c>
      <c r="H808" s="1">
        <v>1</v>
      </c>
      <c r="I808" s="1">
        <f t="shared" si="64"/>
        <v>1</v>
      </c>
    </row>
    <row r="809" spans="1:9" x14ac:dyDescent="0.3">
      <c r="A809" s="26">
        <v>46099</v>
      </c>
      <c r="B809" s="27">
        <f t="shared" si="60"/>
        <v>2026</v>
      </c>
      <c r="C809" s="27">
        <f t="shared" si="61"/>
        <v>3</v>
      </c>
      <c r="D809" s="27">
        <f t="shared" si="62"/>
        <v>18</v>
      </c>
      <c r="E809" s="27">
        <f t="shared" si="63"/>
        <v>4</v>
      </c>
      <c r="F809" s="27">
        <f>VLOOKUP(E809,[1]t_calendarioPolitica!A:C,3,FALSE)</f>
        <v>1</v>
      </c>
      <c r="G809" s="1">
        <v>1</v>
      </c>
      <c r="H809" s="1">
        <v>1</v>
      </c>
      <c r="I809" s="1">
        <f t="shared" si="64"/>
        <v>1</v>
      </c>
    </row>
    <row r="810" spans="1:9" x14ac:dyDescent="0.3">
      <c r="A810" s="26">
        <v>46100</v>
      </c>
      <c r="B810" s="27">
        <f t="shared" si="60"/>
        <v>2026</v>
      </c>
      <c r="C810" s="27">
        <f t="shared" si="61"/>
        <v>3</v>
      </c>
      <c r="D810" s="27">
        <f t="shared" si="62"/>
        <v>19</v>
      </c>
      <c r="E810" s="27">
        <f t="shared" si="63"/>
        <v>5</v>
      </c>
      <c r="F810" s="27">
        <f>VLOOKUP(E810,[1]t_calendarioPolitica!A:C,3,FALSE)</f>
        <v>1</v>
      </c>
      <c r="G810" s="1">
        <v>1</v>
      </c>
      <c r="H810" s="1">
        <v>1</v>
      </c>
      <c r="I810" s="1">
        <f t="shared" si="64"/>
        <v>1</v>
      </c>
    </row>
    <row r="811" spans="1:9" x14ac:dyDescent="0.3">
      <c r="A811" s="26">
        <v>46101</v>
      </c>
      <c r="B811" s="27">
        <f t="shared" si="60"/>
        <v>2026</v>
      </c>
      <c r="C811" s="27">
        <f t="shared" si="61"/>
        <v>3</v>
      </c>
      <c r="D811" s="27">
        <f t="shared" si="62"/>
        <v>20</v>
      </c>
      <c r="E811" s="27">
        <f t="shared" si="63"/>
        <v>6</v>
      </c>
      <c r="F811" s="27">
        <f>VLOOKUP(E811,[1]t_calendarioPolitica!A:C,3,FALSE)</f>
        <v>1</v>
      </c>
      <c r="G811" s="1">
        <v>1</v>
      </c>
      <c r="H811" s="1">
        <v>1</v>
      </c>
      <c r="I811" s="1">
        <f t="shared" si="64"/>
        <v>1</v>
      </c>
    </row>
    <row r="812" spans="1:9" x14ac:dyDescent="0.3">
      <c r="A812" s="26">
        <v>46102</v>
      </c>
      <c r="B812" s="27">
        <f t="shared" si="60"/>
        <v>2026</v>
      </c>
      <c r="C812" s="27">
        <f t="shared" si="61"/>
        <v>3</v>
      </c>
      <c r="D812" s="27">
        <f t="shared" si="62"/>
        <v>21</v>
      </c>
      <c r="E812" s="27">
        <f t="shared" si="63"/>
        <v>7</v>
      </c>
      <c r="F812" s="27">
        <f>VLOOKUP(E812,[1]t_calendarioPolitica!A:C,3,FALSE)</f>
        <v>2</v>
      </c>
      <c r="G812" s="1">
        <v>1</v>
      </c>
      <c r="H812" s="1">
        <v>1</v>
      </c>
      <c r="I812" s="1">
        <f t="shared" si="64"/>
        <v>1</v>
      </c>
    </row>
    <row r="813" spans="1:9" x14ac:dyDescent="0.3">
      <c r="A813" s="26">
        <v>46103</v>
      </c>
      <c r="B813" s="27">
        <f t="shared" si="60"/>
        <v>2026</v>
      </c>
      <c r="C813" s="27">
        <f t="shared" si="61"/>
        <v>3</v>
      </c>
      <c r="D813" s="27">
        <f t="shared" si="62"/>
        <v>22</v>
      </c>
      <c r="E813" s="27">
        <f t="shared" si="63"/>
        <v>1</v>
      </c>
      <c r="F813" s="27">
        <f>VLOOKUP(E813,[1]t_calendarioPolitica!A:C,3,FALSE)</f>
        <v>0</v>
      </c>
      <c r="G813" s="1">
        <v>1</v>
      </c>
      <c r="H813" s="1">
        <v>1</v>
      </c>
      <c r="I813" s="1">
        <f t="shared" si="64"/>
        <v>0</v>
      </c>
    </row>
    <row r="814" spans="1:9" x14ac:dyDescent="0.3">
      <c r="A814" s="26">
        <v>46104</v>
      </c>
      <c r="B814" s="27">
        <f t="shared" si="60"/>
        <v>2026</v>
      </c>
      <c r="C814" s="27">
        <f t="shared" si="61"/>
        <v>3</v>
      </c>
      <c r="D814" s="27">
        <f t="shared" si="62"/>
        <v>23</v>
      </c>
      <c r="E814" s="27">
        <f t="shared" si="63"/>
        <v>2</v>
      </c>
      <c r="F814" s="27">
        <f>VLOOKUP(E814,[1]t_calendarioPolitica!A:C,3,FALSE)</f>
        <v>1</v>
      </c>
      <c r="G814" s="1">
        <v>1</v>
      </c>
      <c r="H814" s="1">
        <v>1</v>
      </c>
      <c r="I814" s="1">
        <f t="shared" si="64"/>
        <v>1</v>
      </c>
    </row>
    <row r="815" spans="1:9" x14ac:dyDescent="0.3">
      <c r="A815" s="26">
        <v>46105</v>
      </c>
      <c r="B815" s="27">
        <f t="shared" si="60"/>
        <v>2026</v>
      </c>
      <c r="C815" s="27">
        <f t="shared" si="61"/>
        <v>3</v>
      </c>
      <c r="D815" s="27">
        <f t="shared" si="62"/>
        <v>24</v>
      </c>
      <c r="E815" s="27">
        <f t="shared" si="63"/>
        <v>3</v>
      </c>
      <c r="F815" s="27">
        <f>VLOOKUP(E815,[1]t_calendarioPolitica!A:C,3,FALSE)</f>
        <v>1</v>
      </c>
      <c r="G815" s="1">
        <v>1</v>
      </c>
      <c r="H815" s="1">
        <v>1</v>
      </c>
      <c r="I815" s="1">
        <f t="shared" si="64"/>
        <v>1</v>
      </c>
    </row>
    <row r="816" spans="1:9" x14ac:dyDescent="0.3">
      <c r="A816" s="26">
        <v>46106</v>
      </c>
      <c r="B816" s="27">
        <f t="shared" si="60"/>
        <v>2026</v>
      </c>
      <c r="C816" s="27">
        <f t="shared" si="61"/>
        <v>3</v>
      </c>
      <c r="D816" s="27">
        <f t="shared" si="62"/>
        <v>25</v>
      </c>
      <c r="E816" s="27">
        <f t="shared" si="63"/>
        <v>4</v>
      </c>
      <c r="F816" s="27">
        <f>VLOOKUP(E816,[1]t_calendarioPolitica!A:C,3,FALSE)</f>
        <v>1</v>
      </c>
      <c r="G816" s="1">
        <v>1</v>
      </c>
      <c r="H816" s="1">
        <v>1</v>
      </c>
      <c r="I816" s="1">
        <f t="shared" si="64"/>
        <v>1</v>
      </c>
    </row>
    <row r="817" spans="1:9" x14ac:dyDescent="0.3">
      <c r="A817" s="26">
        <v>46107</v>
      </c>
      <c r="B817" s="27">
        <f t="shared" si="60"/>
        <v>2026</v>
      </c>
      <c r="C817" s="27">
        <f t="shared" si="61"/>
        <v>3</v>
      </c>
      <c r="D817" s="27">
        <f t="shared" si="62"/>
        <v>26</v>
      </c>
      <c r="E817" s="27">
        <f t="shared" si="63"/>
        <v>5</v>
      </c>
      <c r="F817" s="27">
        <f>VLOOKUP(E817,[1]t_calendarioPolitica!A:C,3,FALSE)</f>
        <v>1</v>
      </c>
      <c r="G817" s="1">
        <v>1</v>
      </c>
      <c r="H817" s="1">
        <v>1</v>
      </c>
      <c r="I817" s="1">
        <f t="shared" si="64"/>
        <v>1</v>
      </c>
    </row>
    <row r="818" spans="1:9" x14ac:dyDescent="0.3">
      <c r="A818" s="26">
        <v>46108</v>
      </c>
      <c r="B818" s="27">
        <f t="shared" si="60"/>
        <v>2026</v>
      </c>
      <c r="C818" s="27">
        <f t="shared" si="61"/>
        <v>3</v>
      </c>
      <c r="D818" s="27">
        <f t="shared" si="62"/>
        <v>27</v>
      </c>
      <c r="E818" s="27">
        <f t="shared" si="63"/>
        <v>6</v>
      </c>
      <c r="F818" s="27">
        <f>VLOOKUP(E818,[1]t_calendarioPolitica!A:C,3,FALSE)</f>
        <v>1</v>
      </c>
      <c r="G818" s="1">
        <v>1</v>
      </c>
      <c r="H818" s="1">
        <v>1</v>
      </c>
      <c r="I818" s="1">
        <f t="shared" si="64"/>
        <v>1</v>
      </c>
    </row>
    <row r="819" spans="1:9" x14ac:dyDescent="0.3">
      <c r="A819" s="26">
        <v>46109</v>
      </c>
      <c r="B819" s="27">
        <f t="shared" si="60"/>
        <v>2026</v>
      </c>
      <c r="C819" s="27">
        <f t="shared" si="61"/>
        <v>3</v>
      </c>
      <c r="D819" s="27">
        <f t="shared" si="62"/>
        <v>28</v>
      </c>
      <c r="E819" s="27">
        <f t="shared" si="63"/>
        <v>7</v>
      </c>
      <c r="F819" s="27">
        <f>VLOOKUP(E819,[1]t_calendarioPolitica!A:C,3,FALSE)</f>
        <v>2</v>
      </c>
      <c r="G819" s="1">
        <v>1</v>
      </c>
      <c r="H819" s="1">
        <v>1</v>
      </c>
      <c r="I819" s="1">
        <f t="shared" si="64"/>
        <v>1</v>
      </c>
    </row>
    <row r="820" spans="1:9" x14ac:dyDescent="0.3">
      <c r="A820" s="26">
        <v>46110</v>
      </c>
      <c r="B820" s="27">
        <f t="shared" si="60"/>
        <v>2026</v>
      </c>
      <c r="C820" s="27">
        <f t="shared" si="61"/>
        <v>3</v>
      </c>
      <c r="D820" s="27">
        <f t="shared" si="62"/>
        <v>29</v>
      </c>
      <c r="E820" s="27">
        <f t="shared" si="63"/>
        <v>1</v>
      </c>
      <c r="F820" s="27">
        <f>VLOOKUP(E820,[1]t_calendarioPolitica!A:C,3,FALSE)</f>
        <v>0</v>
      </c>
      <c r="G820" s="1">
        <v>1</v>
      </c>
      <c r="H820" s="1">
        <v>1</v>
      </c>
      <c r="I820" s="1">
        <f t="shared" si="64"/>
        <v>0</v>
      </c>
    </row>
    <row r="821" spans="1:9" x14ac:dyDescent="0.3">
      <c r="A821" s="26">
        <v>46111</v>
      </c>
      <c r="B821" s="27">
        <f t="shared" si="60"/>
        <v>2026</v>
      </c>
      <c r="C821" s="27">
        <f t="shared" si="61"/>
        <v>3</v>
      </c>
      <c r="D821" s="27">
        <f t="shared" si="62"/>
        <v>30</v>
      </c>
      <c r="E821" s="27">
        <f t="shared" si="63"/>
        <v>2</v>
      </c>
      <c r="F821" s="27">
        <f>VLOOKUP(E821,[1]t_calendarioPolitica!A:C,3,FALSE)</f>
        <v>1</v>
      </c>
      <c r="G821" s="1">
        <v>1</v>
      </c>
      <c r="H821" s="1">
        <v>1</v>
      </c>
      <c r="I821" s="1">
        <f t="shared" si="64"/>
        <v>1</v>
      </c>
    </row>
    <row r="822" spans="1:9" x14ac:dyDescent="0.3">
      <c r="A822" s="26">
        <v>46112</v>
      </c>
      <c r="B822" s="27">
        <f t="shared" si="60"/>
        <v>2026</v>
      </c>
      <c r="C822" s="27">
        <f t="shared" si="61"/>
        <v>3</v>
      </c>
      <c r="D822" s="27">
        <f t="shared" si="62"/>
        <v>31</v>
      </c>
      <c r="E822" s="27">
        <f t="shared" si="63"/>
        <v>3</v>
      </c>
      <c r="F822" s="27">
        <f>VLOOKUP(E822,[1]t_calendarioPolitica!A:C,3,FALSE)</f>
        <v>1</v>
      </c>
      <c r="G822" s="1">
        <v>1</v>
      </c>
      <c r="H822" s="1">
        <v>1</v>
      </c>
      <c r="I822" s="1">
        <f t="shared" si="64"/>
        <v>1</v>
      </c>
    </row>
    <row r="823" spans="1:9" x14ac:dyDescent="0.3">
      <c r="A823" s="26">
        <v>46113</v>
      </c>
      <c r="B823" s="27">
        <f t="shared" si="60"/>
        <v>2026</v>
      </c>
      <c r="C823" s="27">
        <f t="shared" si="61"/>
        <v>4</v>
      </c>
      <c r="D823" s="27">
        <f t="shared" si="62"/>
        <v>1</v>
      </c>
      <c r="E823" s="27">
        <f t="shared" si="63"/>
        <v>4</v>
      </c>
      <c r="F823" s="27">
        <f>VLOOKUP(E823,[1]t_calendarioPolitica!A:C,3,FALSE)</f>
        <v>1</v>
      </c>
      <c r="G823" s="1">
        <v>1</v>
      </c>
      <c r="H823" s="1">
        <v>1</v>
      </c>
      <c r="I823" s="1">
        <f t="shared" si="64"/>
        <v>1</v>
      </c>
    </row>
    <row r="824" spans="1:9" x14ac:dyDescent="0.3">
      <c r="A824" s="26">
        <v>46114</v>
      </c>
      <c r="B824" s="27">
        <f t="shared" si="60"/>
        <v>2026</v>
      </c>
      <c r="C824" s="27">
        <f t="shared" si="61"/>
        <v>4</v>
      </c>
      <c r="D824" s="27">
        <f t="shared" si="62"/>
        <v>2</v>
      </c>
      <c r="E824" s="27">
        <f t="shared" si="63"/>
        <v>5</v>
      </c>
      <c r="F824" s="27">
        <f>VLOOKUP(E824,[1]t_calendarioPolitica!A:C,3,FALSE)</f>
        <v>1</v>
      </c>
      <c r="G824" s="1">
        <v>1</v>
      </c>
      <c r="H824" s="1">
        <v>0</v>
      </c>
      <c r="I824" s="1">
        <f t="shared" si="64"/>
        <v>0</v>
      </c>
    </row>
    <row r="825" spans="1:9" x14ac:dyDescent="0.3">
      <c r="A825" s="26">
        <v>46115</v>
      </c>
      <c r="B825" s="27">
        <f t="shared" si="60"/>
        <v>2026</v>
      </c>
      <c r="C825" s="27">
        <f t="shared" si="61"/>
        <v>4</v>
      </c>
      <c r="D825" s="27">
        <f t="shared" si="62"/>
        <v>3</v>
      </c>
      <c r="E825" s="27">
        <f t="shared" si="63"/>
        <v>6</v>
      </c>
      <c r="F825" s="27">
        <f>VLOOKUP(E825,[1]t_calendarioPolitica!A:C,3,FALSE)</f>
        <v>1</v>
      </c>
      <c r="G825" s="1">
        <v>1</v>
      </c>
      <c r="H825" s="1">
        <v>0</v>
      </c>
      <c r="I825" s="1">
        <f t="shared" si="64"/>
        <v>0</v>
      </c>
    </row>
    <row r="826" spans="1:9" x14ac:dyDescent="0.3">
      <c r="A826" s="26">
        <v>46116</v>
      </c>
      <c r="B826" s="27">
        <f t="shared" si="60"/>
        <v>2026</v>
      </c>
      <c r="C826" s="27">
        <f t="shared" si="61"/>
        <v>4</v>
      </c>
      <c r="D826" s="27">
        <f t="shared" si="62"/>
        <v>4</v>
      </c>
      <c r="E826" s="27">
        <f t="shared" si="63"/>
        <v>7</v>
      </c>
      <c r="F826" s="27">
        <f>VLOOKUP(E826,[1]t_calendarioPolitica!A:C,3,FALSE)</f>
        <v>2</v>
      </c>
      <c r="G826" s="1">
        <v>1</v>
      </c>
      <c r="H826" s="1">
        <v>0</v>
      </c>
      <c r="I826" s="1">
        <f t="shared" si="64"/>
        <v>0</v>
      </c>
    </row>
    <row r="827" spans="1:9" x14ac:dyDescent="0.3">
      <c r="A827" s="26">
        <v>46117</v>
      </c>
      <c r="B827" s="27">
        <f t="shared" si="60"/>
        <v>2026</v>
      </c>
      <c r="C827" s="27">
        <f t="shared" si="61"/>
        <v>4</v>
      </c>
      <c r="D827" s="27">
        <f t="shared" si="62"/>
        <v>5</v>
      </c>
      <c r="E827" s="27">
        <f t="shared" si="63"/>
        <v>1</v>
      </c>
      <c r="F827" s="27">
        <f>VLOOKUP(E827,[1]t_calendarioPolitica!A:C,3,FALSE)</f>
        <v>0</v>
      </c>
      <c r="G827" s="1">
        <v>1</v>
      </c>
      <c r="H827" s="1">
        <v>0</v>
      </c>
      <c r="I827" s="1">
        <f t="shared" si="64"/>
        <v>0</v>
      </c>
    </row>
    <row r="828" spans="1:9" x14ac:dyDescent="0.3">
      <c r="A828" s="26">
        <v>46118</v>
      </c>
      <c r="B828" s="27">
        <f t="shared" si="60"/>
        <v>2026</v>
      </c>
      <c r="C828" s="27">
        <f t="shared" si="61"/>
        <v>4</v>
      </c>
      <c r="D828" s="27">
        <f t="shared" si="62"/>
        <v>6</v>
      </c>
      <c r="E828" s="27">
        <f t="shared" si="63"/>
        <v>2</v>
      </c>
      <c r="F828" s="27">
        <f>VLOOKUP(E828,[1]t_calendarioPolitica!A:C,3,FALSE)</f>
        <v>1</v>
      </c>
      <c r="G828" s="1">
        <v>1</v>
      </c>
      <c r="H828" s="1">
        <v>1</v>
      </c>
      <c r="I828" s="1">
        <f t="shared" si="64"/>
        <v>1</v>
      </c>
    </row>
    <row r="829" spans="1:9" x14ac:dyDescent="0.3">
      <c r="A829" s="26">
        <v>46119</v>
      </c>
      <c r="B829" s="27">
        <f t="shared" si="60"/>
        <v>2026</v>
      </c>
      <c r="C829" s="27">
        <f t="shared" si="61"/>
        <v>4</v>
      </c>
      <c r="D829" s="27">
        <f t="shared" si="62"/>
        <v>7</v>
      </c>
      <c r="E829" s="27">
        <f t="shared" si="63"/>
        <v>3</v>
      </c>
      <c r="F829" s="27">
        <f>VLOOKUP(E829,[1]t_calendarioPolitica!A:C,3,FALSE)</f>
        <v>1</v>
      </c>
      <c r="G829" s="1">
        <v>1</v>
      </c>
      <c r="H829" s="1">
        <v>1</v>
      </c>
      <c r="I829" s="1">
        <f t="shared" si="64"/>
        <v>1</v>
      </c>
    </row>
    <row r="830" spans="1:9" x14ac:dyDescent="0.3">
      <c r="A830" s="26">
        <v>46120</v>
      </c>
      <c r="B830" s="27">
        <f t="shared" si="60"/>
        <v>2026</v>
      </c>
      <c r="C830" s="27">
        <f t="shared" si="61"/>
        <v>4</v>
      </c>
      <c r="D830" s="27">
        <f t="shared" si="62"/>
        <v>8</v>
      </c>
      <c r="E830" s="27">
        <f t="shared" si="63"/>
        <v>4</v>
      </c>
      <c r="F830" s="27">
        <f>VLOOKUP(E830,[1]t_calendarioPolitica!A:C,3,FALSE)</f>
        <v>1</v>
      </c>
      <c r="G830" s="1">
        <v>1</v>
      </c>
      <c r="H830" s="1">
        <v>1</v>
      </c>
      <c r="I830" s="1">
        <f t="shared" si="64"/>
        <v>1</v>
      </c>
    </row>
    <row r="831" spans="1:9" x14ac:dyDescent="0.3">
      <c r="A831" s="26">
        <v>46121</v>
      </c>
      <c r="B831" s="27">
        <f t="shared" si="60"/>
        <v>2026</v>
      </c>
      <c r="C831" s="27">
        <f t="shared" si="61"/>
        <v>4</v>
      </c>
      <c r="D831" s="27">
        <f t="shared" si="62"/>
        <v>9</v>
      </c>
      <c r="E831" s="27">
        <f t="shared" si="63"/>
        <v>5</v>
      </c>
      <c r="F831" s="27">
        <f>VLOOKUP(E831,[1]t_calendarioPolitica!A:C,3,FALSE)</f>
        <v>1</v>
      </c>
      <c r="G831" s="1">
        <v>1</v>
      </c>
      <c r="H831" s="1">
        <v>1</v>
      </c>
      <c r="I831" s="1">
        <f t="shared" si="64"/>
        <v>1</v>
      </c>
    </row>
    <row r="832" spans="1:9" x14ac:dyDescent="0.3">
      <c r="A832" s="26">
        <v>46122</v>
      </c>
      <c r="B832" s="27">
        <f t="shared" si="60"/>
        <v>2026</v>
      </c>
      <c r="C832" s="27">
        <f t="shared" si="61"/>
        <v>4</v>
      </c>
      <c r="D832" s="27">
        <f t="shared" si="62"/>
        <v>10</v>
      </c>
      <c r="E832" s="27">
        <f t="shared" si="63"/>
        <v>6</v>
      </c>
      <c r="F832" s="27">
        <f>VLOOKUP(E832,[1]t_calendarioPolitica!A:C,3,FALSE)</f>
        <v>1</v>
      </c>
      <c r="G832" s="1">
        <v>1</v>
      </c>
      <c r="H832" s="1">
        <v>1</v>
      </c>
      <c r="I832" s="1">
        <f t="shared" si="64"/>
        <v>1</v>
      </c>
    </row>
    <row r="833" spans="1:9" x14ac:dyDescent="0.3">
      <c r="A833" s="26">
        <v>46123</v>
      </c>
      <c r="B833" s="27">
        <f t="shared" si="60"/>
        <v>2026</v>
      </c>
      <c r="C833" s="27">
        <f t="shared" si="61"/>
        <v>4</v>
      </c>
      <c r="D833" s="27">
        <f t="shared" si="62"/>
        <v>11</v>
      </c>
      <c r="E833" s="27">
        <f t="shared" si="63"/>
        <v>7</v>
      </c>
      <c r="F833" s="27">
        <f>VLOOKUP(E833,[1]t_calendarioPolitica!A:C,3,FALSE)</f>
        <v>2</v>
      </c>
      <c r="G833" s="1">
        <v>1</v>
      </c>
      <c r="H833" s="1">
        <v>1</v>
      </c>
      <c r="I833" s="1">
        <f t="shared" si="64"/>
        <v>1</v>
      </c>
    </row>
    <row r="834" spans="1:9" x14ac:dyDescent="0.3">
      <c r="A834" s="26">
        <v>46124</v>
      </c>
      <c r="B834" s="27">
        <f t="shared" si="60"/>
        <v>2026</v>
      </c>
      <c r="C834" s="27">
        <f t="shared" si="61"/>
        <v>4</v>
      </c>
      <c r="D834" s="27">
        <f t="shared" si="62"/>
        <v>12</v>
      </c>
      <c r="E834" s="27">
        <f t="shared" si="63"/>
        <v>1</v>
      </c>
      <c r="F834" s="27">
        <f>VLOOKUP(E834,[1]t_calendarioPolitica!A:C,3,FALSE)</f>
        <v>0</v>
      </c>
      <c r="G834" s="1">
        <v>1</v>
      </c>
      <c r="H834" s="1">
        <v>1</v>
      </c>
      <c r="I834" s="1">
        <f t="shared" si="64"/>
        <v>0</v>
      </c>
    </row>
    <row r="835" spans="1:9" x14ac:dyDescent="0.3">
      <c r="A835" s="26">
        <v>46125</v>
      </c>
      <c r="B835" s="27">
        <f t="shared" ref="B835:B898" si="65">YEAR(A835)</f>
        <v>2026</v>
      </c>
      <c r="C835" s="27">
        <f t="shared" ref="C835:C898" si="66">MONTH(A835)</f>
        <v>4</v>
      </c>
      <c r="D835" s="27">
        <f t="shared" ref="D835:D898" si="67">DAY(A835)</f>
        <v>13</v>
      </c>
      <c r="E835" s="27">
        <f t="shared" ref="E835:E898" si="68">WEEKDAY(A835)</f>
        <v>2</v>
      </c>
      <c r="F835" s="27">
        <f>VLOOKUP(E835,[1]t_calendarioPolitica!A:C,3,FALSE)</f>
        <v>1</v>
      </c>
      <c r="G835" s="1">
        <v>1</v>
      </c>
      <c r="H835" s="1">
        <v>1</v>
      </c>
      <c r="I835" s="1">
        <f t="shared" ref="I835:I898" si="69">IF(AND(F835&lt;&gt;0, H835&lt;&gt;0,G835&lt;&gt;0), 1, 0)</f>
        <v>1</v>
      </c>
    </row>
    <row r="836" spans="1:9" x14ac:dyDescent="0.3">
      <c r="A836" s="26">
        <v>46126</v>
      </c>
      <c r="B836" s="27">
        <f t="shared" si="65"/>
        <v>2026</v>
      </c>
      <c r="C836" s="27">
        <f t="shared" si="66"/>
        <v>4</v>
      </c>
      <c r="D836" s="27">
        <f t="shared" si="67"/>
        <v>14</v>
      </c>
      <c r="E836" s="27">
        <f t="shared" si="68"/>
        <v>3</v>
      </c>
      <c r="F836" s="27">
        <f>VLOOKUP(E836,[1]t_calendarioPolitica!A:C,3,FALSE)</f>
        <v>1</v>
      </c>
      <c r="G836" s="1">
        <v>1</v>
      </c>
      <c r="H836" s="1">
        <v>1</v>
      </c>
      <c r="I836" s="1">
        <f t="shared" si="69"/>
        <v>1</v>
      </c>
    </row>
    <row r="837" spans="1:9" x14ac:dyDescent="0.3">
      <c r="A837" s="26">
        <v>46127</v>
      </c>
      <c r="B837" s="27">
        <f t="shared" si="65"/>
        <v>2026</v>
      </c>
      <c r="C837" s="27">
        <f t="shared" si="66"/>
        <v>4</v>
      </c>
      <c r="D837" s="27">
        <f t="shared" si="67"/>
        <v>15</v>
      </c>
      <c r="E837" s="27">
        <f t="shared" si="68"/>
        <v>4</v>
      </c>
      <c r="F837" s="27">
        <f>VLOOKUP(E837,[1]t_calendarioPolitica!A:C,3,FALSE)</f>
        <v>1</v>
      </c>
      <c r="G837" s="1">
        <v>1</v>
      </c>
      <c r="H837" s="1">
        <v>1</v>
      </c>
      <c r="I837" s="1">
        <f t="shared" si="69"/>
        <v>1</v>
      </c>
    </row>
    <row r="838" spans="1:9" x14ac:dyDescent="0.3">
      <c r="A838" s="26">
        <v>46128</v>
      </c>
      <c r="B838" s="27">
        <f t="shared" si="65"/>
        <v>2026</v>
      </c>
      <c r="C838" s="27">
        <f t="shared" si="66"/>
        <v>4</v>
      </c>
      <c r="D838" s="27">
        <f t="shared" si="67"/>
        <v>16</v>
      </c>
      <c r="E838" s="27">
        <f t="shared" si="68"/>
        <v>5</v>
      </c>
      <c r="F838" s="27">
        <f>VLOOKUP(E838,[1]t_calendarioPolitica!A:C,3,FALSE)</f>
        <v>1</v>
      </c>
      <c r="G838" s="1">
        <v>1</v>
      </c>
      <c r="H838" s="1">
        <v>1</v>
      </c>
      <c r="I838" s="1">
        <f t="shared" si="69"/>
        <v>1</v>
      </c>
    </row>
    <row r="839" spans="1:9" x14ac:dyDescent="0.3">
      <c r="A839" s="26">
        <v>46129</v>
      </c>
      <c r="B839" s="27">
        <f t="shared" si="65"/>
        <v>2026</v>
      </c>
      <c r="C839" s="27">
        <f t="shared" si="66"/>
        <v>4</v>
      </c>
      <c r="D839" s="27">
        <f t="shared" si="67"/>
        <v>17</v>
      </c>
      <c r="E839" s="27">
        <f t="shared" si="68"/>
        <v>6</v>
      </c>
      <c r="F839" s="27">
        <f>VLOOKUP(E839,[1]t_calendarioPolitica!A:C,3,FALSE)</f>
        <v>1</v>
      </c>
      <c r="G839" s="1">
        <v>1</v>
      </c>
      <c r="H839" s="1">
        <v>1</v>
      </c>
      <c r="I839" s="1">
        <f t="shared" si="69"/>
        <v>1</v>
      </c>
    </row>
    <row r="840" spans="1:9" x14ac:dyDescent="0.3">
      <c r="A840" s="26">
        <v>46130</v>
      </c>
      <c r="B840" s="27">
        <f t="shared" si="65"/>
        <v>2026</v>
      </c>
      <c r="C840" s="27">
        <f t="shared" si="66"/>
        <v>4</v>
      </c>
      <c r="D840" s="27">
        <f t="shared" si="67"/>
        <v>18</v>
      </c>
      <c r="E840" s="27">
        <f t="shared" si="68"/>
        <v>7</v>
      </c>
      <c r="F840" s="27">
        <f>VLOOKUP(E840,[1]t_calendarioPolitica!A:C,3,FALSE)</f>
        <v>2</v>
      </c>
      <c r="G840" s="1">
        <v>1</v>
      </c>
      <c r="H840" s="1">
        <v>1</v>
      </c>
      <c r="I840" s="1">
        <f t="shared" si="69"/>
        <v>1</v>
      </c>
    </row>
    <row r="841" spans="1:9" x14ac:dyDescent="0.3">
      <c r="A841" s="26">
        <v>46131</v>
      </c>
      <c r="B841" s="27">
        <f t="shared" si="65"/>
        <v>2026</v>
      </c>
      <c r="C841" s="27">
        <f t="shared" si="66"/>
        <v>4</v>
      </c>
      <c r="D841" s="27">
        <f t="shared" si="67"/>
        <v>19</v>
      </c>
      <c r="E841" s="27">
        <f t="shared" si="68"/>
        <v>1</v>
      </c>
      <c r="F841" s="27">
        <f>VLOOKUP(E841,[1]t_calendarioPolitica!A:C,3,FALSE)</f>
        <v>0</v>
      </c>
      <c r="G841" s="1">
        <v>1</v>
      </c>
      <c r="H841" s="1">
        <v>1</v>
      </c>
      <c r="I841" s="1">
        <f t="shared" si="69"/>
        <v>0</v>
      </c>
    </row>
    <row r="842" spans="1:9" x14ac:dyDescent="0.3">
      <c r="A842" s="26">
        <v>46132</v>
      </c>
      <c r="B842" s="27">
        <f t="shared" si="65"/>
        <v>2026</v>
      </c>
      <c r="C842" s="27">
        <f t="shared" si="66"/>
        <v>4</v>
      </c>
      <c r="D842" s="27">
        <f t="shared" si="67"/>
        <v>20</v>
      </c>
      <c r="E842" s="27">
        <f t="shared" si="68"/>
        <v>2</v>
      </c>
      <c r="F842" s="27">
        <f>VLOOKUP(E842,[1]t_calendarioPolitica!A:C,3,FALSE)</f>
        <v>1</v>
      </c>
      <c r="G842" s="1">
        <v>1</v>
      </c>
      <c r="H842" s="1">
        <v>1</v>
      </c>
      <c r="I842" s="1">
        <f t="shared" si="69"/>
        <v>1</v>
      </c>
    </row>
    <row r="843" spans="1:9" x14ac:dyDescent="0.3">
      <c r="A843" s="26">
        <v>46133</v>
      </c>
      <c r="B843" s="27">
        <f t="shared" si="65"/>
        <v>2026</v>
      </c>
      <c r="C843" s="27">
        <f t="shared" si="66"/>
        <v>4</v>
      </c>
      <c r="D843" s="27">
        <f t="shared" si="67"/>
        <v>21</v>
      </c>
      <c r="E843" s="27">
        <f t="shared" si="68"/>
        <v>3</v>
      </c>
      <c r="F843" s="27">
        <f>VLOOKUP(E843,[1]t_calendarioPolitica!A:C,3,FALSE)</f>
        <v>1</v>
      </c>
      <c r="G843" s="1">
        <v>1</v>
      </c>
      <c r="H843" s="1">
        <v>1</v>
      </c>
      <c r="I843" s="1">
        <f t="shared" si="69"/>
        <v>1</v>
      </c>
    </row>
    <row r="844" spans="1:9" x14ac:dyDescent="0.3">
      <c r="A844" s="26">
        <v>46134</v>
      </c>
      <c r="B844" s="27">
        <f t="shared" si="65"/>
        <v>2026</v>
      </c>
      <c r="C844" s="27">
        <f t="shared" si="66"/>
        <v>4</v>
      </c>
      <c r="D844" s="27">
        <f t="shared" si="67"/>
        <v>22</v>
      </c>
      <c r="E844" s="27">
        <f t="shared" si="68"/>
        <v>4</v>
      </c>
      <c r="F844" s="27">
        <f>VLOOKUP(E844,[1]t_calendarioPolitica!A:C,3,FALSE)</f>
        <v>1</v>
      </c>
      <c r="G844" s="1">
        <v>1</v>
      </c>
      <c r="H844" s="1">
        <v>1</v>
      </c>
      <c r="I844" s="1">
        <f t="shared" si="69"/>
        <v>1</v>
      </c>
    </row>
    <row r="845" spans="1:9" x14ac:dyDescent="0.3">
      <c r="A845" s="26">
        <v>46135</v>
      </c>
      <c r="B845" s="27">
        <f t="shared" si="65"/>
        <v>2026</v>
      </c>
      <c r="C845" s="27">
        <f t="shared" si="66"/>
        <v>4</v>
      </c>
      <c r="D845" s="27">
        <f t="shared" si="67"/>
        <v>23</v>
      </c>
      <c r="E845" s="27">
        <f t="shared" si="68"/>
        <v>5</v>
      </c>
      <c r="F845" s="27">
        <f>VLOOKUP(E845,[1]t_calendarioPolitica!A:C,3,FALSE)</f>
        <v>1</v>
      </c>
      <c r="G845" s="1">
        <v>1</v>
      </c>
      <c r="H845" s="1">
        <v>1</v>
      </c>
      <c r="I845" s="1">
        <f t="shared" si="69"/>
        <v>1</v>
      </c>
    </row>
    <row r="846" spans="1:9" x14ac:dyDescent="0.3">
      <c r="A846" s="26">
        <v>46136</v>
      </c>
      <c r="B846" s="27">
        <f t="shared" si="65"/>
        <v>2026</v>
      </c>
      <c r="C846" s="27">
        <f t="shared" si="66"/>
        <v>4</v>
      </c>
      <c r="D846" s="27">
        <f t="shared" si="67"/>
        <v>24</v>
      </c>
      <c r="E846" s="27">
        <f t="shared" si="68"/>
        <v>6</v>
      </c>
      <c r="F846" s="27">
        <f>VLOOKUP(E846,[1]t_calendarioPolitica!A:C,3,FALSE)</f>
        <v>1</v>
      </c>
      <c r="G846" s="1">
        <v>1</v>
      </c>
      <c r="H846" s="1">
        <v>1</v>
      </c>
      <c r="I846" s="1">
        <f t="shared" si="69"/>
        <v>1</v>
      </c>
    </row>
    <row r="847" spans="1:9" x14ac:dyDescent="0.3">
      <c r="A847" s="26">
        <v>46137</v>
      </c>
      <c r="B847" s="27">
        <f t="shared" si="65"/>
        <v>2026</v>
      </c>
      <c r="C847" s="27">
        <f t="shared" si="66"/>
        <v>4</v>
      </c>
      <c r="D847" s="27">
        <f t="shared" si="67"/>
        <v>25</v>
      </c>
      <c r="E847" s="27">
        <f t="shared" si="68"/>
        <v>7</v>
      </c>
      <c r="F847" s="27">
        <f>VLOOKUP(E847,[1]t_calendarioPolitica!A:C,3,FALSE)</f>
        <v>2</v>
      </c>
      <c r="G847" s="1">
        <v>1</v>
      </c>
      <c r="H847" s="1">
        <v>1</v>
      </c>
      <c r="I847" s="1">
        <f t="shared" si="69"/>
        <v>1</v>
      </c>
    </row>
    <row r="848" spans="1:9" x14ac:dyDescent="0.3">
      <c r="A848" s="26">
        <v>46138</v>
      </c>
      <c r="B848" s="27">
        <f t="shared" si="65"/>
        <v>2026</v>
      </c>
      <c r="C848" s="27">
        <f t="shared" si="66"/>
        <v>4</v>
      </c>
      <c r="D848" s="27">
        <f t="shared" si="67"/>
        <v>26</v>
      </c>
      <c r="E848" s="27">
        <f t="shared" si="68"/>
        <v>1</v>
      </c>
      <c r="F848" s="27">
        <f>VLOOKUP(E848,[1]t_calendarioPolitica!A:C,3,FALSE)</f>
        <v>0</v>
      </c>
      <c r="G848" s="1">
        <v>1</v>
      </c>
      <c r="H848" s="1">
        <v>1</v>
      </c>
      <c r="I848" s="1">
        <f t="shared" si="69"/>
        <v>0</v>
      </c>
    </row>
    <row r="849" spans="1:9" x14ac:dyDescent="0.3">
      <c r="A849" s="26">
        <v>46139</v>
      </c>
      <c r="B849" s="27">
        <f t="shared" si="65"/>
        <v>2026</v>
      </c>
      <c r="C849" s="27">
        <f t="shared" si="66"/>
        <v>4</v>
      </c>
      <c r="D849" s="27">
        <f t="shared" si="67"/>
        <v>27</v>
      </c>
      <c r="E849" s="27">
        <f t="shared" si="68"/>
        <v>2</v>
      </c>
      <c r="F849" s="27">
        <f>VLOOKUP(E849,[1]t_calendarioPolitica!A:C,3,FALSE)</f>
        <v>1</v>
      </c>
      <c r="G849" s="1">
        <v>1</v>
      </c>
      <c r="H849" s="1">
        <v>1</v>
      </c>
      <c r="I849" s="1">
        <f t="shared" si="69"/>
        <v>1</v>
      </c>
    </row>
    <row r="850" spans="1:9" x14ac:dyDescent="0.3">
      <c r="A850" s="26">
        <v>46140</v>
      </c>
      <c r="B850" s="27">
        <f t="shared" si="65"/>
        <v>2026</v>
      </c>
      <c r="C850" s="27">
        <f t="shared" si="66"/>
        <v>4</v>
      </c>
      <c r="D850" s="27">
        <f t="shared" si="67"/>
        <v>28</v>
      </c>
      <c r="E850" s="27">
        <f t="shared" si="68"/>
        <v>3</v>
      </c>
      <c r="F850" s="27">
        <f>VLOOKUP(E850,[1]t_calendarioPolitica!A:C,3,FALSE)</f>
        <v>1</v>
      </c>
      <c r="G850" s="1">
        <v>1</v>
      </c>
      <c r="H850" s="1">
        <v>1</v>
      </c>
      <c r="I850" s="1">
        <f t="shared" si="69"/>
        <v>1</v>
      </c>
    </row>
    <row r="851" spans="1:9" x14ac:dyDescent="0.3">
      <c r="A851" s="26">
        <v>46141</v>
      </c>
      <c r="B851" s="27">
        <f t="shared" si="65"/>
        <v>2026</v>
      </c>
      <c r="C851" s="27">
        <f t="shared" si="66"/>
        <v>4</v>
      </c>
      <c r="D851" s="27">
        <f t="shared" si="67"/>
        <v>29</v>
      </c>
      <c r="E851" s="27">
        <f t="shared" si="68"/>
        <v>4</v>
      </c>
      <c r="F851" s="27">
        <f>VLOOKUP(E851,[1]t_calendarioPolitica!A:C,3,FALSE)</f>
        <v>1</v>
      </c>
      <c r="G851" s="1">
        <v>1</v>
      </c>
      <c r="H851" s="1">
        <v>1</v>
      </c>
      <c r="I851" s="1">
        <f t="shared" si="69"/>
        <v>1</v>
      </c>
    </row>
    <row r="852" spans="1:9" x14ac:dyDescent="0.3">
      <c r="A852" s="26">
        <v>46142</v>
      </c>
      <c r="B852" s="27">
        <f t="shared" si="65"/>
        <v>2026</v>
      </c>
      <c r="C852" s="27">
        <f t="shared" si="66"/>
        <v>4</v>
      </c>
      <c r="D852" s="27">
        <f t="shared" si="67"/>
        <v>30</v>
      </c>
      <c r="E852" s="27">
        <f t="shared" si="68"/>
        <v>5</v>
      </c>
      <c r="F852" s="27">
        <f>VLOOKUP(E852,[1]t_calendarioPolitica!A:C,3,FALSE)</f>
        <v>1</v>
      </c>
      <c r="G852" s="1">
        <v>1</v>
      </c>
      <c r="H852" s="1">
        <v>1</v>
      </c>
      <c r="I852" s="1">
        <f t="shared" si="69"/>
        <v>1</v>
      </c>
    </row>
    <row r="853" spans="1:9" x14ac:dyDescent="0.3">
      <c r="A853" s="26">
        <v>46143</v>
      </c>
      <c r="B853" s="27">
        <f t="shared" si="65"/>
        <v>2026</v>
      </c>
      <c r="C853" s="27">
        <f t="shared" si="66"/>
        <v>5</v>
      </c>
      <c r="D853" s="27">
        <f t="shared" si="67"/>
        <v>1</v>
      </c>
      <c r="E853" s="27">
        <f t="shared" si="68"/>
        <v>6</v>
      </c>
      <c r="F853" s="27">
        <f>VLOOKUP(E853,[1]t_calendarioPolitica!A:C,3,FALSE)</f>
        <v>1</v>
      </c>
      <c r="G853" s="1">
        <v>1</v>
      </c>
      <c r="H853" s="1">
        <v>1</v>
      </c>
      <c r="I853" s="1">
        <f t="shared" si="69"/>
        <v>1</v>
      </c>
    </row>
    <row r="854" spans="1:9" x14ac:dyDescent="0.3">
      <c r="A854" s="26">
        <v>46144</v>
      </c>
      <c r="B854" s="27">
        <f t="shared" si="65"/>
        <v>2026</v>
      </c>
      <c r="C854" s="27">
        <f t="shared" si="66"/>
        <v>5</v>
      </c>
      <c r="D854" s="27">
        <f t="shared" si="67"/>
        <v>2</v>
      </c>
      <c r="E854" s="27">
        <f t="shared" si="68"/>
        <v>7</v>
      </c>
      <c r="F854" s="27">
        <f>VLOOKUP(E854,[1]t_calendarioPolitica!A:C,3,FALSE)</f>
        <v>2</v>
      </c>
      <c r="G854" s="1">
        <v>1</v>
      </c>
      <c r="H854" s="1">
        <v>1</v>
      </c>
      <c r="I854" s="1">
        <f t="shared" si="69"/>
        <v>1</v>
      </c>
    </row>
    <row r="855" spans="1:9" x14ac:dyDescent="0.3">
      <c r="A855" s="26">
        <v>46145</v>
      </c>
      <c r="B855" s="27">
        <f t="shared" si="65"/>
        <v>2026</v>
      </c>
      <c r="C855" s="27">
        <f t="shared" si="66"/>
        <v>5</v>
      </c>
      <c r="D855" s="27">
        <f t="shared" si="67"/>
        <v>3</v>
      </c>
      <c r="E855" s="27">
        <f t="shared" si="68"/>
        <v>1</v>
      </c>
      <c r="F855" s="27">
        <f>VLOOKUP(E855,[1]t_calendarioPolitica!A:C,3,FALSE)</f>
        <v>0</v>
      </c>
      <c r="G855" s="1">
        <v>1</v>
      </c>
      <c r="H855" s="1">
        <v>1</v>
      </c>
      <c r="I855" s="1">
        <f t="shared" si="69"/>
        <v>0</v>
      </c>
    </row>
    <row r="856" spans="1:9" x14ac:dyDescent="0.3">
      <c r="A856" s="26">
        <v>46146</v>
      </c>
      <c r="B856" s="27">
        <f t="shared" si="65"/>
        <v>2026</v>
      </c>
      <c r="C856" s="27">
        <f t="shared" si="66"/>
        <v>5</v>
      </c>
      <c r="D856" s="27">
        <f t="shared" si="67"/>
        <v>4</v>
      </c>
      <c r="E856" s="27">
        <f t="shared" si="68"/>
        <v>2</v>
      </c>
      <c r="F856" s="27">
        <f>VLOOKUP(E856,[1]t_calendarioPolitica!A:C,3,FALSE)</f>
        <v>1</v>
      </c>
      <c r="G856" s="1">
        <v>1</v>
      </c>
      <c r="H856" s="1">
        <v>1</v>
      </c>
      <c r="I856" s="1">
        <f t="shared" si="69"/>
        <v>1</v>
      </c>
    </row>
    <row r="857" spans="1:9" x14ac:dyDescent="0.3">
      <c r="A857" s="26">
        <v>46147</v>
      </c>
      <c r="B857" s="27">
        <f t="shared" si="65"/>
        <v>2026</v>
      </c>
      <c r="C857" s="27">
        <f t="shared" si="66"/>
        <v>5</v>
      </c>
      <c r="D857" s="27">
        <f t="shared" si="67"/>
        <v>5</v>
      </c>
      <c r="E857" s="27">
        <f t="shared" si="68"/>
        <v>3</v>
      </c>
      <c r="F857" s="27">
        <f>VLOOKUP(E857,[1]t_calendarioPolitica!A:C,3,FALSE)</f>
        <v>1</v>
      </c>
      <c r="G857" s="1">
        <v>1</v>
      </c>
      <c r="H857" s="1">
        <v>1</v>
      </c>
      <c r="I857" s="1">
        <f t="shared" si="69"/>
        <v>1</v>
      </c>
    </row>
    <row r="858" spans="1:9" x14ac:dyDescent="0.3">
      <c r="A858" s="26">
        <v>46148</v>
      </c>
      <c r="B858" s="27">
        <f t="shared" si="65"/>
        <v>2026</v>
      </c>
      <c r="C858" s="27">
        <f t="shared" si="66"/>
        <v>5</v>
      </c>
      <c r="D858" s="27">
        <f t="shared" si="67"/>
        <v>6</v>
      </c>
      <c r="E858" s="27">
        <f t="shared" si="68"/>
        <v>4</v>
      </c>
      <c r="F858" s="27">
        <f>VLOOKUP(E858,[1]t_calendarioPolitica!A:C,3,FALSE)</f>
        <v>1</v>
      </c>
      <c r="G858" s="1">
        <v>1</v>
      </c>
      <c r="H858" s="1">
        <v>1</v>
      </c>
      <c r="I858" s="1">
        <f t="shared" si="69"/>
        <v>1</v>
      </c>
    </row>
    <row r="859" spans="1:9" x14ac:dyDescent="0.3">
      <c r="A859" s="26">
        <v>46149</v>
      </c>
      <c r="B859" s="27">
        <f t="shared" si="65"/>
        <v>2026</v>
      </c>
      <c r="C859" s="27">
        <f t="shared" si="66"/>
        <v>5</v>
      </c>
      <c r="D859" s="27">
        <f t="shared" si="67"/>
        <v>7</v>
      </c>
      <c r="E859" s="27">
        <f t="shared" si="68"/>
        <v>5</v>
      </c>
      <c r="F859" s="27">
        <f>VLOOKUP(E859,[1]t_calendarioPolitica!A:C,3,FALSE)</f>
        <v>1</v>
      </c>
      <c r="G859" s="1">
        <v>1</v>
      </c>
      <c r="H859" s="1">
        <v>1</v>
      </c>
      <c r="I859" s="1">
        <f t="shared" si="69"/>
        <v>1</v>
      </c>
    </row>
    <row r="860" spans="1:9" x14ac:dyDescent="0.3">
      <c r="A860" s="26">
        <v>46150</v>
      </c>
      <c r="B860" s="27">
        <f t="shared" si="65"/>
        <v>2026</v>
      </c>
      <c r="C860" s="27">
        <f t="shared" si="66"/>
        <v>5</v>
      </c>
      <c r="D860" s="27">
        <f t="shared" si="67"/>
        <v>8</v>
      </c>
      <c r="E860" s="27">
        <f t="shared" si="68"/>
        <v>6</v>
      </c>
      <c r="F860" s="27">
        <f>VLOOKUP(E860,[1]t_calendarioPolitica!A:C,3,FALSE)</f>
        <v>1</v>
      </c>
      <c r="G860" s="1">
        <v>1</v>
      </c>
      <c r="H860" s="1">
        <v>1</v>
      </c>
      <c r="I860" s="1">
        <f t="shared" si="69"/>
        <v>1</v>
      </c>
    </row>
    <row r="861" spans="1:9" x14ac:dyDescent="0.3">
      <c r="A861" s="26">
        <v>46151</v>
      </c>
      <c r="B861" s="27">
        <f t="shared" si="65"/>
        <v>2026</v>
      </c>
      <c r="C861" s="27">
        <f t="shared" si="66"/>
        <v>5</v>
      </c>
      <c r="D861" s="27">
        <f t="shared" si="67"/>
        <v>9</v>
      </c>
      <c r="E861" s="27">
        <f t="shared" si="68"/>
        <v>7</v>
      </c>
      <c r="F861" s="27">
        <f>VLOOKUP(E861,[1]t_calendarioPolitica!A:C,3,FALSE)</f>
        <v>2</v>
      </c>
      <c r="G861" s="1">
        <v>1</v>
      </c>
      <c r="H861" s="1">
        <v>1</v>
      </c>
      <c r="I861" s="1">
        <f t="shared" si="69"/>
        <v>1</v>
      </c>
    </row>
    <row r="862" spans="1:9" x14ac:dyDescent="0.3">
      <c r="A862" s="26">
        <v>46152</v>
      </c>
      <c r="B862" s="27">
        <f t="shared" si="65"/>
        <v>2026</v>
      </c>
      <c r="C862" s="27">
        <f t="shared" si="66"/>
        <v>5</v>
      </c>
      <c r="D862" s="27">
        <f t="shared" si="67"/>
        <v>10</v>
      </c>
      <c r="E862" s="27">
        <f t="shared" si="68"/>
        <v>1</v>
      </c>
      <c r="F862" s="27">
        <f>VLOOKUP(E862,[1]t_calendarioPolitica!A:C,3,FALSE)</f>
        <v>0</v>
      </c>
      <c r="G862" s="1">
        <v>1</v>
      </c>
      <c r="H862" s="1">
        <v>0</v>
      </c>
      <c r="I862" s="1">
        <f t="shared" si="69"/>
        <v>0</v>
      </c>
    </row>
    <row r="863" spans="1:9" x14ac:dyDescent="0.3">
      <c r="A863" s="26">
        <v>46153</v>
      </c>
      <c r="B863" s="27">
        <f t="shared" si="65"/>
        <v>2026</v>
      </c>
      <c r="C863" s="27">
        <f t="shared" si="66"/>
        <v>5</v>
      </c>
      <c r="D863" s="27">
        <f t="shared" si="67"/>
        <v>11</v>
      </c>
      <c r="E863" s="27">
        <f t="shared" si="68"/>
        <v>2</v>
      </c>
      <c r="F863" s="27">
        <f>VLOOKUP(E863,[1]t_calendarioPolitica!A:C,3,FALSE)</f>
        <v>1</v>
      </c>
      <c r="G863" s="1">
        <v>1</v>
      </c>
      <c r="H863" s="1">
        <v>1</v>
      </c>
      <c r="I863" s="1">
        <f t="shared" si="69"/>
        <v>1</v>
      </c>
    </row>
    <row r="864" spans="1:9" x14ac:dyDescent="0.3">
      <c r="A864" s="26">
        <v>46154</v>
      </c>
      <c r="B864" s="27">
        <f t="shared" si="65"/>
        <v>2026</v>
      </c>
      <c r="C864" s="27">
        <f t="shared" si="66"/>
        <v>5</v>
      </c>
      <c r="D864" s="27">
        <f t="shared" si="67"/>
        <v>12</v>
      </c>
      <c r="E864" s="27">
        <f t="shared" si="68"/>
        <v>3</v>
      </c>
      <c r="F864" s="27">
        <f>VLOOKUP(E864,[1]t_calendarioPolitica!A:C,3,FALSE)</f>
        <v>1</v>
      </c>
      <c r="G864" s="1">
        <v>1</v>
      </c>
      <c r="H864" s="1">
        <v>1</v>
      </c>
      <c r="I864" s="1">
        <f t="shared" si="69"/>
        <v>1</v>
      </c>
    </row>
    <row r="865" spans="1:9" x14ac:dyDescent="0.3">
      <c r="A865" s="26">
        <v>46155</v>
      </c>
      <c r="B865" s="27">
        <f t="shared" si="65"/>
        <v>2026</v>
      </c>
      <c r="C865" s="27">
        <f t="shared" si="66"/>
        <v>5</v>
      </c>
      <c r="D865" s="27">
        <f t="shared" si="67"/>
        <v>13</v>
      </c>
      <c r="E865" s="27">
        <f t="shared" si="68"/>
        <v>4</v>
      </c>
      <c r="F865" s="27">
        <f>VLOOKUP(E865,[1]t_calendarioPolitica!A:C,3,FALSE)</f>
        <v>1</v>
      </c>
      <c r="G865" s="1">
        <v>1</v>
      </c>
      <c r="H865" s="1">
        <v>1</v>
      </c>
      <c r="I865" s="1">
        <f t="shared" si="69"/>
        <v>1</v>
      </c>
    </row>
    <row r="866" spans="1:9" x14ac:dyDescent="0.3">
      <c r="A866" s="26">
        <v>46156</v>
      </c>
      <c r="B866" s="27">
        <f t="shared" si="65"/>
        <v>2026</v>
      </c>
      <c r="C866" s="27">
        <f t="shared" si="66"/>
        <v>5</v>
      </c>
      <c r="D866" s="27">
        <f t="shared" si="67"/>
        <v>14</v>
      </c>
      <c r="E866" s="27">
        <f t="shared" si="68"/>
        <v>5</v>
      </c>
      <c r="F866" s="27">
        <f>VLOOKUP(E866,[1]t_calendarioPolitica!A:C,3,FALSE)</f>
        <v>1</v>
      </c>
      <c r="G866" s="1">
        <v>1</v>
      </c>
      <c r="H866" s="1">
        <v>1</v>
      </c>
      <c r="I866" s="1">
        <f t="shared" si="69"/>
        <v>1</v>
      </c>
    </row>
    <row r="867" spans="1:9" x14ac:dyDescent="0.3">
      <c r="A867" s="26">
        <v>46157</v>
      </c>
      <c r="B867" s="27">
        <f t="shared" si="65"/>
        <v>2026</v>
      </c>
      <c r="C867" s="27">
        <f t="shared" si="66"/>
        <v>5</v>
      </c>
      <c r="D867" s="27">
        <f t="shared" si="67"/>
        <v>15</v>
      </c>
      <c r="E867" s="27">
        <f t="shared" si="68"/>
        <v>6</v>
      </c>
      <c r="F867" s="27">
        <f>VLOOKUP(E867,[1]t_calendarioPolitica!A:C,3,FALSE)</f>
        <v>1</v>
      </c>
      <c r="G867" s="1">
        <v>1</v>
      </c>
      <c r="H867" s="1">
        <v>1</v>
      </c>
      <c r="I867" s="1">
        <f t="shared" si="69"/>
        <v>1</v>
      </c>
    </row>
    <row r="868" spans="1:9" x14ac:dyDescent="0.3">
      <c r="A868" s="26">
        <v>46158</v>
      </c>
      <c r="B868" s="27">
        <f t="shared" si="65"/>
        <v>2026</v>
      </c>
      <c r="C868" s="27">
        <f t="shared" si="66"/>
        <v>5</v>
      </c>
      <c r="D868" s="27">
        <f t="shared" si="67"/>
        <v>16</v>
      </c>
      <c r="E868" s="27">
        <f t="shared" si="68"/>
        <v>7</v>
      </c>
      <c r="F868" s="27">
        <f>VLOOKUP(E868,[1]t_calendarioPolitica!A:C,3,FALSE)</f>
        <v>2</v>
      </c>
      <c r="G868" s="1">
        <v>1</v>
      </c>
      <c r="H868" s="1">
        <v>1</v>
      </c>
      <c r="I868" s="1">
        <f t="shared" si="69"/>
        <v>1</v>
      </c>
    </row>
    <row r="869" spans="1:9" x14ac:dyDescent="0.3">
      <c r="A869" s="26">
        <v>46159</v>
      </c>
      <c r="B869" s="27">
        <f t="shared" si="65"/>
        <v>2026</v>
      </c>
      <c r="C869" s="27">
        <f t="shared" si="66"/>
        <v>5</v>
      </c>
      <c r="D869" s="27">
        <f t="shared" si="67"/>
        <v>17</v>
      </c>
      <c r="E869" s="27">
        <f t="shared" si="68"/>
        <v>1</v>
      </c>
      <c r="F869" s="27">
        <f>VLOOKUP(E869,[1]t_calendarioPolitica!A:C,3,FALSE)</f>
        <v>0</v>
      </c>
      <c r="G869" s="1">
        <v>1</v>
      </c>
      <c r="H869" s="1">
        <v>1</v>
      </c>
      <c r="I869" s="1">
        <f t="shared" si="69"/>
        <v>0</v>
      </c>
    </row>
    <row r="870" spans="1:9" x14ac:dyDescent="0.3">
      <c r="A870" s="26">
        <v>46160</v>
      </c>
      <c r="B870" s="27">
        <f t="shared" si="65"/>
        <v>2026</v>
      </c>
      <c r="C870" s="27">
        <f t="shared" si="66"/>
        <v>5</v>
      </c>
      <c r="D870" s="27">
        <f t="shared" si="67"/>
        <v>18</v>
      </c>
      <c r="E870" s="27">
        <f t="shared" si="68"/>
        <v>2</v>
      </c>
      <c r="F870" s="27">
        <f>VLOOKUP(E870,[1]t_calendarioPolitica!A:C,3,FALSE)</f>
        <v>1</v>
      </c>
      <c r="G870" s="1">
        <v>1</v>
      </c>
      <c r="H870" s="1">
        <v>1</v>
      </c>
      <c r="I870" s="1">
        <f t="shared" si="69"/>
        <v>1</v>
      </c>
    </row>
    <row r="871" spans="1:9" x14ac:dyDescent="0.3">
      <c r="A871" s="26">
        <v>46161</v>
      </c>
      <c r="B871" s="27">
        <f t="shared" si="65"/>
        <v>2026</v>
      </c>
      <c r="C871" s="27">
        <f t="shared" si="66"/>
        <v>5</v>
      </c>
      <c r="D871" s="27">
        <f t="shared" si="67"/>
        <v>19</v>
      </c>
      <c r="E871" s="27">
        <f t="shared" si="68"/>
        <v>3</v>
      </c>
      <c r="F871" s="27">
        <f>VLOOKUP(E871,[1]t_calendarioPolitica!A:C,3,FALSE)</f>
        <v>1</v>
      </c>
      <c r="G871" s="1">
        <v>1</v>
      </c>
      <c r="H871" s="1">
        <v>1</v>
      </c>
      <c r="I871" s="1">
        <f t="shared" si="69"/>
        <v>1</v>
      </c>
    </row>
    <row r="872" spans="1:9" x14ac:dyDescent="0.3">
      <c r="A872" s="26">
        <v>46162</v>
      </c>
      <c r="B872" s="27">
        <f t="shared" si="65"/>
        <v>2026</v>
      </c>
      <c r="C872" s="27">
        <f t="shared" si="66"/>
        <v>5</v>
      </c>
      <c r="D872" s="27">
        <f t="shared" si="67"/>
        <v>20</v>
      </c>
      <c r="E872" s="27">
        <f t="shared" si="68"/>
        <v>4</v>
      </c>
      <c r="F872" s="27">
        <f>VLOOKUP(E872,[1]t_calendarioPolitica!A:C,3,FALSE)</f>
        <v>1</v>
      </c>
      <c r="G872" s="1">
        <v>1</v>
      </c>
      <c r="H872" s="1">
        <v>1</v>
      </c>
      <c r="I872" s="1">
        <f t="shared" si="69"/>
        <v>1</v>
      </c>
    </row>
    <row r="873" spans="1:9" x14ac:dyDescent="0.3">
      <c r="A873" s="26">
        <v>46163</v>
      </c>
      <c r="B873" s="27">
        <f t="shared" si="65"/>
        <v>2026</v>
      </c>
      <c r="C873" s="27">
        <f t="shared" si="66"/>
        <v>5</v>
      </c>
      <c r="D873" s="27">
        <f t="shared" si="67"/>
        <v>21</v>
      </c>
      <c r="E873" s="27">
        <f t="shared" si="68"/>
        <v>5</v>
      </c>
      <c r="F873" s="27">
        <f>VLOOKUP(E873,[1]t_calendarioPolitica!A:C,3,FALSE)</f>
        <v>1</v>
      </c>
      <c r="G873" s="1">
        <v>1</v>
      </c>
      <c r="H873" s="1">
        <v>1</v>
      </c>
      <c r="I873" s="1">
        <f t="shared" si="69"/>
        <v>1</v>
      </c>
    </row>
    <row r="874" spans="1:9" x14ac:dyDescent="0.3">
      <c r="A874" s="26">
        <v>46164</v>
      </c>
      <c r="B874" s="27">
        <f t="shared" si="65"/>
        <v>2026</v>
      </c>
      <c r="C874" s="27">
        <f t="shared" si="66"/>
        <v>5</v>
      </c>
      <c r="D874" s="27">
        <f t="shared" si="67"/>
        <v>22</v>
      </c>
      <c r="E874" s="27">
        <f t="shared" si="68"/>
        <v>6</v>
      </c>
      <c r="F874" s="27">
        <f>VLOOKUP(E874,[1]t_calendarioPolitica!A:C,3,FALSE)</f>
        <v>1</v>
      </c>
      <c r="G874" s="1">
        <v>1</v>
      </c>
      <c r="H874" s="1">
        <v>1</v>
      </c>
      <c r="I874" s="1">
        <f t="shared" si="69"/>
        <v>1</v>
      </c>
    </row>
    <row r="875" spans="1:9" x14ac:dyDescent="0.3">
      <c r="A875" s="26">
        <v>46165</v>
      </c>
      <c r="B875" s="27">
        <f t="shared" si="65"/>
        <v>2026</v>
      </c>
      <c r="C875" s="27">
        <f t="shared" si="66"/>
        <v>5</v>
      </c>
      <c r="D875" s="27">
        <f t="shared" si="67"/>
        <v>23</v>
      </c>
      <c r="E875" s="27">
        <f t="shared" si="68"/>
        <v>7</v>
      </c>
      <c r="F875" s="27">
        <f>VLOOKUP(E875,[1]t_calendarioPolitica!A:C,3,FALSE)</f>
        <v>2</v>
      </c>
      <c r="G875" s="1">
        <v>1</v>
      </c>
      <c r="H875" s="1">
        <v>1</v>
      </c>
      <c r="I875" s="1">
        <f t="shared" si="69"/>
        <v>1</v>
      </c>
    </row>
    <row r="876" spans="1:9" x14ac:dyDescent="0.3">
      <c r="A876" s="26">
        <v>46166</v>
      </c>
      <c r="B876" s="27">
        <f t="shared" si="65"/>
        <v>2026</v>
      </c>
      <c r="C876" s="27">
        <f t="shared" si="66"/>
        <v>5</v>
      </c>
      <c r="D876" s="27">
        <f t="shared" si="67"/>
        <v>24</v>
      </c>
      <c r="E876" s="27">
        <f t="shared" si="68"/>
        <v>1</v>
      </c>
      <c r="F876" s="27">
        <f>VLOOKUP(E876,[1]t_calendarioPolitica!A:C,3,FALSE)</f>
        <v>0</v>
      </c>
      <c r="G876" s="1">
        <v>1</v>
      </c>
      <c r="H876" s="1">
        <v>1</v>
      </c>
      <c r="I876" s="1">
        <f t="shared" si="69"/>
        <v>0</v>
      </c>
    </row>
    <row r="877" spans="1:9" x14ac:dyDescent="0.3">
      <c r="A877" s="26">
        <v>46167</v>
      </c>
      <c r="B877" s="27">
        <f t="shared" si="65"/>
        <v>2026</v>
      </c>
      <c r="C877" s="27">
        <f t="shared" si="66"/>
        <v>5</v>
      </c>
      <c r="D877" s="27">
        <f t="shared" si="67"/>
        <v>25</v>
      </c>
      <c r="E877" s="27">
        <f t="shared" si="68"/>
        <v>2</v>
      </c>
      <c r="F877" s="27">
        <f>VLOOKUP(E877,[1]t_calendarioPolitica!A:C,3,FALSE)</f>
        <v>1</v>
      </c>
      <c r="G877" s="1">
        <v>1</v>
      </c>
      <c r="H877" s="1">
        <v>1</v>
      </c>
      <c r="I877" s="1">
        <f t="shared" si="69"/>
        <v>1</v>
      </c>
    </row>
    <row r="878" spans="1:9" x14ac:dyDescent="0.3">
      <c r="A878" s="26">
        <v>46168</v>
      </c>
      <c r="B878" s="27">
        <f t="shared" si="65"/>
        <v>2026</v>
      </c>
      <c r="C878" s="27">
        <f t="shared" si="66"/>
        <v>5</v>
      </c>
      <c r="D878" s="27">
        <f t="shared" si="67"/>
        <v>26</v>
      </c>
      <c r="E878" s="27">
        <f t="shared" si="68"/>
        <v>3</v>
      </c>
      <c r="F878" s="27">
        <f>VLOOKUP(E878,[1]t_calendarioPolitica!A:C,3,FALSE)</f>
        <v>1</v>
      </c>
      <c r="G878" s="1">
        <v>1</v>
      </c>
      <c r="H878" s="1">
        <v>1</v>
      </c>
      <c r="I878" s="1">
        <f t="shared" si="69"/>
        <v>1</v>
      </c>
    </row>
    <row r="879" spans="1:9" x14ac:dyDescent="0.3">
      <c r="A879" s="26">
        <v>46169</v>
      </c>
      <c r="B879" s="27">
        <f t="shared" si="65"/>
        <v>2026</v>
      </c>
      <c r="C879" s="27">
        <f t="shared" si="66"/>
        <v>5</v>
      </c>
      <c r="D879" s="27">
        <f t="shared" si="67"/>
        <v>27</v>
      </c>
      <c r="E879" s="27">
        <f t="shared" si="68"/>
        <v>4</v>
      </c>
      <c r="F879" s="27">
        <f>VLOOKUP(E879,[1]t_calendarioPolitica!A:C,3,FALSE)</f>
        <v>1</v>
      </c>
      <c r="G879" s="1">
        <v>1</v>
      </c>
      <c r="H879" s="1">
        <v>1</v>
      </c>
      <c r="I879" s="1">
        <f t="shared" si="69"/>
        <v>1</v>
      </c>
    </row>
    <row r="880" spans="1:9" x14ac:dyDescent="0.3">
      <c r="A880" s="26">
        <v>46170</v>
      </c>
      <c r="B880" s="27">
        <f t="shared" si="65"/>
        <v>2026</v>
      </c>
      <c r="C880" s="27">
        <f t="shared" si="66"/>
        <v>5</v>
      </c>
      <c r="D880" s="27">
        <f t="shared" si="67"/>
        <v>28</v>
      </c>
      <c r="E880" s="27">
        <f t="shared" si="68"/>
        <v>5</v>
      </c>
      <c r="F880" s="27">
        <f>VLOOKUP(E880,[1]t_calendarioPolitica!A:C,3,FALSE)</f>
        <v>1</v>
      </c>
      <c r="G880" s="1">
        <v>1</v>
      </c>
      <c r="H880" s="1">
        <v>1</v>
      </c>
      <c r="I880" s="1">
        <f t="shared" si="69"/>
        <v>1</v>
      </c>
    </row>
    <row r="881" spans="1:9" x14ac:dyDescent="0.3">
      <c r="A881" s="26">
        <v>46171</v>
      </c>
      <c r="B881" s="27">
        <f t="shared" si="65"/>
        <v>2026</v>
      </c>
      <c r="C881" s="27">
        <f t="shared" si="66"/>
        <v>5</v>
      </c>
      <c r="D881" s="27">
        <f t="shared" si="67"/>
        <v>29</v>
      </c>
      <c r="E881" s="27">
        <f t="shared" si="68"/>
        <v>6</v>
      </c>
      <c r="F881" s="27">
        <f>VLOOKUP(E881,[1]t_calendarioPolitica!A:C,3,FALSE)</f>
        <v>1</v>
      </c>
      <c r="G881" s="1">
        <v>1</v>
      </c>
      <c r="H881" s="1">
        <v>1</v>
      </c>
      <c r="I881" s="1">
        <f t="shared" si="69"/>
        <v>1</v>
      </c>
    </row>
    <row r="882" spans="1:9" x14ac:dyDescent="0.3">
      <c r="A882" s="26">
        <v>46172</v>
      </c>
      <c r="B882" s="27">
        <f t="shared" si="65"/>
        <v>2026</v>
      </c>
      <c r="C882" s="27">
        <f t="shared" si="66"/>
        <v>5</v>
      </c>
      <c r="D882" s="27">
        <f t="shared" si="67"/>
        <v>30</v>
      </c>
      <c r="E882" s="27">
        <f t="shared" si="68"/>
        <v>7</v>
      </c>
      <c r="F882" s="27">
        <f>VLOOKUP(E882,[1]t_calendarioPolitica!A:C,3,FALSE)</f>
        <v>2</v>
      </c>
      <c r="G882" s="1">
        <v>1</v>
      </c>
      <c r="H882" s="1">
        <v>1</v>
      </c>
      <c r="I882" s="1">
        <f t="shared" si="69"/>
        <v>1</v>
      </c>
    </row>
    <row r="883" spans="1:9" x14ac:dyDescent="0.3">
      <c r="A883" s="26">
        <v>46173</v>
      </c>
      <c r="B883" s="27">
        <f t="shared" si="65"/>
        <v>2026</v>
      </c>
      <c r="C883" s="27">
        <f t="shared" si="66"/>
        <v>5</v>
      </c>
      <c r="D883" s="27">
        <f t="shared" si="67"/>
        <v>31</v>
      </c>
      <c r="E883" s="27">
        <f t="shared" si="68"/>
        <v>1</v>
      </c>
      <c r="F883" s="27">
        <f>VLOOKUP(E883,[1]t_calendarioPolitica!A:C,3,FALSE)</f>
        <v>0</v>
      </c>
      <c r="G883" s="1">
        <v>1</v>
      </c>
      <c r="H883" s="1">
        <v>1</v>
      </c>
      <c r="I883" s="1">
        <f t="shared" si="69"/>
        <v>0</v>
      </c>
    </row>
    <row r="884" spans="1:9" x14ac:dyDescent="0.3">
      <c r="A884" s="26">
        <v>46174</v>
      </c>
      <c r="B884" s="27">
        <f t="shared" si="65"/>
        <v>2026</v>
      </c>
      <c r="C884" s="27">
        <f t="shared" si="66"/>
        <v>6</v>
      </c>
      <c r="D884" s="27">
        <f t="shared" si="67"/>
        <v>1</v>
      </c>
      <c r="E884" s="27">
        <f t="shared" si="68"/>
        <v>2</v>
      </c>
      <c r="F884" s="27">
        <f>VLOOKUP(E884,[1]t_calendarioPolitica!A:C,3,FALSE)</f>
        <v>1</v>
      </c>
      <c r="G884" s="1">
        <v>1</v>
      </c>
      <c r="H884" s="1">
        <v>1</v>
      </c>
      <c r="I884" s="1">
        <f t="shared" si="69"/>
        <v>1</v>
      </c>
    </row>
    <row r="885" spans="1:9" x14ac:dyDescent="0.3">
      <c r="A885" s="26">
        <v>46175</v>
      </c>
      <c r="B885" s="27">
        <f t="shared" si="65"/>
        <v>2026</v>
      </c>
      <c r="C885" s="27">
        <f t="shared" si="66"/>
        <v>6</v>
      </c>
      <c r="D885" s="27">
        <f t="shared" si="67"/>
        <v>2</v>
      </c>
      <c r="E885" s="27">
        <f t="shared" si="68"/>
        <v>3</v>
      </c>
      <c r="F885" s="27">
        <f>VLOOKUP(E885,[1]t_calendarioPolitica!A:C,3,FALSE)</f>
        <v>1</v>
      </c>
      <c r="G885" s="1">
        <v>1</v>
      </c>
      <c r="H885" s="1">
        <v>1</v>
      </c>
      <c r="I885" s="1">
        <f t="shared" si="69"/>
        <v>1</v>
      </c>
    </row>
    <row r="886" spans="1:9" x14ac:dyDescent="0.3">
      <c r="A886" s="26">
        <v>46176</v>
      </c>
      <c r="B886" s="27">
        <f t="shared" si="65"/>
        <v>2026</v>
      </c>
      <c r="C886" s="27">
        <f t="shared" si="66"/>
        <v>6</v>
      </c>
      <c r="D886" s="27">
        <f t="shared" si="67"/>
        <v>3</v>
      </c>
      <c r="E886" s="27">
        <f t="shared" si="68"/>
        <v>4</v>
      </c>
      <c r="F886" s="27">
        <f>VLOOKUP(E886,[1]t_calendarioPolitica!A:C,3,FALSE)</f>
        <v>1</v>
      </c>
      <c r="G886" s="1">
        <v>1</v>
      </c>
      <c r="H886" s="1">
        <v>1</v>
      </c>
      <c r="I886" s="1">
        <f t="shared" si="69"/>
        <v>1</v>
      </c>
    </row>
    <row r="887" spans="1:9" x14ac:dyDescent="0.3">
      <c r="A887" s="26">
        <v>46177</v>
      </c>
      <c r="B887" s="27">
        <f t="shared" si="65"/>
        <v>2026</v>
      </c>
      <c r="C887" s="27">
        <f t="shared" si="66"/>
        <v>6</v>
      </c>
      <c r="D887" s="27">
        <f t="shared" si="67"/>
        <v>4</v>
      </c>
      <c r="E887" s="27">
        <f t="shared" si="68"/>
        <v>5</v>
      </c>
      <c r="F887" s="27">
        <f>VLOOKUP(E887,[1]t_calendarioPolitica!A:C,3,FALSE)</f>
        <v>1</v>
      </c>
      <c r="G887" s="1">
        <v>1</v>
      </c>
      <c r="H887" s="1">
        <v>1</v>
      </c>
      <c r="I887" s="1">
        <f t="shared" si="69"/>
        <v>1</v>
      </c>
    </row>
    <row r="888" spans="1:9" x14ac:dyDescent="0.3">
      <c r="A888" s="26">
        <v>46178</v>
      </c>
      <c r="B888" s="27">
        <f t="shared" si="65"/>
        <v>2026</v>
      </c>
      <c r="C888" s="27">
        <f t="shared" si="66"/>
        <v>6</v>
      </c>
      <c r="D888" s="27">
        <f t="shared" si="67"/>
        <v>5</v>
      </c>
      <c r="E888" s="27">
        <f t="shared" si="68"/>
        <v>6</v>
      </c>
      <c r="F888" s="27">
        <f>VLOOKUP(E888,[1]t_calendarioPolitica!A:C,3,FALSE)</f>
        <v>1</v>
      </c>
      <c r="G888" s="1">
        <v>1</v>
      </c>
      <c r="H888" s="1">
        <v>1</v>
      </c>
      <c r="I888" s="1">
        <f t="shared" si="69"/>
        <v>1</v>
      </c>
    </row>
    <row r="889" spans="1:9" x14ac:dyDescent="0.3">
      <c r="A889" s="26">
        <v>46179</v>
      </c>
      <c r="B889" s="27">
        <f t="shared" si="65"/>
        <v>2026</v>
      </c>
      <c r="C889" s="27">
        <f t="shared" si="66"/>
        <v>6</v>
      </c>
      <c r="D889" s="27">
        <f t="shared" si="67"/>
        <v>6</v>
      </c>
      <c r="E889" s="27">
        <f t="shared" si="68"/>
        <v>7</v>
      </c>
      <c r="F889" s="27">
        <f>VLOOKUP(E889,[1]t_calendarioPolitica!A:C,3,FALSE)</f>
        <v>2</v>
      </c>
      <c r="G889" s="1">
        <v>1</v>
      </c>
      <c r="H889" s="1">
        <v>1</v>
      </c>
      <c r="I889" s="1">
        <f t="shared" si="69"/>
        <v>1</v>
      </c>
    </row>
    <row r="890" spans="1:9" x14ac:dyDescent="0.3">
      <c r="A890" s="26">
        <v>46180</v>
      </c>
      <c r="B890" s="27">
        <f t="shared" si="65"/>
        <v>2026</v>
      </c>
      <c r="C890" s="27">
        <f t="shared" si="66"/>
        <v>6</v>
      </c>
      <c r="D890" s="27">
        <f t="shared" si="67"/>
        <v>7</v>
      </c>
      <c r="E890" s="27">
        <f t="shared" si="68"/>
        <v>1</v>
      </c>
      <c r="F890" s="27">
        <f>VLOOKUP(E890,[1]t_calendarioPolitica!A:C,3,FALSE)</f>
        <v>0</v>
      </c>
      <c r="G890" s="1">
        <v>1</v>
      </c>
      <c r="H890" s="1">
        <v>1</v>
      </c>
      <c r="I890" s="1">
        <f t="shared" si="69"/>
        <v>0</v>
      </c>
    </row>
    <row r="891" spans="1:9" x14ac:dyDescent="0.3">
      <c r="A891" s="26">
        <v>46181</v>
      </c>
      <c r="B891" s="27">
        <f t="shared" si="65"/>
        <v>2026</v>
      </c>
      <c r="C891" s="27">
        <f t="shared" si="66"/>
        <v>6</v>
      </c>
      <c r="D891" s="27">
        <f t="shared" si="67"/>
        <v>8</v>
      </c>
      <c r="E891" s="27">
        <f t="shared" si="68"/>
        <v>2</v>
      </c>
      <c r="F891" s="27">
        <f>VLOOKUP(E891,[1]t_calendarioPolitica!A:C,3,FALSE)</f>
        <v>1</v>
      </c>
      <c r="G891" s="1">
        <v>1</v>
      </c>
      <c r="H891" s="1">
        <v>1</v>
      </c>
      <c r="I891" s="1">
        <f t="shared" si="69"/>
        <v>1</v>
      </c>
    </row>
    <row r="892" spans="1:9" x14ac:dyDescent="0.3">
      <c r="A892" s="26">
        <v>46182</v>
      </c>
      <c r="B892" s="27">
        <f t="shared" si="65"/>
        <v>2026</v>
      </c>
      <c r="C892" s="27">
        <f t="shared" si="66"/>
        <v>6</v>
      </c>
      <c r="D892" s="27">
        <f t="shared" si="67"/>
        <v>9</v>
      </c>
      <c r="E892" s="27">
        <f t="shared" si="68"/>
        <v>3</v>
      </c>
      <c r="F892" s="27">
        <f>VLOOKUP(E892,[1]t_calendarioPolitica!A:C,3,FALSE)</f>
        <v>1</v>
      </c>
      <c r="G892" s="1">
        <v>1</v>
      </c>
      <c r="H892" s="1">
        <v>1</v>
      </c>
      <c r="I892" s="1">
        <f t="shared" si="69"/>
        <v>1</v>
      </c>
    </row>
    <row r="893" spans="1:9" x14ac:dyDescent="0.3">
      <c r="A893" s="26">
        <v>46183</v>
      </c>
      <c r="B893" s="27">
        <f t="shared" si="65"/>
        <v>2026</v>
      </c>
      <c r="C893" s="27">
        <f t="shared" si="66"/>
        <v>6</v>
      </c>
      <c r="D893" s="27">
        <f t="shared" si="67"/>
        <v>10</v>
      </c>
      <c r="E893" s="27">
        <f t="shared" si="68"/>
        <v>4</v>
      </c>
      <c r="F893" s="27">
        <f>VLOOKUP(E893,[1]t_calendarioPolitica!A:C,3,FALSE)</f>
        <v>1</v>
      </c>
      <c r="G893" s="1">
        <v>1</v>
      </c>
      <c r="H893" s="1">
        <v>1</v>
      </c>
      <c r="I893" s="1">
        <f t="shared" si="69"/>
        <v>1</v>
      </c>
    </row>
    <row r="894" spans="1:9" x14ac:dyDescent="0.3">
      <c r="A894" s="26">
        <v>46184</v>
      </c>
      <c r="B894" s="27">
        <f t="shared" si="65"/>
        <v>2026</v>
      </c>
      <c r="C894" s="27">
        <f t="shared" si="66"/>
        <v>6</v>
      </c>
      <c r="D894" s="27">
        <f t="shared" si="67"/>
        <v>11</v>
      </c>
      <c r="E894" s="27">
        <f t="shared" si="68"/>
        <v>5</v>
      </c>
      <c r="F894" s="27">
        <f>VLOOKUP(E894,[1]t_calendarioPolitica!A:C,3,FALSE)</f>
        <v>1</v>
      </c>
      <c r="G894" s="1">
        <v>1</v>
      </c>
      <c r="H894" s="1">
        <v>1</v>
      </c>
      <c r="I894" s="1">
        <f t="shared" si="69"/>
        <v>1</v>
      </c>
    </row>
    <row r="895" spans="1:9" x14ac:dyDescent="0.3">
      <c r="A895" s="26">
        <v>46185</v>
      </c>
      <c r="B895" s="27">
        <f t="shared" si="65"/>
        <v>2026</v>
      </c>
      <c r="C895" s="27">
        <f t="shared" si="66"/>
        <v>6</v>
      </c>
      <c r="D895" s="27">
        <f t="shared" si="67"/>
        <v>12</v>
      </c>
      <c r="E895" s="27">
        <f t="shared" si="68"/>
        <v>6</v>
      </c>
      <c r="F895" s="27">
        <f>VLOOKUP(E895,[1]t_calendarioPolitica!A:C,3,FALSE)</f>
        <v>1</v>
      </c>
      <c r="G895" s="1">
        <v>1</v>
      </c>
      <c r="H895" s="1">
        <v>1</v>
      </c>
      <c r="I895" s="1">
        <f t="shared" si="69"/>
        <v>1</v>
      </c>
    </row>
    <row r="896" spans="1:9" x14ac:dyDescent="0.3">
      <c r="A896" s="26">
        <v>46186</v>
      </c>
      <c r="B896" s="27">
        <f t="shared" si="65"/>
        <v>2026</v>
      </c>
      <c r="C896" s="27">
        <f t="shared" si="66"/>
        <v>6</v>
      </c>
      <c r="D896" s="27">
        <f t="shared" si="67"/>
        <v>13</v>
      </c>
      <c r="E896" s="27">
        <f t="shared" si="68"/>
        <v>7</v>
      </c>
      <c r="F896" s="27">
        <f>VLOOKUP(E896,[1]t_calendarioPolitica!A:C,3,FALSE)</f>
        <v>2</v>
      </c>
      <c r="G896" s="1">
        <v>1</v>
      </c>
      <c r="H896" s="1">
        <v>1</v>
      </c>
      <c r="I896" s="1">
        <f t="shared" si="69"/>
        <v>1</v>
      </c>
    </row>
    <row r="897" spans="1:9" x14ac:dyDescent="0.3">
      <c r="A897" s="26">
        <v>46187</v>
      </c>
      <c r="B897" s="27">
        <f t="shared" si="65"/>
        <v>2026</v>
      </c>
      <c r="C897" s="27">
        <f t="shared" si="66"/>
        <v>6</v>
      </c>
      <c r="D897" s="27">
        <f t="shared" si="67"/>
        <v>14</v>
      </c>
      <c r="E897" s="27">
        <f t="shared" si="68"/>
        <v>1</v>
      </c>
      <c r="F897" s="27">
        <f>VLOOKUP(E897,[1]t_calendarioPolitica!A:C,3,FALSE)</f>
        <v>0</v>
      </c>
      <c r="G897" s="1">
        <v>1</v>
      </c>
      <c r="H897" s="1">
        <v>1</v>
      </c>
      <c r="I897" s="1">
        <f t="shared" si="69"/>
        <v>0</v>
      </c>
    </row>
    <row r="898" spans="1:9" x14ac:dyDescent="0.3">
      <c r="A898" s="26">
        <v>46188</v>
      </c>
      <c r="B898" s="27">
        <f t="shared" si="65"/>
        <v>2026</v>
      </c>
      <c r="C898" s="27">
        <f t="shared" si="66"/>
        <v>6</v>
      </c>
      <c r="D898" s="27">
        <f t="shared" si="67"/>
        <v>15</v>
      </c>
      <c r="E898" s="27">
        <f t="shared" si="68"/>
        <v>2</v>
      </c>
      <c r="F898" s="27">
        <f>VLOOKUP(E898,[1]t_calendarioPolitica!A:C,3,FALSE)</f>
        <v>1</v>
      </c>
      <c r="G898" s="1">
        <v>1</v>
      </c>
      <c r="H898" s="1">
        <v>1</v>
      </c>
      <c r="I898" s="1">
        <f t="shared" si="69"/>
        <v>1</v>
      </c>
    </row>
    <row r="899" spans="1:9" x14ac:dyDescent="0.3">
      <c r="A899" s="26">
        <v>46189</v>
      </c>
      <c r="B899" s="27">
        <f t="shared" ref="B899:B962" si="70">YEAR(A899)</f>
        <v>2026</v>
      </c>
      <c r="C899" s="27">
        <f t="shared" ref="C899:C962" si="71">MONTH(A899)</f>
        <v>6</v>
      </c>
      <c r="D899" s="27">
        <f t="shared" ref="D899:D962" si="72">DAY(A899)</f>
        <v>16</v>
      </c>
      <c r="E899" s="27">
        <f t="shared" ref="E899:E962" si="73">WEEKDAY(A899)</f>
        <v>3</v>
      </c>
      <c r="F899" s="27">
        <f>VLOOKUP(E899,[1]t_calendarioPolitica!A:C,3,FALSE)</f>
        <v>1</v>
      </c>
      <c r="G899" s="1">
        <v>1</v>
      </c>
      <c r="H899" s="1">
        <v>1</v>
      </c>
      <c r="I899" s="1">
        <f t="shared" ref="I899:I962" si="74">IF(AND(F899&lt;&gt;0, H899&lt;&gt;0,G899&lt;&gt;0), 1, 0)</f>
        <v>1</v>
      </c>
    </row>
    <row r="900" spans="1:9" x14ac:dyDescent="0.3">
      <c r="A900" s="26">
        <v>46190</v>
      </c>
      <c r="B900" s="27">
        <f t="shared" si="70"/>
        <v>2026</v>
      </c>
      <c r="C900" s="27">
        <f t="shared" si="71"/>
        <v>6</v>
      </c>
      <c r="D900" s="27">
        <f t="shared" si="72"/>
        <v>17</v>
      </c>
      <c r="E900" s="27">
        <f t="shared" si="73"/>
        <v>4</v>
      </c>
      <c r="F900" s="27">
        <f>VLOOKUP(E900,[1]t_calendarioPolitica!A:C,3,FALSE)</f>
        <v>1</v>
      </c>
      <c r="G900" s="1">
        <v>1</v>
      </c>
      <c r="H900" s="1">
        <v>1</v>
      </c>
      <c r="I900" s="1">
        <f t="shared" si="74"/>
        <v>1</v>
      </c>
    </row>
    <row r="901" spans="1:9" x14ac:dyDescent="0.3">
      <c r="A901" s="26">
        <v>46191</v>
      </c>
      <c r="B901" s="27">
        <f t="shared" si="70"/>
        <v>2026</v>
      </c>
      <c r="C901" s="27">
        <f t="shared" si="71"/>
        <v>6</v>
      </c>
      <c r="D901" s="27">
        <f t="shared" si="72"/>
        <v>18</v>
      </c>
      <c r="E901" s="27">
        <f t="shared" si="73"/>
        <v>5</v>
      </c>
      <c r="F901" s="27">
        <f>VLOOKUP(E901,[1]t_calendarioPolitica!A:C,3,FALSE)</f>
        <v>1</v>
      </c>
      <c r="G901" s="1">
        <v>1</v>
      </c>
      <c r="H901" s="1">
        <v>1</v>
      </c>
      <c r="I901" s="1">
        <f t="shared" si="74"/>
        <v>1</v>
      </c>
    </row>
    <row r="902" spans="1:9" x14ac:dyDescent="0.3">
      <c r="A902" s="26">
        <v>46192</v>
      </c>
      <c r="B902" s="27">
        <f t="shared" si="70"/>
        <v>2026</v>
      </c>
      <c r="C902" s="27">
        <f t="shared" si="71"/>
        <v>6</v>
      </c>
      <c r="D902" s="27">
        <f t="shared" si="72"/>
        <v>19</v>
      </c>
      <c r="E902" s="27">
        <f t="shared" si="73"/>
        <v>6</v>
      </c>
      <c r="F902" s="27">
        <f>VLOOKUP(E902,[1]t_calendarioPolitica!A:C,3,FALSE)</f>
        <v>1</v>
      </c>
      <c r="G902" s="1">
        <v>1</v>
      </c>
      <c r="H902" s="1">
        <v>1</v>
      </c>
      <c r="I902" s="1">
        <f t="shared" si="74"/>
        <v>1</v>
      </c>
    </row>
    <row r="903" spans="1:9" x14ac:dyDescent="0.3">
      <c r="A903" s="26">
        <v>46193</v>
      </c>
      <c r="B903" s="27">
        <f t="shared" si="70"/>
        <v>2026</v>
      </c>
      <c r="C903" s="27">
        <f t="shared" si="71"/>
        <v>6</v>
      </c>
      <c r="D903" s="27">
        <f t="shared" si="72"/>
        <v>20</v>
      </c>
      <c r="E903" s="27">
        <f t="shared" si="73"/>
        <v>7</v>
      </c>
      <c r="F903" s="27">
        <f>VLOOKUP(E903,[1]t_calendarioPolitica!A:C,3,FALSE)</f>
        <v>2</v>
      </c>
      <c r="G903" s="1">
        <v>1</v>
      </c>
      <c r="H903" s="1">
        <v>1</v>
      </c>
      <c r="I903" s="1">
        <f t="shared" si="74"/>
        <v>1</v>
      </c>
    </row>
    <row r="904" spans="1:9" x14ac:dyDescent="0.3">
      <c r="A904" s="26">
        <v>46194</v>
      </c>
      <c r="B904" s="27">
        <f t="shared" si="70"/>
        <v>2026</v>
      </c>
      <c r="C904" s="27">
        <f t="shared" si="71"/>
        <v>6</v>
      </c>
      <c r="D904" s="27">
        <f t="shared" si="72"/>
        <v>21</v>
      </c>
      <c r="E904" s="27">
        <f t="shared" si="73"/>
        <v>1</v>
      </c>
      <c r="F904" s="27">
        <f>VLOOKUP(E904,[1]t_calendarioPolitica!A:C,3,FALSE)</f>
        <v>0</v>
      </c>
      <c r="G904" s="1">
        <v>1</v>
      </c>
      <c r="H904" s="1">
        <v>1</v>
      </c>
      <c r="I904" s="1">
        <f t="shared" si="74"/>
        <v>0</v>
      </c>
    </row>
    <row r="905" spans="1:9" x14ac:dyDescent="0.3">
      <c r="A905" s="26">
        <v>46195</v>
      </c>
      <c r="B905" s="27">
        <f t="shared" si="70"/>
        <v>2026</v>
      </c>
      <c r="C905" s="27">
        <f t="shared" si="71"/>
        <v>6</v>
      </c>
      <c r="D905" s="27">
        <f t="shared" si="72"/>
        <v>22</v>
      </c>
      <c r="E905" s="27">
        <f t="shared" si="73"/>
        <v>2</v>
      </c>
      <c r="F905" s="27">
        <f>VLOOKUP(E905,[1]t_calendarioPolitica!A:C,3,FALSE)</f>
        <v>1</v>
      </c>
      <c r="G905" s="1">
        <v>1</v>
      </c>
      <c r="H905" s="1">
        <v>1</v>
      </c>
      <c r="I905" s="1">
        <f t="shared" si="74"/>
        <v>1</v>
      </c>
    </row>
    <row r="906" spans="1:9" x14ac:dyDescent="0.3">
      <c r="A906" s="26">
        <v>46196</v>
      </c>
      <c r="B906" s="27">
        <f t="shared" si="70"/>
        <v>2026</v>
      </c>
      <c r="C906" s="27">
        <f t="shared" si="71"/>
        <v>6</v>
      </c>
      <c r="D906" s="27">
        <f t="shared" si="72"/>
        <v>23</v>
      </c>
      <c r="E906" s="27">
        <f t="shared" si="73"/>
        <v>3</v>
      </c>
      <c r="F906" s="27">
        <f>VLOOKUP(E906,[1]t_calendarioPolitica!A:C,3,FALSE)</f>
        <v>1</v>
      </c>
      <c r="G906" s="1">
        <v>1</v>
      </c>
      <c r="H906" s="1">
        <v>1</v>
      </c>
      <c r="I906" s="1">
        <f t="shared" si="74"/>
        <v>1</v>
      </c>
    </row>
    <row r="907" spans="1:9" x14ac:dyDescent="0.3">
      <c r="A907" s="26">
        <v>46197</v>
      </c>
      <c r="B907" s="27">
        <f t="shared" si="70"/>
        <v>2026</v>
      </c>
      <c r="C907" s="27">
        <f t="shared" si="71"/>
        <v>6</v>
      </c>
      <c r="D907" s="27">
        <f t="shared" si="72"/>
        <v>24</v>
      </c>
      <c r="E907" s="27">
        <f t="shared" si="73"/>
        <v>4</v>
      </c>
      <c r="F907" s="27">
        <f>VLOOKUP(E907,[1]t_calendarioPolitica!A:C,3,FALSE)</f>
        <v>1</v>
      </c>
      <c r="G907" s="1">
        <v>1</v>
      </c>
      <c r="H907" s="1">
        <v>1</v>
      </c>
      <c r="I907" s="1">
        <f t="shared" si="74"/>
        <v>1</v>
      </c>
    </row>
    <row r="908" spans="1:9" x14ac:dyDescent="0.3">
      <c r="A908" s="26">
        <v>46198</v>
      </c>
      <c r="B908" s="27">
        <f t="shared" si="70"/>
        <v>2026</v>
      </c>
      <c r="C908" s="27">
        <f t="shared" si="71"/>
        <v>6</v>
      </c>
      <c r="D908" s="27">
        <f t="shared" si="72"/>
        <v>25</v>
      </c>
      <c r="E908" s="27">
        <f t="shared" si="73"/>
        <v>5</v>
      </c>
      <c r="F908" s="27">
        <f>VLOOKUP(E908,[1]t_calendarioPolitica!A:C,3,FALSE)</f>
        <v>1</v>
      </c>
      <c r="G908" s="1">
        <v>1</v>
      </c>
      <c r="H908" s="1">
        <v>1</v>
      </c>
      <c r="I908" s="1">
        <f t="shared" si="74"/>
        <v>1</v>
      </c>
    </row>
    <row r="909" spans="1:9" x14ac:dyDescent="0.3">
      <c r="A909" s="26">
        <v>46199</v>
      </c>
      <c r="B909" s="27">
        <f t="shared" si="70"/>
        <v>2026</v>
      </c>
      <c r="C909" s="27">
        <f t="shared" si="71"/>
        <v>6</v>
      </c>
      <c r="D909" s="27">
        <f t="shared" si="72"/>
        <v>26</v>
      </c>
      <c r="E909" s="27">
        <f t="shared" si="73"/>
        <v>6</v>
      </c>
      <c r="F909" s="27">
        <f>VLOOKUP(E909,[1]t_calendarioPolitica!A:C,3,FALSE)</f>
        <v>1</v>
      </c>
      <c r="G909" s="1">
        <v>1</v>
      </c>
      <c r="H909" s="1">
        <v>1</v>
      </c>
      <c r="I909" s="1">
        <f t="shared" si="74"/>
        <v>1</v>
      </c>
    </row>
    <row r="910" spans="1:9" x14ac:dyDescent="0.3">
      <c r="A910" s="26">
        <v>46200</v>
      </c>
      <c r="B910" s="27">
        <f t="shared" si="70"/>
        <v>2026</v>
      </c>
      <c r="C910" s="27">
        <f t="shared" si="71"/>
        <v>6</v>
      </c>
      <c r="D910" s="27">
        <f t="shared" si="72"/>
        <v>27</v>
      </c>
      <c r="E910" s="27">
        <f t="shared" si="73"/>
        <v>7</v>
      </c>
      <c r="F910" s="27">
        <f>VLOOKUP(E910,[1]t_calendarioPolitica!A:C,3,FALSE)</f>
        <v>2</v>
      </c>
      <c r="G910" s="1">
        <v>1</v>
      </c>
      <c r="H910" s="1">
        <v>1</v>
      </c>
      <c r="I910" s="1">
        <f t="shared" si="74"/>
        <v>1</v>
      </c>
    </row>
    <row r="911" spans="1:9" x14ac:dyDescent="0.3">
      <c r="A911" s="26">
        <v>46201</v>
      </c>
      <c r="B911" s="27">
        <f t="shared" si="70"/>
        <v>2026</v>
      </c>
      <c r="C911" s="27">
        <f t="shared" si="71"/>
        <v>6</v>
      </c>
      <c r="D911" s="27">
        <f t="shared" si="72"/>
        <v>28</v>
      </c>
      <c r="E911" s="27">
        <f t="shared" si="73"/>
        <v>1</v>
      </c>
      <c r="F911" s="27">
        <f>VLOOKUP(E911,[1]t_calendarioPolitica!A:C,3,FALSE)</f>
        <v>0</v>
      </c>
      <c r="G911" s="1">
        <v>1</v>
      </c>
      <c r="H911" s="1">
        <v>1</v>
      </c>
      <c r="I911" s="1">
        <f t="shared" si="74"/>
        <v>0</v>
      </c>
    </row>
    <row r="912" spans="1:9" x14ac:dyDescent="0.3">
      <c r="A912" s="26">
        <v>46202</v>
      </c>
      <c r="B912" s="27">
        <f t="shared" si="70"/>
        <v>2026</v>
      </c>
      <c r="C912" s="27">
        <f t="shared" si="71"/>
        <v>6</v>
      </c>
      <c r="D912" s="27">
        <f t="shared" si="72"/>
        <v>29</v>
      </c>
      <c r="E912" s="27">
        <f t="shared" si="73"/>
        <v>2</v>
      </c>
      <c r="F912" s="27">
        <f>VLOOKUP(E912,[1]t_calendarioPolitica!A:C,3,FALSE)</f>
        <v>1</v>
      </c>
      <c r="G912" s="1">
        <v>1</v>
      </c>
      <c r="H912" s="1">
        <v>1</v>
      </c>
      <c r="I912" s="1">
        <f t="shared" si="74"/>
        <v>1</v>
      </c>
    </row>
    <row r="913" spans="1:9" x14ac:dyDescent="0.3">
      <c r="A913" s="26">
        <v>46203</v>
      </c>
      <c r="B913" s="27">
        <f t="shared" si="70"/>
        <v>2026</v>
      </c>
      <c r="C913" s="27">
        <f t="shared" si="71"/>
        <v>6</v>
      </c>
      <c r="D913" s="27">
        <f t="shared" si="72"/>
        <v>30</v>
      </c>
      <c r="E913" s="27">
        <f t="shared" si="73"/>
        <v>3</v>
      </c>
      <c r="F913" s="27">
        <f>VLOOKUP(E913,[1]t_calendarioPolitica!A:C,3,FALSE)</f>
        <v>1</v>
      </c>
      <c r="G913" s="1">
        <v>1</v>
      </c>
      <c r="H913" s="1">
        <v>1</v>
      </c>
      <c r="I913" s="1">
        <f t="shared" si="74"/>
        <v>1</v>
      </c>
    </row>
    <row r="914" spans="1:9" x14ac:dyDescent="0.3">
      <c r="A914" s="26">
        <v>46204</v>
      </c>
      <c r="B914" s="27">
        <f t="shared" si="70"/>
        <v>2026</v>
      </c>
      <c r="C914" s="27">
        <f t="shared" si="71"/>
        <v>7</v>
      </c>
      <c r="D914" s="27">
        <f t="shared" si="72"/>
        <v>1</v>
      </c>
      <c r="E914" s="27">
        <f t="shared" si="73"/>
        <v>4</v>
      </c>
      <c r="F914" s="27">
        <f>VLOOKUP(E914,[1]t_calendarioPolitica!A:C,3,FALSE)</f>
        <v>1</v>
      </c>
      <c r="G914" s="1">
        <v>1</v>
      </c>
      <c r="H914" s="1">
        <v>1</v>
      </c>
      <c r="I914" s="1">
        <f t="shared" si="74"/>
        <v>1</v>
      </c>
    </row>
    <row r="915" spans="1:9" x14ac:dyDescent="0.3">
      <c r="A915" s="26">
        <v>46205</v>
      </c>
      <c r="B915" s="27">
        <f t="shared" si="70"/>
        <v>2026</v>
      </c>
      <c r="C915" s="27">
        <f t="shared" si="71"/>
        <v>7</v>
      </c>
      <c r="D915" s="27">
        <f t="shared" si="72"/>
        <v>2</v>
      </c>
      <c r="E915" s="27">
        <f t="shared" si="73"/>
        <v>5</v>
      </c>
      <c r="F915" s="27">
        <f>VLOOKUP(E915,[1]t_calendarioPolitica!A:C,3,FALSE)</f>
        <v>1</v>
      </c>
      <c r="G915" s="1">
        <v>1</v>
      </c>
      <c r="H915" s="1">
        <v>1</v>
      </c>
      <c r="I915" s="1">
        <f t="shared" si="74"/>
        <v>1</v>
      </c>
    </row>
    <row r="916" spans="1:9" x14ac:dyDescent="0.3">
      <c r="A916" s="26">
        <v>46206</v>
      </c>
      <c r="B916" s="27">
        <f t="shared" si="70"/>
        <v>2026</v>
      </c>
      <c r="C916" s="27">
        <f t="shared" si="71"/>
        <v>7</v>
      </c>
      <c r="D916" s="27">
        <f t="shared" si="72"/>
        <v>3</v>
      </c>
      <c r="E916" s="27">
        <f t="shared" si="73"/>
        <v>6</v>
      </c>
      <c r="F916" s="27">
        <f>VLOOKUP(E916,[1]t_calendarioPolitica!A:C,3,FALSE)</f>
        <v>1</v>
      </c>
      <c r="G916" s="1">
        <v>1</v>
      </c>
      <c r="H916" s="1">
        <v>1</v>
      </c>
      <c r="I916" s="1">
        <f t="shared" si="74"/>
        <v>1</v>
      </c>
    </row>
    <row r="917" spans="1:9" x14ac:dyDescent="0.3">
      <c r="A917" s="26">
        <v>46207</v>
      </c>
      <c r="B917" s="27">
        <f t="shared" si="70"/>
        <v>2026</v>
      </c>
      <c r="C917" s="27">
        <f t="shared" si="71"/>
        <v>7</v>
      </c>
      <c r="D917" s="27">
        <f t="shared" si="72"/>
        <v>4</v>
      </c>
      <c r="E917" s="27">
        <f t="shared" si="73"/>
        <v>7</v>
      </c>
      <c r="F917" s="27">
        <f>VLOOKUP(E917,[1]t_calendarioPolitica!A:C,3,FALSE)</f>
        <v>2</v>
      </c>
      <c r="G917" s="1">
        <v>1</v>
      </c>
      <c r="H917" s="1">
        <v>1</v>
      </c>
      <c r="I917" s="1">
        <f t="shared" si="74"/>
        <v>1</v>
      </c>
    </row>
    <row r="918" spans="1:9" x14ac:dyDescent="0.3">
      <c r="A918" s="26">
        <v>46208</v>
      </c>
      <c r="B918" s="27">
        <f t="shared" si="70"/>
        <v>2026</v>
      </c>
      <c r="C918" s="27">
        <f t="shared" si="71"/>
        <v>7</v>
      </c>
      <c r="D918" s="27">
        <f t="shared" si="72"/>
        <v>5</v>
      </c>
      <c r="E918" s="27">
        <f t="shared" si="73"/>
        <v>1</v>
      </c>
      <c r="F918" s="27">
        <f>VLOOKUP(E918,[1]t_calendarioPolitica!A:C,3,FALSE)</f>
        <v>0</v>
      </c>
      <c r="G918" s="1">
        <v>1</v>
      </c>
      <c r="H918" s="1">
        <v>1</v>
      </c>
      <c r="I918" s="1">
        <f t="shared" si="74"/>
        <v>0</v>
      </c>
    </row>
    <row r="919" spans="1:9" x14ac:dyDescent="0.3">
      <c r="A919" s="26">
        <v>46209</v>
      </c>
      <c r="B919" s="27">
        <f t="shared" si="70"/>
        <v>2026</v>
      </c>
      <c r="C919" s="27">
        <f t="shared" si="71"/>
        <v>7</v>
      </c>
      <c r="D919" s="27">
        <f t="shared" si="72"/>
        <v>6</v>
      </c>
      <c r="E919" s="27">
        <f t="shared" si="73"/>
        <v>2</v>
      </c>
      <c r="F919" s="27">
        <f>VLOOKUP(E919,[1]t_calendarioPolitica!A:C,3,FALSE)</f>
        <v>1</v>
      </c>
      <c r="G919" s="1">
        <v>1</v>
      </c>
      <c r="H919" s="1">
        <v>1</v>
      </c>
      <c r="I919" s="1">
        <f t="shared" si="74"/>
        <v>1</v>
      </c>
    </row>
    <row r="920" spans="1:9" x14ac:dyDescent="0.3">
      <c r="A920" s="26">
        <v>46210</v>
      </c>
      <c r="B920" s="27">
        <f t="shared" si="70"/>
        <v>2026</v>
      </c>
      <c r="C920" s="27">
        <f t="shared" si="71"/>
        <v>7</v>
      </c>
      <c r="D920" s="27">
        <f t="shared" si="72"/>
        <v>7</v>
      </c>
      <c r="E920" s="27">
        <f t="shared" si="73"/>
        <v>3</v>
      </c>
      <c r="F920" s="27">
        <f>VLOOKUP(E920,[1]t_calendarioPolitica!A:C,3,FALSE)</f>
        <v>1</v>
      </c>
      <c r="G920" s="1">
        <v>1</v>
      </c>
      <c r="H920" s="1">
        <v>1</v>
      </c>
      <c r="I920" s="1">
        <f t="shared" si="74"/>
        <v>1</v>
      </c>
    </row>
    <row r="921" spans="1:9" x14ac:dyDescent="0.3">
      <c r="A921" s="26">
        <v>46211</v>
      </c>
      <c r="B921" s="27">
        <f t="shared" si="70"/>
        <v>2026</v>
      </c>
      <c r="C921" s="27">
        <f t="shared" si="71"/>
        <v>7</v>
      </c>
      <c r="D921" s="27">
        <f t="shared" si="72"/>
        <v>8</v>
      </c>
      <c r="E921" s="27">
        <f t="shared" si="73"/>
        <v>4</v>
      </c>
      <c r="F921" s="27">
        <f>VLOOKUP(E921,[1]t_calendarioPolitica!A:C,3,FALSE)</f>
        <v>1</v>
      </c>
      <c r="G921" s="1">
        <v>1</v>
      </c>
      <c r="H921" s="1">
        <v>1</v>
      </c>
      <c r="I921" s="1">
        <f t="shared" si="74"/>
        <v>1</v>
      </c>
    </row>
    <row r="922" spans="1:9" x14ac:dyDescent="0.3">
      <c r="A922" s="26">
        <v>46212</v>
      </c>
      <c r="B922" s="27">
        <f t="shared" si="70"/>
        <v>2026</v>
      </c>
      <c r="C922" s="27">
        <f t="shared" si="71"/>
        <v>7</v>
      </c>
      <c r="D922" s="27">
        <f t="shared" si="72"/>
        <v>9</v>
      </c>
      <c r="E922" s="27">
        <f t="shared" si="73"/>
        <v>5</v>
      </c>
      <c r="F922" s="27">
        <f>VLOOKUP(E922,[1]t_calendarioPolitica!A:C,3,FALSE)</f>
        <v>1</v>
      </c>
      <c r="G922" s="1">
        <v>1</v>
      </c>
      <c r="H922" s="1">
        <v>1</v>
      </c>
      <c r="I922" s="1">
        <f t="shared" si="74"/>
        <v>1</v>
      </c>
    </row>
    <row r="923" spans="1:9" x14ac:dyDescent="0.3">
      <c r="A923" s="26">
        <v>46213</v>
      </c>
      <c r="B923" s="27">
        <f t="shared" si="70"/>
        <v>2026</v>
      </c>
      <c r="C923" s="27">
        <f t="shared" si="71"/>
        <v>7</v>
      </c>
      <c r="D923" s="27">
        <f t="shared" si="72"/>
        <v>10</v>
      </c>
      <c r="E923" s="27">
        <f t="shared" si="73"/>
        <v>6</v>
      </c>
      <c r="F923" s="27">
        <f>VLOOKUP(E923,[1]t_calendarioPolitica!A:C,3,FALSE)</f>
        <v>1</v>
      </c>
      <c r="G923" s="1">
        <v>1</v>
      </c>
      <c r="H923" s="1">
        <v>1</v>
      </c>
      <c r="I923" s="1">
        <f t="shared" si="74"/>
        <v>1</v>
      </c>
    </row>
    <row r="924" spans="1:9" x14ac:dyDescent="0.3">
      <c r="A924" s="26">
        <v>46214</v>
      </c>
      <c r="B924" s="27">
        <f t="shared" si="70"/>
        <v>2026</v>
      </c>
      <c r="C924" s="27">
        <f t="shared" si="71"/>
        <v>7</v>
      </c>
      <c r="D924" s="27">
        <f t="shared" si="72"/>
        <v>11</v>
      </c>
      <c r="E924" s="27">
        <f t="shared" si="73"/>
        <v>7</v>
      </c>
      <c r="F924" s="27">
        <f>VLOOKUP(E924,[1]t_calendarioPolitica!A:C,3,FALSE)</f>
        <v>2</v>
      </c>
      <c r="G924" s="1">
        <v>1</v>
      </c>
      <c r="H924" s="1">
        <v>1</v>
      </c>
      <c r="I924" s="1">
        <f t="shared" si="74"/>
        <v>1</v>
      </c>
    </row>
    <row r="925" spans="1:9" x14ac:dyDescent="0.3">
      <c r="A925" s="26">
        <v>46215</v>
      </c>
      <c r="B925" s="27">
        <f t="shared" si="70"/>
        <v>2026</v>
      </c>
      <c r="C925" s="27">
        <f t="shared" si="71"/>
        <v>7</v>
      </c>
      <c r="D925" s="27">
        <f t="shared" si="72"/>
        <v>12</v>
      </c>
      <c r="E925" s="27">
        <f t="shared" si="73"/>
        <v>1</v>
      </c>
      <c r="F925" s="27">
        <f>VLOOKUP(E925,[1]t_calendarioPolitica!A:C,3,FALSE)</f>
        <v>0</v>
      </c>
      <c r="G925" s="1">
        <v>1</v>
      </c>
      <c r="H925" s="1">
        <v>1</v>
      </c>
      <c r="I925" s="1">
        <f t="shared" si="74"/>
        <v>0</v>
      </c>
    </row>
    <row r="926" spans="1:9" x14ac:dyDescent="0.3">
      <c r="A926" s="26">
        <v>46216</v>
      </c>
      <c r="B926" s="27">
        <f t="shared" si="70"/>
        <v>2026</v>
      </c>
      <c r="C926" s="27">
        <f t="shared" si="71"/>
        <v>7</v>
      </c>
      <c r="D926" s="27">
        <f t="shared" si="72"/>
        <v>13</v>
      </c>
      <c r="E926" s="27">
        <f t="shared" si="73"/>
        <v>2</v>
      </c>
      <c r="F926" s="27">
        <f>VLOOKUP(E926,[1]t_calendarioPolitica!A:C,3,FALSE)</f>
        <v>1</v>
      </c>
      <c r="G926" s="1">
        <v>1</v>
      </c>
      <c r="H926" s="1">
        <v>1</v>
      </c>
      <c r="I926" s="1">
        <f t="shared" si="74"/>
        <v>1</v>
      </c>
    </row>
    <row r="927" spans="1:9" x14ac:dyDescent="0.3">
      <c r="A927" s="26">
        <v>46217</v>
      </c>
      <c r="B927" s="27">
        <f t="shared" si="70"/>
        <v>2026</v>
      </c>
      <c r="C927" s="27">
        <f t="shared" si="71"/>
        <v>7</v>
      </c>
      <c r="D927" s="27">
        <f t="shared" si="72"/>
        <v>14</v>
      </c>
      <c r="E927" s="27">
        <f t="shared" si="73"/>
        <v>3</v>
      </c>
      <c r="F927" s="27">
        <f>VLOOKUP(E927,[1]t_calendarioPolitica!A:C,3,FALSE)</f>
        <v>1</v>
      </c>
      <c r="G927" s="1">
        <v>1</v>
      </c>
      <c r="H927" s="1">
        <v>1</v>
      </c>
      <c r="I927" s="1">
        <f t="shared" si="74"/>
        <v>1</v>
      </c>
    </row>
    <row r="928" spans="1:9" x14ac:dyDescent="0.3">
      <c r="A928" s="26">
        <v>46218</v>
      </c>
      <c r="B928" s="27">
        <f t="shared" si="70"/>
        <v>2026</v>
      </c>
      <c r="C928" s="27">
        <f t="shared" si="71"/>
        <v>7</v>
      </c>
      <c r="D928" s="27">
        <f t="shared" si="72"/>
        <v>15</v>
      </c>
      <c r="E928" s="27">
        <f t="shared" si="73"/>
        <v>4</v>
      </c>
      <c r="F928" s="27">
        <f>VLOOKUP(E928,[1]t_calendarioPolitica!A:C,3,FALSE)</f>
        <v>1</v>
      </c>
      <c r="G928" s="1">
        <v>1</v>
      </c>
      <c r="H928" s="1">
        <v>1</v>
      </c>
      <c r="I928" s="1">
        <f t="shared" si="74"/>
        <v>1</v>
      </c>
    </row>
    <row r="929" spans="1:9" x14ac:dyDescent="0.3">
      <c r="A929" s="26">
        <v>46219</v>
      </c>
      <c r="B929" s="27">
        <f t="shared" si="70"/>
        <v>2026</v>
      </c>
      <c r="C929" s="27">
        <f t="shared" si="71"/>
        <v>7</v>
      </c>
      <c r="D929" s="27">
        <f t="shared" si="72"/>
        <v>16</v>
      </c>
      <c r="E929" s="27">
        <f t="shared" si="73"/>
        <v>5</v>
      </c>
      <c r="F929" s="27">
        <f>VLOOKUP(E929,[1]t_calendarioPolitica!A:C,3,FALSE)</f>
        <v>1</v>
      </c>
      <c r="G929" s="1">
        <v>1</v>
      </c>
      <c r="H929" s="1">
        <v>1</v>
      </c>
      <c r="I929" s="1">
        <f t="shared" si="74"/>
        <v>1</v>
      </c>
    </row>
    <row r="930" spans="1:9" x14ac:dyDescent="0.3">
      <c r="A930" s="26">
        <v>46220</v>
      </c>
      <c r="B930" s="27">
        <f t="shared" si="70"/>
        <v>2026</v>
      </c>
      <c r="C930" s="27">
        <f t="shared" si="71"/>
        <v>7</v>
      </c>
      <c r="D930" s="27">
        <f t="shared" si="72"/>
        <v>17</v>
      </c>
      <c r="E930" s="27">
        <f t="shared" si="73"/>
        <v>6</v>
      </c>
      <c r="F930" s="27">
        <f>VLOOKUP(E930,[1]t_calendarioPolitica!A:C,3,FALSE)</f>
        <v>1</v>
      </c>
      <c r="G930" s="1">
        <v>1</v>
      </c>
      <c r="H930" s="1">
        <v>1</v>
      </c>
      <c r="I930" s="1">
        <f t="shared" si="74"/>
        <v>1</v>
      </c>
    </row>
    <row r="931" spans="1:9" x14ac:dyDescent="0.3">
      <c r="A931" s="26">
        <v>46221</v>
      </c>
      <c r="B931" s="27">
        <f t="shared" si="70"/>
        <v>2026</v>
      </c>
      <c r="C931" s="27">
        <f t="shared" si="71"/>
        <v>7</v>
      </c>
      <c r="D931" s="27">
        <f t="shared" si="72"/>
        <v>18</v>
      </c>
      <c r="E931" s="27">
        <f t="shared" si="73"/>
        <v>7</v>
      </c>
      <c r="F931" s="27">
        <f>VLOOKUP(E931,[1]t_calendarioPolitica!A:C,3,FALSE)</f>
        <v>2</v>
      </c>
      <c r="G931" s="1">
        <v>1</v>
      </c>
      <c r="H931" s="1">
        <v>1</v>
      </c>
      <c r="I931" s="1">
        <f t="shared" si="74"/>
        <v>1</v>
      </c>
    </row>
    <row r="932" spans="1:9" x14ac:dyDescent="0.3">
      <c r="A932" s="26">
        <v>46222</v>
      </c>
      <c r="B932" s="27">
        <f t="shared" si="70"/>
        <v>2026</v>
      </c>
      <c r="C932" s="27">
        <f t="shared" si="71"/>
        <v>7</v>
      </c>
      <c r="D932" s="27">
        <f t="shared" si="72"/>
        <v>19</v>
      </c>
      <c r="E932" s="27">
        <f t="shared" si="73"/>
        <v>1</v>
      </c>
      <c r="F932" s="27">
        <f>VLOOKUP(E932,[1]t_calendarioPolitica!A:C,3,FALSE)</f>
        <v>0</v>
      </c>
      <c r="G932" s="1">
        <v>1</v>
      </c>
      <c r="H932" s="1">
        <v>1</v>
      </c>
      <c r="I932" s="1">
        <f t="shared" si="74"/>
        <v>0</v>
      </c>
    </row>
    <row r="933" spans="1:9" x14ac:dyDescent="0.3">
      <c r="A933" s="26">
        <v>46223</v>
      </c>
      <c r="B933" s="27">
        <f t="shared" si="70"/>
        <v>2026</v>
      </c>
      <c r="C933" s="27">
        <f t="shared" si="71"/>
        <v>7</v>
      </c>
      <c r="D933" s="27">
        <f t="shared" si="72"/>
        <v>20</v>
      </c>
      <c r="E933" s="27">
        <f t="shared" si="73"/>
        <v>2</v>
      </c>
      <c r="F933" s="27">
        <f>VLOOKUP(E933,[1]t_calendarioPolitica!A:C,3,FALSE)</f>
        <v>1</v>
      </c>
      <c r="G933" s="1">
        <v>1</v>
      </c>
      <c r="H933" s="1">
        <v>1</v>
      </c>
      <c r="I933" s="1">
        <f t="shared" si="74"/>
        <v>1</v>
      </c>
    </row>
    <row r="934" spans="1:9" x14ac:dyDescent="0.3">
      <c r="A934" s="26">
        <v>46224</v>
      </c>
      <c r="B934" s="27">
        <f t="shared" si="70"/>
        <v>2026</v>
      </c>
      <c r="C934" s="27">
        <f t="shared" si="71"/>
        <v>7</v>
      </c>
      <c r="D934" s="27">
        <f t="shared" si="72"/>
        <v>21</v>
      </c>
      <c r="E934" s="27">
        <f t="shared" si="73"/>
        <v>3</v>
      </c>
      <c r="F934" s="27">
        <f>VLOOKUP(E934,[1]t_calendarioPolitica!A:C,3,FALSE)</f>
        <v>1</v>
      </c>
      <c r="G934" s="1">
        <v>1</v>
      </c>
      <c r="H934" s="1">
        <v>1</v>
      </c>
      <c r="I934" s="1">
        <f t="shared" si="74"/>
        <v>1</v>
      </c>
    </row>
    <row r="935" spans="1:9" x14ac:dyDescent="0.3">
      <c r="A935" s="26">
        <v>46225</v>
      </c>
      <c r="B935" s="27">
        <f t="shared" si="70"/>
        <v>2026</v>
      </c>
      <c r="C935" s="27">
        <f t="shared" si="71"/>
        <v>7</v>
      </c>
      <c r="D935" s="27">
        <f t="shared" si="72"/>
        <v>22</v>
      </c>
      <c r="E935" s="27">
        <f t="shared" si="73"/>
        <v>4</v>
      </c>
      <c r="F935" s="27">
        <f>VLOOKUP(E935,[1]t_calendarioPolitica!A:C,3,FALSE)</f>
        <v>1</v>
      </c>
      <c r="G935" s="1">
        <v>1</v>
      </c>
      <c r="H935" s="1">
        <v>1</v>
      </c>
      <c r="I935" s="1">
        <f t="shared" si="74"/>
        <v>1</v>
      </c>
    </row>
    <row r="936" spans="1:9" x14ac:dyDescent="0.3">
      <c r="A936" s="26">
        <v>46226</v>
      </c>
      <c r="B936" s="27">
        <f t="shared" si="70"/>
        <v>2026</v>
      </c>
      <c r="C936" s="27">
        <f t="shared" si="71"/>
        <v>7</v>
      </c>
      <c r="D936" s="27">
        <f t="shared" si="72"/>
        <v>23</v>
      </c>
      <c r="E936" s="27">
        <f t="shared" si="73"/>
        <v>5</v>
      </c>
      <c r="F936" s="27">
        <f>VLOOKUP(E936,[1]t_calendarioPolitica!A:C,3,FALSE)</f>
        <v>1</v>
      </c>
      <c r="G936" s="1">
        <v>1</v>
      </c>
      <c r="H936" s="1">
        <v>1</v>
      </c>
      <c r="I936" s="1">
        <f t="shared" si="74"/>
        <v>1</v>
      </c>
    </row>
    <row r="937" spans="1:9" x14ac:dyDescent="0.3">
      <c r="A937" s="26">
        <v>46227</v>
      </c>
      <c r="B937" s="27">
        <f t="shared" si="70"/>
        <v>2026</v>
      </c>
      <c r="C937" s="27">
        <f t="shared" si="71"/>
        <v>7</v>
      </c>
      <c r="D937" s="27">
        <f t="shared" si="72"/>
        <v>24</v>
      </c>
      <c r="E937" s="27">
        <f t="shared" si="73"/>
        <v>6</v>
      </c>
      <c r="F937" s="27">
        <f>VLOOKUP(E937,[1]t_calendarioPolitica!A:C,3,FALSE)</f>
        <v>1</v>
      </c>
      <c r="G937" s="1">
        <v>1</v>
      </c>
      <c r="H937" s="1">
        <v>1</v>
      </c>
      <c r="I937" s="1">
        <f t="shared" si="74"/>
        <v>1</v>
      </c>
    </row>
    <row r="938" spans="1:9" x14ac:dyDescent="0.3">
      <c r="A938" s="26">
        <v>46228</v>
      </c>
      <c r="B938" s="27">
        <f t="shared" si="70"/>
        <v>2026</v>
      </c>
      <c r="C938" s="27">
        <f t="shared" si="71"/>
        <v>7</v>
      </c>
      <c r="D938" s="27">
        <f t="shared" si="72"/>
        <v>25</v>
      </c>
      <c r="E938" s="27">
        <f t="shared" si="73"/>
        <v>7</v>
      </c>
      <c r="F938" s="27">
        <f>VLOOKUP(E938,[1]t_calendarioPolitica!A:C,3,FALSE)</f>
        <v>2</v>
      </c>
      <c r="G938" s="1">
        <v>1</v>
      </c>
      <c r="H938" s="1">
        <v>1</v>
      </c>
      <c r="I938" s="1">
        <f t="shared" si="74"/>
        <v>1</v>
      </c>
    </row>
    <row r="939" spans="1:9" x14ac:dyDescent="0.3">
      <c r="A939" s="26">
        <v>46229</v>
      </c>
      <c r="B939" s="27">
        <f t="shared" si="70"/>
        <v>2026</v>
      </c>
      <c r="C939" s="27">
        <f t="shared" si="71"/>
        <v>7</v>
      </c>
      <c r="D939" s="27">
        <f t="shared" si="72"/>
        <v>26</v>
      </c>
      <c r="E939" s="27">
        <f t="shared" si="73"/>
        <v>1</v>
      </c>
      <c r="F939" s="27">
        <f>VLOOKUP(E939,[1]t_calendarioPolitica!A:C,3,FALSE)</f>
        <v>0</v>
      </c>
      <c r="G939" s="1">
        <v>1</v>
      </c>
      <c r="H939" s="1">
        <v>1</v>
      </c>
      <c r="I939" s="1">
        <f t="shared" si="74"/>
        <v>0</v>
      </c>
    </row>
    <row r="940" spans="1:9" x14ac:dyDescent="0.3">
      <c r="A940" s="26">
        <v>46230</v>
      </c>
      <c r="B940" s="27">
        <f t="shared" si="70"/>
        <v>2026</v>
      </c>
      <c r="C940" s="27">
        <f t="shared" si="71"/>
        <v>7</v>
      </c>
      <c r="D940" s="27">
        <f t="shared" si="72"/>
        <v>27</v>
      </c>
      <c r="E940" s="27">
        <f t="shared" si="73"/>
        <v>2</v>
      </c>
      <c r="F940" s="27">
        <f>VLOOKUP(E940,[1]t_calendarioPolitica!A:C,3,FALSE)</f>
        <v>1</v>
      </c>
      <c r="G940" s="1">
        <v>1</v>
      </c>
      <c r="H940" s="1">
        <v>1</v>
      </c>
      <c r="I940" s="1">
        <f t="shared" si="74"/>
        <v>1</v>
      </c>
    </row>
    <row r="941" spans="1:9" x14ac:dyDescent="0.3">
      <c r="A941" s="26">
        <v>46231</v>
      </c>
      <c r="B941" s="27">
        <f t="shared" si="70"/>
        <v>2026</v>
      </c>
      <c r="C941" s="27">
        <f t="shared" si="71"/>
        <v>7</v>
      </c>
      <c r="D941" s="27">
        <f t="shared" si="72"/>
        <v>28</v>
      </c>
      <c r="E941" s="27">
        <f t="shared" si="73"/>
        <v>3</v>
      </c>
      <c r="F941" s="27">
        <f>VLOOKUP(E941,[1]t_calendarioPolitica!A:C,3,FALSE)</f>
        <v>1</v>
      </c>
      <c r="G941" s="1">
        <v>1</v>
      </c>
      <c r="H941" s="1">
        <v>1</v>
      </c>
      <c r="I941" s="1">
        <f t="shared" si="74"/>
        <v>1</v>
      </c>
    </row>
    <row r="942" spans="1:9" x14ac:dyDescent="0.3">
      <c r="A942" s="26">
        <v>46232</v>
      </c>
      <c r="B942" s="27">
        <f t="shared" si="70"/>
        <v>2026</v>
      </c>
      <c r="C942" s="27">
        <f t="shared" si="71"/>
        <v>7</v>
      </c>
      <c r="D942" s="27">
        <f t="shared" si="72"/>
        <v>29</v>
      </c>
      <c r="E942" s="27">
        <f t="shared" si="73"/>
        <v>4</v>
      </c>
      <c r="F942" s="27">
        <f>VLOOKUP(E942,[1]t_calendarioPolitica!A:C,3,FALSE)</f>
        <v>1</v>
      </c>
      <c r="G942" s="1">
        <v>1</v>
      </c>
      <c r="H942" s="1">
        <v>1</v>
      </c>
      <c r="I942" s="1">
        <f t="shared" si="74"/>
        <v>1</v>
      </c>
    </row>
    <row r="943" spans="1:9" x14ac:dyDescent="0.3">
      <c r="A943" s="26">
        <v>46233</v>
      </c>
      <c r="B943" s="27">
        <f t="shared" si="70"/>
        <v>2026</v>
      </c>
      <c r="C943" s="27">
        <f t="shared" si="71"/>
        <v>7</v>
      </c>
      <c r="D943" s="27">
        <f t="shared" si="72"/>
        <v>30</v>
      </c>
      <c r="E943" s="27">
        <f t="shared" si="73"/>
        <v>5</v>
      </c>
      <c r="F943" s="27">
        <f>VLOOKUP(E943,[1]t_calendarioPolitica!A:C,3,FALSE)</f>
        <v>1</v>
      </c>
      <c r="G943" s="1">
        <v>1</v>
      </c>
      <c r="H943" s="1">
        <v>1</v>
      </c>
      <c r="I943" s="1">
        <f t="shared" si="74"/>
        <v>1</v>
      </c>
    </row>
    <row r="944" spans="1:9" x14ac:dyDescent="0.3">
      <c r="A944" s="26">
        <v>46234</v>
      </c>
      <c r="B944" s="27">
        <f t="shared" si="70"/>
        <v>2026</v>
      </c>
      <c r="C944" s="27">
        <f t="shared" si="71"/>
        <v>7</v>
      </c>
      <c r="D944" s="27">
        <f t="shared" si="72"/>
        <v>31</v>
      </c>
      <c r="E944" s="27">
        <f t="shared" si="73"/>
        <v>6</v>
      </c>
      <c r="F944" s="27">
        <f>VLOOKUP(E944,[1]t_calendarioPolitica!A:C,3,FALSE)</f>
        <v>1</v>
      </c>
      <c r="G944" s="1">
        <v>1</v>
      </c>
      <c r="H944" s="1">
        <v>1</v>
      </c>
      <c r="I944" s="1">
        <f t="shared" si="74"/>
        <v>1</v>
      </c>
    </row>
    <row r="945" spans="1:9" x14ac:dyDescent="0.3">
      <c r="A945" s="26">
        <v>46235</v>
      </c>
      <c r="B945" s="27">
        <f t="shared" si="70"/>
        <v>2026</v>
      </c>
      <c r="C945" s="27">
        <f t="shared" si="71"/>
        <v>8</v>
      </c>
      <c r="D945" s="27">
        <f t="shared" si="72"/>
        <v>1</v>
      </c>
      <c r="E945" s="27">
        <f t="shared" si="73"/>
        <v>7</v>
      </c>
      <c r="F945" s="27">
        <f>VLOOKUP(E945,[1]t_calendarioPolitica!A:C,3,FALSE)</f>
        <v>2</v>
      </c>
      <c r="G945" s="1">
        <v>1</v>
      </c>
      <c r="H945" s="1">
        <v>1</v>
      </c>
      <c r="I945" s="1">
        <f t="shared" si="74"/>
        <v>1</v>
      </c>
    </row>
    <row r="946" spans="1:9" x14ac:dyDescent="0.3">
      <c r="A946" s="26">
        <v>46236</v>
      </c>
      <c r="B946" s="27">
        <f t="shared" si="70"/>
        <v>2026</v>
      </c>
      <c r="C946" s="27">
        <f t="shared" si="71"/>
        <v>8</v>
      </c>
      <c r="D946" s="27">
        <f t="shared" si="72"/>
        <v>2</v>
      </c>
      <c r="E946" s="27">
        <f t="shared" si="73"/>
        <v>1</v>
      </c>
      <c r="F946" s="27">
        <f>VLOOKUP(E946,[1]t_calendarioPolitica!A:C,3,FALSE)</f>
        <v>0</v>
      </c>
      <c r="G946" s="1">
        <v>1</v>
      </c>
      <c r="H946" s="1">
        <v>1</v>
      </c>
      <c r="I946" s="1">
        <f t="shared" si="74"/>
        <v>0</v>
      </c>
    </row>
    <row r="947" spans="1:9" x14ac:dyDescent="0.3">
      <c r="A947" s="26">
        <v>46237</v>
      </c>
      <c r="B947" s="27">
        <f t="shared" si="70"/>
        <v>2026</v>
      </c>
      <c r="C947" s="27">
        <f t="shared" si="71"/>
        <v>8</v>
      </c>
      <c r="D947" s="27">
        <f t="shared" si="72"/>
        <v>3</v>
      </c>
      <c r="E947" s="27">
        <f t="shared" si="73"/>
        <v>2</v>
      </c>
      <c r="F947" s="27">
        <f>VLOOKUP(E947,[1]t_calendarioPolitica!A:C,3,FALSE)</f>
        <v>1</v>
      </c>
      <c r="G947" s="1">
        <v>1</v>
      </c>
      <c r="H947" s="1">
        <v>1</v>
      </c>
      <c r="I947" s="1">
        <f t="shared" si="74"/>
        <v>1</v>
      </c>
    </row>
    <row r="948" spans="1:9" x14ac:dyDescent="0.3">
      <c r="A948" s="26">
        <v>46238</v>
      </c>
      <c r="B948" s="27">
        <f t="shared" si="70"/>
        <v>2026</v>
      </c>
      <c r="C948" s="27">
        <f t="shared" si="71"/>
        <v>8</v>
      </c>
      <c r="D948" s="27">
        <f t="shared" si="72"/>
        <v>4</v>
      </c>
      <c r="E948" s="27">
        <f t="shared" si="73"/>
        <v>3</v>
      </c>
      <c r="F948" s="27">
        <f>VLOOKUP(E948,[1]t_calendarioPolitica!A:C,3,FALSE)</f>
        <v>1</v>
      </c>
      <c r="G948" s="1">
        <v>1</v>
      </c>
      <c r="H948" s="1">
        <v>1</v>
      </c>
      <c r="I948" s="1">
        <f t="shared" si="74"/>
        <v>1</v>
      </c>
    </row>
    <row r="949" spans="1:9" x14ac:dyDescent="0.3">
      <c r="A949" s="26">
        <v>46239</v>
      </c>
      <c r="B949" s="27">
        <f t="shared" si="70"/>
        <v>2026</v>
      </c>
      <c r="C949" s="27">
        <f t="shared" si="71"/>
        <v>8</v>
      </c>
      <c r="D949" s="27">
        <f t="shared" si="72"/>
        <v>5</v>
      </c>
      <c r="E949" s="27">
        <f t="shared" si="73"/>
        <v>4</v>
      </c>
      <c r="F949" s="27">
        <f>VLOOKUP(E949,[1]t_calendarioPolitica!A:C,3,FALSE)</f>
        <v>1</v>
      </c>
      <c r="G949" s="1">
        <v>1</v>
      </c>
      <c r="H949" s="1">
        <v>1</v>
      </c>
      <c r="I949" s="1">
        <f t="shared" si="74"/>
        <v>1</v>
      </c>
    </row>
    <row r="950" spans="1:9" x14ac:dyDescent="0.3">
      <c r="A950" s="26">
        <v>46240</v>
      </c>
      <c r="B950" s="27">
        <f t="shared" si="70"/>
        <v>2026</v>
      </c>
      <c r="C950" s="27">
        <f t="shared" si="71"/>
        <v>8</v>
      </c>
      <c r="D950" s="27">
        <f t="shared" si="72"/>
        <v>6</v>
      </c>
      <c r="E950" s="27">
        <f t="shared" si="73"/>
        <v>5</v>
      </c>
      <c r="F950" s="27">
        <f>VLOOKUP(E950,[1]t_calendarioPolitica!A:C,3,FALSE)</f>
        <v>1</v>
      </c>
      <c r="G950" s="1">
        <v>1</v>
      </c>
      <c r="H950" s="1">
        <v>1</v>
      </c>
      <c r="I950" s="1">
        <f t="shared" si="74"/>
        <v>1</v>
      </c>
    </row>
    <row r="951" spans="1:9" x14ac:dyDescent="0.3">
      <c r="A951" s="26">
        <v>46241</v>
      </c>
      <c r="B951" s="27">
        <f t="shared" si="70"/>
        <v>2026</v>
      </c>
      <c r="C951" s="27">
        <f t="shared" si="71"/>
        <v>8</v>
      </c>
      <c r="D951" s="27">
        <f t="shared" si="72"/>
        <v>7</v>
      </c>
      <c r="E951" s="27">
        <f t="shared" si="73"/>
        <v>6</v>
      </c>
      <c r="F951" s="27">
        <f>VLOOKUP(E951,[1]t_calendarioPolitica!A:C,3,FALSE)</f>
        <v>1</v>
      </c>
      <c r="G951" s="1">
        <v>1</v>
      </c>
      <c r="H951" s="1">
        <v>1</v>
      </c>
      <c r="I951" s="1">
        <f t="shared" si="74"/>
        <v>1</v>
      </c>
    </row>
    <row r="952" spans="1:9" x14ac:dyDescent="0.3">
      <c r="A952" s="26">
        <v>46242</v>
      </c>
      <c r="B952" s="27">
        <f t="shared" si="70"/>
        <v>2026</v>
      </c>
      <c r="C952" s="27">
        <f t="shared" si="71"/>
        <v>8</v>
      </c>
      <c r="D952" s="27">
        <f t="shared" si="72"/>
        <v>8</v>
      </c>
      <c r="E952" s="27">
        <f t="shared" si="73"/>
        <v>7</v>
      </c>
      <c r="F952" s="27">
        <f>VLOOKUP(E952,[1]t_calendarioPolitica!A:C,3,FALSE)</f>
        <v>2</v>
      </c>
      <c r="G952" s="1">
        <v>1</v>
      </c>
      <c r="H952" s="1">
        <v>1</v>
      </c>
      <c r="I952" s="1">
        <f t="shared" si="74"/>
        <v>1</v>
      </c>
    </row>
    <row r="953" spans="1:9" x14ac:dyDescent="0.3">
      <c r="A953" s="26">
        <v>46243</v>
      </c>
      <c r="B953" s="27">
        <f t="shared" si="70"/>
        <v>2026</v>
      </c>
      <c r="C953" s="27">
        <f t="shared" si="71"/>
        <v>8</v>
      </c>
      <c r="D953" s="27">
        <f t="shared" si="72"/>
        <v>9</v>
      </c>
      <c r="E953" s="27">
        <f t="shared" si="73"/>
        <v>1</v>
      </c>
      <c r="F953" s="27">
        <f>VLOOKUP(E953,[1]t_calendarioPolitica!A:C,3,FALSE)</f>
        <v>0</v>
      </c>
      <c r="G953" s="1">
        <v>1</v>
      </c>
      <c r="H953" s="1">
        <v>1</v>
      </c>
      <c r="I953" s="1">
        <f t="shared" si="74"/>
        <v>0</v>
      </c>
    </row>
    <row r="954" spans="1:9" x14ac:dyDescent="0.3">
      <c r="A954" s="26">
        <v>46244</v>
      </c>
      <c r="B954" s="27">
        <f t="shared" si="70"/>
        <v>2026</v>
      </c>
      <c r="C954" s="27">
        <f t="shared" si="71"/>
        <v>8</v>
      </c>
      <c r="D954" s="27">
        <f t="shared" si="72"/>
        <v>10</v>
      </c>
      <c r="E954" s="27">
        <f t="shared" si="73"/>
        <v>2</v>
      </c>
      <c r="F954" s="27">
        <f>VLOOKUP(E954,[1]t_calendarioPolitica!A:C,3,FALSE)</f>
        <v>1</v>
      </c>
      <c r="G954" s="1">
        <v>1</v>
      </c>
      <c r="H954" s="1">
        <v>1</v>
      </c>
      <c r="I954" s="1">
        <f t="shared" si="74"/>
        <v>1</v>
      </c>
    </row>
    <row r="955" spans="1:9" x14ac:dyDescent="0.3">
      <c r="A955" s="26">
        <v>46245</v>
      </c>
      <c r="B955" s="27">
        <f t="shared" si="70"/>
        <v>2026</v>
      </c>
      <c r="C955" s="27">
        <f t="shared" si="71"/>
        <v>8</v>
      </c>
      <c r="D955" s="27">
        <f t="shared" si="72"/>
        <v>11</v>
      </c>
      <c r="E955" s="27">
        <f t="shared" si="73"/>
        <v>3</v>
      </c>
      <c r="F955" s="27">
        <f>VLOOKUP(E955,[1]t_calendarioPolitica!A:C,3,FALSE)</f>
        <v>1</v>
      </c>
      <c r="G955" s="1">
        <v>1</v>
      </c>
      <c r="H955" s="1">
        <v>1</v>
      </c>
      <c r="I955" s="1">
        <f t="shared" si="74"/>
        <v>1</v>
      </c>
    </row>
    <row r="956" spans="1:9" x14ac:dyDescent="0.3">
      <c r="A956" s="26">
        <v>46246</v>
      </c>
      <c r="B956" s="27">
        <f t="shared" si="70"/>
        <v>2026</v>
      </c>
      <c r="C956" s="27">
        <f t="shared" si="71"/>
        <v>8</v>
      </c>
      <c r="D956" s="27">
        <f t="shared" si="72"/>
        <v>12</v>
      </c>
      <c r="E956" s="27">
        <f t="shared" si="73"/>
        <v>4</v>
      </c>
      <c r="F956" s="27">
        <f>VLOOKUP(E956,[1]t_calendarioPolitica!A:C,3,FALSE)</f>
        <v>1</v>
      </c>
      <c r="G956" s="1">
        <v>1</v>
      </c>
      <c r="H956" s="1">
        <v>1</v>
      </c>
      <c r="I956" s="1">
        <f t="shared" si="74"/>
        <v>1</v>
      </c>
    </row>
    <row r="957" spans="1:9" x14ac:dyDescent="0.3">
      <c r="A957" s="26">
        <v>46247</v>
      </c>
      <c r="B957" s="27">
        <f t="shared" si="70"/>
        <v>2026</v>
      </c>
      <c r="C957" s="27">
        <f t="shared" si="71"/>
        <v>8</v>
      </c>
      <c r="D957" s="27">
        <f t="shared" si="72"/>
        <v>13</v>
      </c>
      <c r="E957" s="27">
        <f t="shared" si="73"/>
        <v>5</v>
      </c>
      <c r="F957" s="27">
        <f>VLOOKUP(E957,[1]t_calendarioPolitica!A:C,3,FALSE)</f>
        <v>1</v>
      </c>
      <c r="G957" s="1">
        <v>1</v>
      </c>
      <c r="H957" s="1">
        <v>1</v>
      </c>
      <c r="I957" s="1">
        <f t="shared" si="74"/>
        <v>1</v>
      </c>
    </row>
    <row r="958" spans="1:9" x14ac:dyDescent="0.3">
      <c r="A958" s="26">
        <v>46248</v>
      </c>
      <c r="B958" s="27">
        <f t="shared" si="70"/>
        <v>2026</v>
      </c>
      <c r="C958" s="27">
        <f t="shared" si="71"/>
        <v>8</v>
      </c>
      <c r="D958" s="27">
        <f t="shared" si="72"/>
        <v>14</v>
      </c>
      <c r="E958" s="27">
        <f t="shared" si="73"/>
        <v>6</v>
      </c>
      <c r="F958" s="27">
        <f>VLOOKUP(E958,[1]t_calendarioPolitica!A:C,3,FALSE)</f>
        <v>1</v>
      </c>
      <c r="G958" s="1">
        <v>1</v>
      </c>
      <c r="H958" s="1">
        <v>1</v>
      </c>
      <c r="I958" s="1">
        <f t="shared" si="74"/>
        <v>1</v>
      </c>
    </row>
    <row r="959" spans="1:9" x14ac:dyDescent="0.3">
      <c r="A959" s="26">
        <v>46249</v>
      </c>
      <c r="B959" s="27">
        <f t="shared" si="70"/>
        <v>2026</v>
      </c>
      <c r="C959" s="27">
        <f t="shared" si="71"/>
        <v>8</v>
      </c>
      <c r="D959" s="27">
        <f t="shared" si="72"/>
        <v>15</v>
      </c>
      <c r="E959" s="27">
        <f t="shared" si="73"/>
        <v>7</v>
      </c>
      <c r="F959" s="27">
        <f>VLOOKUP(E959,[1]t_calendarioPolitica!A:C,3,FALSE)</f>
        <v>2</v>
      </c>
      <c r="G959" s="1">
        <v>1</v>
      </c>
      <c r="H959" s="1">
        <v>1</v>
      </c>
      <c r="I959" s="1">
        <f t="shared" si="74"/>
        <v>1</v>
      </c>
    </row>
    <row r="960" spans="1:9" x14ac:dyDescent="0.3">
      <c r="A960" s="26">
        <v>46250</v>
      </c>
      <c r="B960" s="27">
        <f t="shared" si="70"/>
        <v>2026</v>
      </c>
      <c r="C960" s="27">
        <f t="shared" si="71"/>
        <v>8</v>
      </c>
      <c r="D960" s="27">
        <f t="shared" si="72"/>
        <v>16</v>
      </c>
      <c r="E960" s="27">
        <f t="shared" si="73"/>
        <v>1</v>
      </c>
      <c r="F960" s="27">
        <f>VLOOKUP(E960,[1]t_calendarioPolitica!A:C,3,FALSE)</f>
        <v>0</v>
      </c>
      <c r="G960" s="1">
        <v>1</v>
      </c>
      <c r="H960" s="1">
        <v>1</v>
      </c>
      <c r="I960" s="1">
        <f t="shared" si="74"/>
        <v>0</v>
      </c>
    </row>
    <row r="961" spans="1:9" x14ac:dyDescent="0.3">
      <c r="A961" s="26">
        <v>46251</v>
      </c>
      <c r="B961" s="27">
        <f t="shared" si="70"/>
        <v>2026</v>
      </c>
      <c r="C961" s="27">
        <f t="shared" si="71"/>
        <v>8</v>
      </c>
      <c r="D961" s="27">
        <f t="shared" si="72"/>
        <v>17</v>
      </c>
      <c r="E961" s="27">
        <f t="shared" si="73"/>
        <v>2</v>
      </c>
      <c r="F961" s="27">
        <f>VLOOKUP(E961,[1]t_calendarioPolitica!A:C,3,FALSE)</f>
        <v>1</v>
      </c>
      <c r="G961" s="1">
        <v>1</v>
      </c>
      <c r="H961" s="1">
        <v>1</v>
      </c>
      <c r="I961" s="1">
        <f t="shared" si="74"/>
        <v>1</v>
      </c>
    </row>
    <row r="962" spans="1:9" x14ac:dyDescent="0.3">
      <c r="A962" s="26">
        <v>46252</v>
      </c>
      <c r="B962" s="27">
        <f t="shared" si="70"/>
        <v>2026</v>
      </c>
      <c r="C962" s="27">
        <f t="shared" si="71"/>
        <v>8</v>
      </c>
      <c r="D962" s="27">
        <f t="shared" si="72"/>
        <v>18</v>
      </c>
      <c r="E962" s="27">
        <f t="shared" si="73"/>
        <v>3</v>
      </c>
      <c r="F962" s="27">
        <f>VLOOKUP(E962,[1]t_calendarioPolitica!A:C,3,FALSE)</f>
        <v>1</v>
      </c>
      <c r="G962" s="1">
        <v>1</v>
      </c>
      <c r="H962" s="1">
        <v>1</v>
      </c>
      <c r="I962" s="1">
        <f t="shared" si="74"/>
        <v>1</v>
      </c>
    </row>
    <row r="963" spans="1:9" x14ac:dyDescent="0.3">
      <c r="A963" s="26">
        <v>46253</v>
      </c>
      <c r="B963" s="27">
        <f t="shared" ref="B963:B1026" si="75">YEAR(A963)</f>
        <v>2026</v>
      </c>
      <c r="C963" s="27">
        <f t="shared" ref="C963:C1026" si="76">MONTH(A963)</f>
        <v>8</v>
      </c>
      <c r="D963" s="27">
        <f t="shared" ref="D963:D1026" si="77">DAY(A963)</f>
        <v>19</v>
      </c>
      <c r="E963" s="27">
        <f t="shared" ref="E963:E1026" si="78">WEEKDAY(A963)</f>
        <v>4</v>
      </c>
      <c r="F963" s="27">
        <f>VLOOKUP(E963,[1]t_calendarioPolitica!A:C,3,FALSE)</f>
        <v>1</v>
      </c>
      <c r="G963" s="1">
        <v>1</v>
      </c>
      <c r="H963" s="1">
        <v>1</v>
      </c>
      <c r="I963" s="1">
        <f t="shared" ref="I963:I1026" si="79">IF(AND(F963&lt;&gt;0, H963&lt;&gt;0,G963&lt;&gt;0), 1, 0)</f>
        <v>1</v>
      </c>
    </row>
    <row r="964" spans="1:9" x14ac:dyDescent="0.3">
      <c r="A964" s="26">
        <v>46254</v>
      </c>
      <c r="B964" s="27">
        <f t="shared" si="75"/>
        <v>2026</v>
      </c>
      <c r="C964" s="27">
        <f t="shared" si="76"/>
        <v>8</v>
      </c>
      <c r="D964" s="27">
        <f t="shared" si="77"/>
        <v>20</v>
      </c>
      <c r="E964" s="27">
        <f t="shared" si="78"/>
        <v>5</v>
      </c>
      <c r="F964" s="27">
        <f>VLOOKUP(E964,[1]t_calendarioPolitica!A:C,3,FALSE)</f>
        <v>1</v>
      </c>
      <c r="G964" s="1">
        <v>1</v>
      </c>
      <c r="H964" s="1">
        <v>1</v>
      </c>
      <c r="I964" s="1">
        <f t="shared" si="79"/>
        <v>1</v>
      </c>
    </row>
    <row r="965" spans="1:9" x14ac:dyDescent="0.3">
      <c r="A965" s="26">
        <v>46255</v>
      </c>
      <c r="B965" s="27">
        <f t="shared" si="75"/>
        <v>2026</v>
      </c>
      <c r="C965" s="27">
        <f t="shared" si="76"/>
        <v>8</v>
      </c>
      <c r="D965" s="27">
        <f t="shared" si="77"/>
        <v>21</v>
      </c>
      <c r="E965" s="27">
        <f t="shared" si="78"/>
        <v>6</v>
      </c>
      <c r="F965" s="27">
        <f>VLOOKUP(E965,[1]t_calendarioPolitica!A:C,3,FALSE)</f>
        <v>1</v>
      </c>
      <c r="G965" s="1">
        <v>1</v>
      </c>
      <c r="H965" s="1">
        <v>1</v>
      </c>
      <c r="I965" s="1">
        <f t="shared" si="79"/>
        <v>1</v>
      </c>
    </row>
    <row r="966" spans="1:9" x14ac:dyDescent="0.3">
      <c r="A966" s="26">
        <v>46256</v>
      </c>
      <c r="B966" s="27">
        <f t="shared" si="75"/>
        <v>2026</v>
      </c>
      <c r="C966" s="27">
        <f t="shared" si="76"/>
        <v>8</v>
      </c>
      <c r="D966" s="27">
        <f t="shared" si="77"/>
        <v>22</v>
      </c>
      <c r="E966" s="27">
        <f t="shared" si="78"/>
        <v>7</v>
      </c>
      <c r="F966" s="27">
        <f>VLOOKUP(E966,[1]t_calendarioPolitica!A:C,3,FALSE)</f>
        <v>2</v>
      </c>
      <c r="G966" s="1">
        <v>1</v>
      </c>
      <c r="H966" s="1">
        <v>1</v>
      </c>
      <c r="I966" s="1">
        <f t="shared" si="79"/>
        <v>1</v>
      </c>
    </row>
    <row r="967" spans="1:9" x14ac:dyDescent="0.3">
      <c r="A967" s="26">
        <v>46257</v>
      </c>
      <c r="B967" s="27">
        <f t="shared" si="75"/>
        <v>2026</v>
      </c>
      <c r="C967" s="27">
        <f t="shared" si="76"/>
        <v>8</v>
      </c>
      <c r="D967" s="27">
        <f t="shared" si="77"/>
        <v>23</v>
      </c>
      <c r="E967" s="27">
        <f t="shared" si="78"/>
        <v>1</v>
      </c>
      <c r="F967" s="27">
        <f>VLOOKUP(E967,[1]t_calendarioPolitica!A:C,3,FALSE)</f>
        <v>0</v>
      </c>
      <c r="G967" s="1">
        <v>1</v>
      </c>
      <c r="H967" s="1">
        <v>1</v>
      </c>
      <c r="I967" s="1">
        <f t="shared" si="79"/>
        <v>0</v>
      </c>
    </row>
    <row r="968" spans="1:9" x14ac:dyDescent="0.3">
      <c r="A968" s="26">
        <v>46258</v>
      </c>
      <c r="B968" s="27">
        <f t="shared" si="75"/>
        <v>2026</v>
      </c>
      <c r="C968" s="27">
        <f t="shared" si="76"/>
        <v>8</v>
      </c>
      <c r="D968" s="27">
        <f t="shared" si="77"/>
        <v>24</v>
      </c>
      <c r="E968" s="27">
        <f t="shared" si="78"/>
        <v>2</v>
      </c>
      <c r="F968" s="27">
        <f>VLOOKUP(E968,[1]t_calendarioPolitica!A:C,3,FALSE)</f>
        <v>1</v>
      </c>
      <c r="G968" s="1">
        <v>1</v>
      </c>
      <c r="H968" s="1">
        <v>1</v>
      </c>
      <c r="I968" s="1">
        <f t="shared" si="79"/>
        <v>1</v>
      </c>
    </row>
    <row r="969" spans="1:9" x14ac:dyDescent="0.3">
      <c r="A969" s="26">
        <v>46259</v>
      </c>
      <c r="B969" s="27">
        <f t="shared" si="75"/>
        <v>2026</v>
      </c>
      <c r="C969" s="27">
        <f t="shared" si="76"/>
        <v>8</v>
      </c>
      <c r="D969" s="27">
        <f t="shared" si="77"/>
        <v>25</v>
      </c>
      <c r="E969" s="27">
        <f t="shared" si="78"/>
        <v>3</v>
      </c>
      <c r="F969" s="27">
        <f>VLOOKUP(E969,[1]t_calendarioPolitica!A:C,3,FALSE)</f>
        <v>1</v>
      </c>
      <c r="G969" s="1">
        <v>1</v>
      </c>
      <c r="H969" s="1">
        <v>1</v>
      </c>
      <c r="I969" s="1">
        <f t="shared" si="79"/>
        <v>1</v>
      </c>
    </row>
    <row r="970" spans="1:9" x14ac:dyDescent="0.3">
      <c r="A970" s="26">
        <v>46260</v>
      </c>
      <c r="B970" s="27">
        <f t="shared" si="75"/>
        <v>2026</v>
      </c>
      <c r="C970" s="27">
        <f t="shared" si="76"/>
        <v>8</v>
      </c>
      <c r="D970" s="27">
        <f t="shared" si="77"/>
        <v>26</v>
      </c>
      <c r="E970" s="27">
        <f t="shared" si="78"/>
        <v>4</v>
      </c>
      <c r="F970" s="27">
        <f>VLOOKUP(E970,[1]t_calendarioPolitica!A:C,3,FALSE)</f>
        <v>1</v>
      </c>
      <c r="G970" s="1">
        <v>1</v>
      </c>
      <c r="H970" s="1">
        <v>1</v>
      </c>
      <c r="I970" s="1">
        <f t="shared" si="79"/>
        <v>1</v>
      </c>
    </row>
    <row r="971" spans="1:9" x14ac:dyDescent="0.3">
      <c r="A971" s="26">
        <v>46261</v>
      </c>
      <c r="B971" s="27">
        <f t="shared" si="75"/>
        <v>2026</v>
      </c>
      <c r="C971" s="27">
        <f t="shared" si="76"/>
        <v>8</v>
      </c>
      <c r="D971" s="27">
        <f t="shared" si="77"/>
        <v>27</v>
      </c>
      <c r="E971" s="27">
        <f t="shared" si="78"/>
        <v>5</v>
      </c>
      <c r="F971" s="27">
        <f>VLOOKUP(E971,[1]t_calendarioPolitica!A:C,3,FALSE)</f>
        <v>1</v>
      </c>
      <c r="G971" s="1">
        <v>1</v>
      </c>
      <c r="H971" s="1">
        <v>1</v>
      </c>
      <c r="I971" s="1">
        <f t="shared" si="79"/>
        <v>1</v>
      </c>
    </row>
    <row r="972" spans="1:9" x14ac:dyDescent="0.3">
      <c r="A972" s="26">
        <v>46262</v>
      </c>
      <c r="B972" s="27">
        <f t="shared" si="75"/>
        <v>2026</v>
      </c>
      <c r="C972" s="27">
        <f t="shared" si="76"/>
        <v>8</v>
      </c>
      <c r="D972" s="27">
        <f t="shared" si="77"/>
        <v>28</v>
      </c>
      <c r="E972" s="27">
        <f t="shared" si="78"/>
        <v>6</v>
      </c>
      <c r="F972" s="27">
        <f>VLOOKUP(E972,[1]t_calendarioPolitica!A:C,3,FALSE)</f>
        <v>1</v>
      </c>
      <c r="G972" s="1">
        <v>1</v>
      </c>
      <c r="H972" s="1">
        <v>1</v>
      </c>
      <c r="I972" s="1">
        <f t="shared" si="79"/>
        <v>1</v>
      </c>
    </row>
    <row r="973" spans="1:9" x14ac:dyDescent="0.3">
      <c r="A973" s="26">
        <v>46263</v>
      </c>
      <c r="B973" s="27">
        <f t="shared" si="75"/>
        <v>2026</v>
      </c>
      <c r="C973" s="27">
        <f t="shared" si="76"/>
        <v>8</v>
      </c>
      <c r="D973" s="27">
        <f t="shared" si="77"/>
        <v>29</v>
      </c>
      <c r="E973" s="27">
        <f t="shared" si="78"/>
        <v>7</v>
      </c>
      <c r="F973" s="27">
        <f>VLOOKUP(E973,[1]t_calendarioPolitica!A:C,3,FALSE)</f>
        <v>2</v>
      </c>
      <c r="G973" s="1">
        <v>1</v>
      </c>
      <c r="H973" s="1">
        <v>1</v>
      </c>
      <c r="I973" s="1">
        <f t="shared" si="79"/>
        <v>1</v>
      </c>
    </row>
    <row r="974" spans="1:9" x14ac:dyDescent="0.3">
      <c r="A974" s="26">
        <v>46264</v>
      </c>
      <c r="B974" s="27">
        <f t="shared" si="75"/>
        <v>2026</v>
      </c>
      <c r="C974" s="27">
        <f t="shared" si="76"/>
        <v>8</v>
      </c>
      <c r="D974" s="27">
        <f t="shared" si="77"/>
        <v>30</v>
      </c>
      <c r="E974" s="27">
        <f t="shared" si="78"/>
        <v>1</v>
      </c>
      <c r="F974" s="27">
        <f>VLOOKUP(E974,[1]t_calendarioPolitica!A:C,3,FALSE)</f>
        <v>0</v>
      </c>
      <c r="G974" s="1">
        <v>1</v>
      </c>
      <c r="H974" s="1">
        <v>1</v>
      </c>
      <c r="I974" s="1">
        <f t="shared" si="79"/>
        <v>0</v>
      </c>
    </row>
    <row r="975" spans="1:9" x14ac:dyDescent="0.3">
      <c r="A975" s="26">
        <v>46265</v>
      </c>
      <c r="B975" s="27">
        <f t="shared" si="75"/>
        <v>2026</v>
      </c>
      <c r="C975" s="27">
        <f t="shared" si="76"/>
        <v>8</v>
      </c>
      <c r="D975" s="27">
        <f t="shared" si="77"/>
        <v>31</v>
      </c>
      <c r="E975" s="27">
        <f t="shared" si="78"/>
        <v>2</v>
      </c>
      <c r="F975" s="27">
        <f>VLOOKUP(E975,[1]t_calendarioPolitica!A:C,3,FALSE)</f>
        <v>1</v>
      </c>
      <c r="G975" s="1">
        <v>1</v>
      </c>
      <c r="H975" s="1">
        <v>1</v>
      </c>
      <c r="I975" s="1">
        <f t="shared" si="79"/>
        <v>1</v>
      </c>
    </row>
    <row r="976" spans="1:9" x14ac:dyDescent="0.3">
      <c r="A976" s="26">
        <v>46266</v>
      </c>
      <c r="B976" s="27">
        <f t="shared" si="75"/>
        <v>2026</v>
      </c>
      <c r="C976" s="27">
        <f t="shared" si="76"/>
        <v>9</v>
      </c>
      <c r="D976" s="27">
        <f t="shared" si="77"/>
        <v>1</v>
      </c>
      <c r="E976" s="27">
        <f t="shared" si="78"/>
        <v>3</v>
      </c>
      <c r="F976" s="27">
        <f>VLOOKUP(E976,[1]t_calendarioPolitica!A:C,3,FALSE)</f>
        <v>1</v>
      </c>
      <c r="G976" s="1">
        <v>1</v>
      </c>
      <c r="H976" s="1">
        <v>1</v>
      </c>
      <c r="I976" s="1">
        <f t="shared" si="79"/>
        <v>1</v>
      </c>
    </row>
    <row r="977" spans="1:9" x14ac:dyDescent="0.3">
      <c r="A977" s="26">
        <v>46267</v>
      </c>
      <c r="B977" s="27">
        <f t="shared" si="75"/>
        <v>2026</v>
      </c>
      <c r="C977" s="27">
        <f t="shared" si="76"/>
        <v>9</v>
      </c>
      <c r="D977" s="27">
        <f t="shared" si="77"/>
        <v>2</v>
      </c>
      <c r="E977" s="27">
        <f t="shared" si="78"/>
        <v>4</v>
      </c>
      <c r="F977" s="27">
        <f>VLOOKUP(E977,[1]t_calendarioPolitica!A:C,3,FALSE)</f>
        <v>1</v>
      </c>
      <c r="G977" s="1">
        <v>1</v>
      </c>
      <c r="H977" s="1">
        <v>1</v>
      </c>
      <c r="I977" s="1">
        <f t="shared" si="79"/>
        <v>1</v>
      </c>
    </row>
    <row r="978" spans="1:9" x14ac:dyDescent="0.3">
      <c r="A978" s="26">
        <v>46268</v>
      </c>
      <c r="B978" s="27">
        <f t="shared" si="75"/>
        <v>2026</v>
      </c>
      <c r="C978" s="27">
        <f t="shared" si="76"/>
        <v>9</v>
      </c>
      <c r="D978" s="27">
        <f t="shared" si="77"/>
        <v>3</v>
      </c>
      <c r="E978" s="27">
        <f t="shared" si="78"/>
        <v>5</v>
      </c>
      <c r="F978" s="27">
        <f>VLOOKUP(E978,[1]t_calendarioPolitica!A:C,3,FALSE)</f>
        <v>1</v>
      </c>
      <c r="G978" s="1">
        <v>1</v>
      </c>
      <c r="H978" s="1">
        <v>1</v>
      </c>
      <c r="I978" s="1">
        <f t="shared" si="79"/>
        <v>1</v>
      </c>
    </row>
    <row r="979" spans="1:9" x14ac:dyDescent="0.3">
      <c r="A979" s="26">
        <v>46269</v>
      </c>
      <c r="B979" s="27">
        <f t="shared" si="75"/>
        <v>2026</v>
      </c>
      <c r="C979" s="27">
        <f t="shared" si="76"/>
        <v>9</v>
      </c>
      <c r="D979" s="27">
        <f t="shared" si="77"/>
        <v>4</v>
      </c>
      <c r="E979" s="27">
        <f t="shared" si="78"/>
        <v>6</v>
      </c>
      <c r="F979" s="27">
        <f>VLOOKUP(E979,[1]t_calendarioPolitica!A:C,3,FALSE)</f>
        <v>1</v>
      </c>
      <c r="G979" s="1">
        <v>1</v>
      </c>
      <c r="H979" s="1">
        <v>1</v>
      </c>
      <c r="I979" s="1">
        <f t="shared" si="79"/>
        <v>1</v>
      </c>
    </row>
    <row r="980" spans="1:9" x14ac:dyDescent="0.3">
      <c r="A980" s="26">
        <v>46270</v>
      </c>
      <c r="B980" s="27">
        <f t="shared" si="75"/>
        <v>2026</v>
      </c>
      <c r="C980" s="27">
        <f t="shared" si="76"/>
        <v>9</v>
      </c>
      <c r="D980" s="27">
        <f t="shared" si="77"/>
        <v>5</v>
      </c>
      <c r="E980" s="27">
        <f t="shared" si="78"/>
        <v>7</v>
      </c>
      <c r="F980" s="27">
        <f>VLOOKUP(E980,[1]t_calendarioPolitica!A:C,3,FALSE)</f>
        <v>2</v>
      </c>
      <c r="G980" s="1">
        <v>1</v>
      </c>
      <c r="H980" s="1">
        <v>1</v>
      </c>
      <c r="I980" s="1">
        <f t="shared" si="79"/>
        <v>1</v>
      </c>
    </row>
    <row r="981" spans="1:9" x14ac:dyDescent="0.3">
      <c r="A981" s="26">
        <v>46271</v>
      </c>
      <c r="B981" s="27">
        <f t="shared" si="75"/>
        <v>2026</v>
      </c>
      <c r="C981" s="27">
        <f t="shared" si="76"/>
        <v>9</v>
      </c>
      <c r="D981" s="27">
        <f t="shared" si="77"/>
        <v>6</v>
      </c>
      <c r="E981" s="27">
        <f t="shared" si="78"/>
        <v>1</v>
      </c>
      <c r="F981" s="27">
        <f>VLOOKUP(E981,[1]t_calendarioPolitica!A:C,3,FALSE)</f>
        <v>0</v>
      </c>
      <c r="G981" s="1">
        <v>1</v>
      </c>
      <c r="H981" s="1">
        <v>1</v>
      </c>
      <c r="I981" s="1">
        <f t="shared" si="79"/>
        <v>0</v>
      </c>
    </row>
    <row r="982" spans="1:9" x14ac:dyDescent="0.3">
      <c r="A982" s="26">
        <v>46272</v>
      </c>
      <c r="B982" s="27">
        <f t="shared" si="75"/>
        <v>2026</v>
      </c>
      <c r="C982" s="27">
        <f t="shared" si="76"/>
        <v>9</v>
      </c>
      <c r="D982" s="27">
        <f t="shared" si="77"/>
        <v>7</v>
      </c>
      <c r="E982" s="27">
        <f t="shared" si="78"/>
        <v>2</v>
      </c>
      <c r="F982" s="27">
        <f>VLOOKUP(E982,[1]t_calendarioPolitica!A:C,3,FALSE)</f>
        <v>1</v>
      </c>
      <c r="G982" s="1">
        <v>1</v>
      </c>
      <c r="H982" s="1">
        <v>1</v>
      </c>
      <c r="I982" s="1">
        <f t="shared" si="79"/>
        <v>1</v>
      </c>
    </row>
    <row r="983" spans="1:9" x14ac:dyDescent="0.3">
      <c r="A983" s="26">
        <v>46273</v>
      </c>
      <c r="B983" s="27">
        <f t="shared" si="75"/>
        <v>2026</v>
      </c>
      <c r="C983" s="27">
        <f t="shared" si="76"/>
        <v>9</v>
      </c>
      <c r="D983" s="27">
        <f t="shared" si="77"/>
        <v>8</v>
      </c>
      <c r="E983" s="27">
        <f t="shared" si="78"/>
        <v>3</v>
      </c>
      <c r="F983" s="27">
        <f>VLOOKUP(E983,[1]t_calendarioPolitica!A:C,3,FALSE)</f>
        <v>1</v>
      </c>
      <c r="G983" s="1">
        <v>1</v>
      </c>
      <c r="H983" s="1">
        <v>1</v>
      </c>
      <c r="I983" s="1">
        <f t="shared" si="79"/>
        <v>1</v>
      </c>
    </row>
    <row r="984" spans="1:9" x14ac:dyDescent="0.3">
      <c r="A984" s="26">
        <v>46274</v>
      </c>
      <c r="B984" s="27">
        <f t="shared" si="75"/>
        <v>2026</v>
      </c>
      <c r="C984" s="27">
        <f t="shared" si="76"/>
        <v>9</v>
      </c>
      <c r="D984" s="27">
        <f t="shared" si="77"/>
        <v>9</v>
      </c>
      <c r="E984" s="27">
        <f t="shared" si="78"/>
        <v>4</v>
      </c>
      <c r="F984" s="27">
        <f>VLOOKUP(E984,[1]t_calendarioPolitica!A:C,3,FALSE)</f>
        <v>1</v>
      </c>
      <c r="G984" s="1">
        <v>1</v>
      </c>
      <c r="H984" s="1">
        <v>1</v>
      </c>
      <c r="I984" s="1">
        <f t="shared" si="79"/>
        <v>1</v>
      </c>
    </row>
    <row r="985" spans="1:9" x14ac:dyDescent="0.3">
      <c r="A985" s="26">
        <v>46275</v>
      </c>
      <c r="B985" s="27">
        <f t="shared" si="75"/>
        <v>2026</v>
      </c>
      <c r="C985" s="27">
        <f t="shared" si="76"/>
        <v>9</v>
      </c>
      <c r="D985" s="27">
        <f t="shared" si="77"/>
        <v>10</v>
      </c>
      <c r="E985" s="27">
        <f t="shared" si="78"/>
        <v>5</v>
      </c>
      <c r="F985" s="27">
        <f>VLOOKUP(E985,[1]t_calendarioPolitica!A:C,3,FALSE)</f>
        <v>1</v>
      </c>
      <c r="G985" s="1">
        <v>1</v>
      </c>
      <c r="H985" s="1">
        <v>1</v>
      </c>
      <c r="I985" s="1">
        <f t="shared" si="79"/>
        <v>1</v>
      </c>
    </row>
    <row r="986" spans="1:9" x14ac:dyDescent="0.3">
      <c r="A986" s="26">
        <v>46276</v>
      </c>
      <c r="B986" s="27">
        <f t="shared" si="75"/>
        <v>2026</v>
      </c>
      <c r="C986" s="27">
        <f t="shared" si="76"/>
        <v>9</v>
      </c>
      <c r="D986" s="27">
        <f t="shared" si="77"/>
        <v>11</v>
      </c>
      <c r="E986" s="27">
        <f t="shared" si="78"/>
        <v>6</v>
      </c>
      <c r="F986" s="27">
        <f>VLOOKUP(E986,[1]t_calendarioPolitica!A:C,3,FALSE)</f>
        <v>1</v>
      </c>
      <c r="G986" s="1">
        <v>1</v>
      </c>
      <c r="H986" s="1">
        <v>1</v>
      </c>
      <c r="I986" s="1">
        <f t="shared" si="79"/>
        <v>1</v>
      </c>
    </row>
    <row r="987" spans="1:9" x14ac:dyDescent="0.3">
      <c r="A987" s="26">
        <v>46277</v>
      </c>
      <c r="B987" s="27">
        <f t="shared" si="75"/>
        <v>2026</v>
      </c>
      <c r="C987" s="27">
        <f t="shared" si="76"/>
        <v>9</v>
      </c>
      <c r="D987" s="27">
        <f t="shared" si="77"/>
        <v>12</v>
      </c>
      <c r="E987" s="27">
        <f t="shared" si="78"/>
        <v>7</v>
      </c>
      <c r="F987" s="27">
        <f>VLOOKUP(E987,[1]t_calendarioPolitica!A:C,3,FALSE)</f>
        <v>2</v>
      </c>
      <c r="G987" s="1">
        <v>1</v>
      </c>
      <c r="H987" s="1">
        <v>1</v>
      </c>
      <c r="I987" s="1">
        <f t="shared" si="79"/>
        <v>1</v>
      </c>
    </row>
    <row r="988" spans="1:9" x14ac:dyDescent="0.3">
      <c r="A988" s="26">
        <v>46278</v>
      </c>
      <c r="B988" s="27">
        <f t="shared" si="75"/>
        <v>2026</v>
      </c>
      <c r="C988" s="27">
        <f t="shared" si="76"/>
        <v>9</v>
      </c>
      <c r="D988" s="27">
        <f t="shared" si="77"/>
        <v>13</v>
      </c>
      <c r="E988" s="27">
        <f t="shared" si="78"/>
        <v>1</v>
      </c>
      <c r="F988" s="27">
        <f>VLOOKUP(E988,[1]t_calendarioPolitica!A:C,3,FALSE)</f>
        <v>0</v>
      </c>
      <c r="G988" s="1">
        <v>1</v>
      </c>
      <c r="H988" s="1">
        <v>1</v>
      </c>
      <c r="I988" s="1">
        <f t="shared" si="79"/>
        <v>0</v>
      </c>
    </row>
    <row r="989" spans="1:9" x14ac:dyDescent="0.3">
      <c r="A989" s="26">
        <v>46279</v>
      </c>
      <c r="B989" s="27">
        <f t="shared" si="75"/>
        <v>2026</v>
      </c>
      <c r="C989" s="27">
        <f t="shared" si="76"/>
        <v>9</v>
      </c>
      <c r="D989" s="27">
        <f t="shared" si="77"/>
        <v>14</v>
      </c>
      <c r="E989" s="27">
        <f t="shared" si="78"/>
        <v>2</v>
      </c>
      <c r="F989" s="27">
        <f>VLOOKUP(E989,[1]t_calendarioPolitica!A:C,3,FALSE)</f>
        <v>1</v>
      </c>
      <c r="G989" s="1">
        <v>1</v>
      </c>
      <c r="H989" s="1">
        <v>1</v>
      </c>
      <c r="I989" s="1">
        <f t="shared" si="79"/>
        <v>1</v>
      </c>
    </row>
    <row r="990" spans="1:9" x14ac:dyDescent="0.3">
      <c r="A990" s="26">
        <v>46280</v>
      </c>
      <c r="B990" s="27">
        <f t="shared" si="75"/>
        <v>2026</v>
      </c>
      <c r="C990" s="27">
        <f t="shared" si="76"/>
        <v>9</v>
      </c>
      <c r="D990" s="27">
        <f t="shared" si="77"/>
        <v>15</v>
      </c>
      <c r="E990" s="27">
        <f t="shared" si="78"/>
        <v>3</v>
      </c>
      <c r="F990" s="27">
        <f>VLOOKUP(E990,[1]t_calendarioPolitica!A:C,3,FALSE)</f>
        <v>1</v>
      </c>
      <c r="G990" s="1">
        <v>1</v>
      </c>
      <c r="H990" s="1">
        <v>0</v>
      </c>
      <c r="I990" s="1">
        <f t="shared" si="79"/>
        <v>0</v>
      </c>
    </row>
    <row r="991" spans="1:9" x14ac:dyDescent="0.3">
      <c r="A991" s="26">
        <v>46281</v>
      </c>
      <c r="B991" s="27">
        <f t="shared" si="75"/>
        <v>2026</v>
      </c>
      <c r="C991" s="27">
        <f t="shared" si="76"/>
        <v>9</v>
      </c>
      <c r="D991" s="27">
        <f t="shared" si="77"/>
        <v>16</v>
      </c>
      <c r="E991" s="27">
        <f t="shared" si="78"/>
        <v>4</v>
      </c>
      <c r="F991" s="27">
        <f>VLOOKUP(E991,[1]t_calendarioPolitica!A:C,3,FALSE)</f>
        <v>1</v>
      </c>
      <c r="G991" s="1">
        <v>0</v>
      </c>
      <c r="H991" s="1">
        <v>1</v>
      </c>
      <c r="I991" s="1">
        <f t="shared" si="79"/>
        <v>0</v>
      </c>
    </row>
    <row r="992" spans="1:9" x14ac:dyDescent="0.3">
      <c r="A992" s="26">
        <v>46282</v>
      </c>
      <c r="B992" s="27">
        <f t="shared" si="75"/>
        <v>2026</v>
      </c>
      <c r="C992" s="27">
        <f t="shared" si="76"/>
        <v>9</v>
      </c>
      <c r="D992" s="27">
        <f t="shared" si="77"/>
        <v>17</v>
      </c>
      <c r="E992" s="27">
        <f t="shared" si="78"/>
        <v>5</v>
      </c>
      <c r="F992" s="27">
        <f>VLOOKUP(E992,[1]t_calendarioPolitica!A:C,3,FALSE)</f>
        <v>1</v>
      </c>
      <c r="G992" s="1">
        <v>1</v>
      </c>
      <c r="H992" s="1">
        <v>1</v>
      </c>
      <c r="I992" s="1">
        <f t="shared" si="79"/>
        <v>1</v>
      </c>
    </row>
    <row r="993" spans="1:9" x14ac:dyDescent="0.3">
      <c r="A993" s="26">
        <v>46283</v>
      </c>
      <c r="B993" s="27">
        <f t="shared" si="75"/>
        <v>2026</v>
      </c>
      <c r="C993" s="27">
        <f t="shared" si="76"/>
        <v>9</v>
      </c>
      <c r="D993" s="27">
        <f t="shared" si="77"/>
        <v>18</v>
      </c>
      <c r="E993" s="27">
        <f t="shared" si="78"/>
        <v>6</v>
      </c>
      <c r="F993" s="27">
        <f>VLOOKUP(E993,[1]t_calendarioPolitica!A:C,3,FALSE)</f>
        <v>1</v>
      </c>
      <c r="G993" s="1">
        <v>1</v>
      </c>
      <c r="H993" s="1">
        <v>1</v>
      </c>
      <c r="I993" s="1">
        <f t="shared" si="79"/>
        <v>1</v>
      </c>
    </row>
    <row r="994" spans="1:9" x14ac:dyDescent="0.3">
      <c r="A994" s="26">
        <v>46284</v>
      </c>
      <c r="B994" s="27">
        <f t="shared" si="75"/>
        <v>2026</v>
      </c>
      <c r="C994" s="27">
        <f t="shared" si="76"/>
        <v>9</v>
      </c>
      <c r="D994" s="27">
        <f t="shared" si="77"/>
        <v>19</v>
      </c>
      <c r="E994" s="27">
        <f t="shared" si="78"/>
        <v>7</v>
      </c>
      <c r="F994" s="27">
        <f>VLOOKUP(E994,[1]t_calendarioPolitica!A:C,3,FALSE)</f>
        <v>2</v>
      </c>
      <c r="G994" s="1">
        <v>1</v>
      </c>
      <c r="H994" s="1">
        <v>1</v>
      </c>
      <c r="I994" s="1">
        <f t="shared" si="79"/>
        <v>1</v>
      </c>
    </row>
    <row r="995" spans="1:9" x14ac:dyDescent="0.3">
      <c r="A995" s="26">
        <v>46285</v>
      </c>
      <c r="B995" s="27">
        <f t="shared" si="75"/>
        <v>2026</v>
      </c>
      <c r="C995" s="27">
        <f t="shared" si="76"/>
        <v>9</v>
      </c>
      <c r="D995" s="27">
        <f t="shared" si="77"/>
        <v>20</v>
      </c>
      <c r="E995" s="27">
        <f t="shared" si="78"/>
        <v>1</v>
      </c>
      <c r="F995" s="27">
        <f>VLOOKUP(E995,[1]t_calendarioPolitica!A:C,3,FALSE)</f>
        <v>0</v>
      </c>
      <c r="G995" s="1">
        <v>1</v>
      </c>
      <c r="H995" s="1">
        <v>1</v>
      </c>
      <c r="I995" s="1">
        <f t="shared" si="79"/>
        <v>0</v>
      </c>
    </row>
    <row r="996" spans="1:9" x14ac:dyDescent="0.3">
      <c r="A996" s="26">
        <v>46286</v>
      </c>
      <c r="B996" s="27">
        <f t="shared" si="75"/>
        <v>2026</v>
      </c>
      <c r="C996" s="27">
        <f t="shared" si="76"/>
        <v>9</v>
      </c>
      <c r="D996" s="27">
        <f t="shared" si="77"/>
        <v>21</v>
      </c>
      <c r="E996" s="27">
        <f t="shared" si="78"/>
        <v>2</v>
      </c>
      <c r="F996" s="27">
        <f>VLOOKUP(E996,[1]t_calendarioPolitica!A:C,3,FALSE)</f>
        <v>1</v>
      </c>
      <c r="G996" s="1">
        <v>1</v>
      </c>
      <c r="H996" s="1">
        <v>1</v>
      </c>
      <c r="I996" s="1">
        <f t="shared" si="79"/>
        <v>1</v>
      </c>
    </row>
    <row r="997" spans="1:9" x14ac:dyDescent="0.3">
      <c r="A997" s="26">
        <v>46287</v>
      </c>
      <c r="B997" s="27">
        <f t="shared" si="75"/>
        <v>2026</v>
      </c>
      <c r="C997" s="27">
        <f t="shared" si="76"/>
        <v>9</v>
      </c>
      <c r="D997" s="27">
        <f t="shared" si="77"/>
        <v>22</v>
      </c>
      <c r="E997" s="27">
        <f t="shared" si="78"/>
        <v>3</v>
      </c>
      <c r="F997" s="27">
        <f>VLOOKUP(E997,[1]t_calendarioPolitica!A:C,3,FALSE)</f>
        <v>1</v>
      </c>
      <c r="G997" s="1">
        <v>1</v>
      </c>
      <c r="H997" s="1">
        <v>1</v>
      </c>
      <c r="I997" s="1">
        <f t="shared" si="79"/>
        <v>1</v>
      </c>
    </row>
    <row r="998" spans="1:9" x14ac:dyDescent="0.3">
      <c r="A998" s="26">
        <v>46288</v>
      </c>
      <c r="B998" s="27">
        <f t="shared" si="75"/>
        <v>2026</v>
      </c>
      <c r="C998" s="27">
        <f t="shared" si="76"/>
        <v>9</v>
      </c>
      <c r="D998" s="27">
        <f t="shared" si="77"/>
        <v>23</v>
      </c>
      <c r="E998" s="27">
        <f t="shared" si="78"/>
        <v>4</v>
      </c>
      <c r="F998" s="27">
        <f>VLOOKUP(E998,[1]t_calendarioPolitica!A:C,3,FALSE)</f>
        <v>1</v>
      </c>
      <c r="G998" s="1">
        <v>1</v>
      </c>
      <c r="H998" s="1">
        <v>1</v>
      </c>
      <c r="I998" s="1">
        <f t="shared" si="79"/>
        <v>1</v>
      </c>
    </row>
    <row r="999" spans="1:9" x14ac:dyDescent="0.3">
      <c r="A999" s="26">
        <v>46289</v>
      </c>
      <c r="B999" s="27">
        <f t="shared" si="75"/>
        <v>2026</v>
      </c>
      <c r="C999" s="27">
        <f t="shared" si="76"/>
        <v>9</v>
      </c>
      <c r="D999" s="27">
        <f t="shared" si="77"/>
        <v>24</v>
      </c>
      <c r="E999" s="27">
        <f t="shared" si="78"/>
        <v>5</v>
      </c>
      <c r="F999" s="27">
        <f>VLOOKUP(E999,[1]t_calendarioPolitica!A:C,3,FALSE)</f>
        <v>1</v>
      </c>
      <c r="G999" s="1">
        <v>1</v>
      </c>
      <c r="H999" s="1">
        <v>1</v>
      </c>
      <c r="I999" s="1">
        <f t="shared" si="79"/>
        <v>1</v>
      </c>
    </row>
    <row r="1000" spans="1:9" x14ac:dyDescent="0.3">
      <c r="A1000" s="26">
        <v>46290</v>
      </c>
      <c r="B1000" s="27">
        <f t="shared" si="75"/>
        <v>2026</v>
      </c>
      <c r="C1000" s="27">
        <f t="shared" si="76"/>
        <v>9</v>
      </c>
      <c r="D1000" s="27">
        <f t="shared" si="77"/>
        <v>25</v>
      </c>
      <c r="E1000" s="27">
        <f t="shared" si="78"/>
        <v>6</v>
      </c>
      <c r="F1000" s="27">
        <f>VLOOKUP(E1000,[1]t_calendarioPolitica!A:C,3,FALSE)</f>
        <v>1</v>
      </c>
      <c r="G1000" s="1">
        <v>1</v>
      </c>
      <c r="H1000" s="1">
        <v>1</v>
      </c>
      <c r="I1000" s="1">
        <f t="shared" si="79"/>
        <v>1</v>
      </c>
    </row>
    <row r="1001" spans="1:9" x14ac:dyDescent="0.3">
      <c r="A1001" s="26">
        <v>46291</v>
      </c>
      <c r="B1001" s="27">
        <f t="shared" si="75"/>
        <v>2026</v>
      </c>
      <c r="C1001" s="27">
        <f t="shared" si="76"/>
        <v>9</v>
      </c>
      <c r="D1001" s="27">
        <f t="shared" si="77"/>
        <v>26</v>
      </c>
      <c r="E1001" s="27">
        <f t="shared" si="78"/>
        <v>7</v>
      </c>
      <c r="F1001" s="27">
        <f>VLOOKUP(E1001,[1]t_calendarioPolitica!A:C,3,FALSE)</f>
        <v>2</v>
      </c>
      <c r="G1001" s="1">
        <v>1</v>
      </c>
      <c r="H1001" s="1">
        <v>1</v>
      </c>
      <c r="I1001" s="1">
        <f t="shared" si="79"/>
        <v>1</v>
      </c>
    </row>
    <row r="1002" spans="1:9" x14ac:dyDescent="0.3">
      <c r="A1002" s="26">
        <v>46292</v>
      </c>
      <c r="B1002" s="27">
        <f t="shared" si="75"/>
        <v>2026</v>
      </c>
      <c r="C1002" s="27">
        <f t="shared" si="76"/>
        <v>9</v>
      </c>
      <c r="D1002" s="27">
        <f t="shared" si="77"/>
        <v>27</v>
      </c>
      <c r="E1002" s="27">
        <f t="shared" si="78"/>
        <v>1</v>
      </c>
      <c r="F1002" s="27">
        <f>VLOOKUP(E1002,[1]t_calendarioPolitica!A:C,3,FALSE)</f>
        <v>0</v>
      </c>
      <c r="G1002" s="1">
        <v>1</v>
      </c>
      <c r="H1002" s="1">
        <v>1</v>
      </c>
      <c r="I1002" s="1">
        <f t="shared" si="79"/>
        <v>0</v>
      </c>
    </row>
    <row r="1003" spans="1:9" x14ac:dyDescent="0.3">
      <c r="A1003" s="26">
        <v>46293</v>
      </c>
      <c r="B1003" s="27">
        <f t="shared" si="75"/>
        <v>2026</v>
      </c>
      <c r="C1003" s="27">
        <f t="shared" si="76"/>
        <v>9</v>
      </c>
      <c r="D1003" s="27">
        <f t="shared" si="77"/>
        <v>28</v>
      </c>
      <c r="E1003" s="27">
        <f t="shared" si="78"/>
        <v>2</v>
      </c>
      <c r="F1003" s="27">
        <f>VLOOKUP(E1003,[1]t_calendarioPolitica!A:C,3,FALSE)</f>
        <v>1</v>
      </c>
      <c r="G1003" s="1">
        <v>1</v>
      </c>
      <c r="H1003" s="1">
        <v>1</v>
      </c>
      <c r="I1003" s="1">
        <f t="shared" si="79"/>
        <v>1</v>
      </c>
    </row>
    <row r="1004" spans="1:9" x14ac:dyDescent="0.3">
      <c r="A1004" s="26">
        <v>46294</v>
      </c>
      <c r="B1004" s="27">
        <f t="shared" si="75"/>
        <v>2026</v>
      </c>
      <c r="C1004" s="27">
        <f t="shared" si="76"/>
        <v>9</v>
      </c>
      <c r="D1004" s="27">
        <f t="shared" si="77"/>
        <v>29</v>
      </c>
      <c r="E1004" s="27">
        <f t="shared" si="78"/>
        <v>3</v>
      </c>
      <c r="F1004" s="27">
        <f>VLOOKUP(E1004,[1]t_calendarioPolitica!A:C,3,FALSE)</f>
        <v>1</v>
      </c>
      <c r="G1004" s="1">
        <v>1</v>
      </c>
      <c r="H1004" s="1">
        <v>1</v>
      </c>
      <c r="I1004" s="1">
        <f t="shared" si="79"/>
        <v>1</v>
      </c>
    </row>
    <row r="1005" spans="1:9" x14ac:dyDescent="0.3">
      <c r="A1005" s="26">
        <v>46295</v>
      </c>
      <c r="B1005" s="27">
        <f t="shared" si="75"/>
        <v>2026</v>
      </c>
      <c r="C1005" s="27">
        <f t="shared" si="76"/>
        <v>9</v>
      </c>
      <c r="D1005" s="27">
        <f t="shared" si="77"/>
        <v>30</v>
      </c>
      <c r="E1005" s="27">
        <f t="shared" si="78"/>
        <v>4</v>
      </c>
      <c r="F1005" s="27">
        <f>VLOOKUP(E1005,[1]t_calendarioPolitica!A:C,3,FALSE)</f>
        <v>1</v>
      </c>
      <c r="G1005" s="1">
        <v>1</v>
      </c>
      <c r="H1005" s="1">
        <v>1</v>
      </c>
      <c r="I1005" s="1">
        <f t="shared" si="79"/>
        <v>1</v>
      </c>
    </row>
    <row r="1006" spans="1:9" x14ac:dyDescent="0.3">
      <c r="A1006" s="26">
        <v>46296</v>
      </c>
      <c r="B1006" s="27">
        <f t="shared" si="75"/>
        <v>2026</v>
      </c>
      <c r="C1006" s="27">
        <f t="shared" si="76"/>
        <v>10</v>
      </c>
      <c r="D1006" s="27">
        <f t="shared" si="77"/>
        <v>1</v>
      </c>
      <c r="E1006" s="27">
        <f t="shared" si="78"/>
        <v>5</v>
      </c>
      <c r="F1006" s="27">
        <f>VLOOKUP(E1006,[1]t_calendarioPolitica!A:C,3,FALSE)</f>
        <v>1</v>
      </c>
      <c r="G1006" s="1">
        <v>1</v>
      </c>
      <c r="H1006" s="1">
        <v>1</v>
      </c>
      <c r="I1006" s="1">
        <f t="shared" si="79"/>
        <v>1</v>
      </c>
    </row>
    <row r="1007" spans="1:9" x14ac:dyDescent="0.3">
      <c r="A1007" s="26">
        <v>46297</v>
      </c>
      <c r="B1007" s="27">
        <f t="shared" si="75"/>
        <v>2026</v>
      </c>
      <c r="C1007" s="27">
        <f t="shared" si="76"/>
        <v>10</v>
      </c>
      <c r="D1007" s="27">
        <f t="shared" si="77"/>
        <v>2</v>
      </c>
      <c r="E1007" s="27">
        <f t="shared" si="78"/>
        <v>6</v>
      </c>
      <c r="F1007" s="27">
        <f>VLOOKUP(E1007,[1]t_calendarioPolitica!A:C,3,FALSE)</f>
        <v>1</v>
      </c>
      <c r="G1007" s="1">
        <v>1</v>
      </c>
      <c r="H1007" s="1">
        <v>1</v>
      </c>
      <c r="I1007" s="1">
        <f t="shared" si="79"/>
        <v>1</v>
      </c>
    </row>
    <row r="1008" spans="1:9" x14ac:dyDescent="0.3">
      <c r="A1008" s="26">
        <v>46298</v>
      </c>
      <c r="B1008" s="27">
        <f t="shared" si="75"/>
        <v>2026</v>
      </c>
      <c r="C1008" s="27">
        <f t="shared" si="76"/>
        <v>10</v>
      </c>
      <c r="D1008" s="27">
        <f t="shared" si="77"/>
        <v>3</v>
      </c>
      <c r="E1008" s="27">
        <f t="shared" si="78"/>
        <v>7</v>
      </c>
      <c r="F1008" s="27">
        <f>VLOOKUP(E1008,[1]t_calendarioPolitica!A:C,3,FALSE)</f>
        <v>2</v>
      </c>
      <c r="G1008" s="1">
        <v>1</v>
      </c>
      <c r="H1008" s="1">
        <v>1</v>
      </c>
      <c r="I1008" s="1">
        <f t="shared" si="79"/>
        <v>1</v>
      </c>
    </row>
    <row r="1009" spans="1:9" x14ac:dyDescent="0.3">
      <c r="A1009" s="26">
        <v>46299</v>
      </c>
      <c r="B1009" s="27">
        <f t="shared" si="75"/>
        <v>2026</v>
      </c>
      <c r="C1009" s="27">
        <f t="shared" si="76"/>
        <v>10</v>
      </c>
      <c r="D1009" s="27">
        <f t="shared" si="77"/>
        <v>4</v>
      </c>
      <c r="E1009" s="27">
        <f t="shared" si="78"/>
        <v>1</v>
      </c>
      <c r="F1009" s="27">
        <f>VLOOKUP(E1009,[1]t_calendarioPolitica!A:C,3,FALSE)</f>
        <v>0</v>
      </c>
      <c r="G1009" s="1">
        <v>1</v>
      </c>
      <c r="H1009" s="1">
        <v>1</v>
      </c>
      <c r="I1009" s="1">
        <f t="shared" si="79"/>
        <v>0</v>
      </c>
    </row>
    <row r="1010" spans="1:9" x14ac:dyDescent="0.3">
      <c r="A1010" s="26">
        <v>46300</v>
      </c>
      <c r="B1010" s="27">
        <f t="shared" si="75"/>
        <v>2026</v>
      </c>
      <c r="C1010" s="27">
        <f t="shared" si="76"/>
        <v>10</v>
      </c>
      <c r="D1010" s="27">
        <f t="shared" si="77"/>
        <v>5</v>
      </c>
      <c r="E1010" s="27">
        <f t="shared" si="78"/>
        <v>2</v>
      </c>
      <c r="F1010" s="27">
        <f>VLOOKUP(E1010,[1]t_calendarioPolitica!A:C,3,FALSE)</f>
        <v>1</v>
      </c>
      <c r="G1010" s="1">
        <v>1</v>
      </c>
      <c r="H1010" s="1">
        <v>1</v>
      </c>
      <c r="I1010" s="1">
        <f t="shared" si="79"/>
        <v>1</v>
      </c>
    </row>
    <row r="1011" spans="1:9" x14ac:dyDescent="0.3">
      <c r="A1011" s="26">
        <v>46301</v>
      </c>
      <c r="B1011" s="27">
        <f t="shared" si="75"/>
        <v>2026</v>
      </c>
      <c r="C1011" s="27">
        <f t="shared" si="76"/>
        <v>10</v>
      </c>
      <c r="D1011" s="27">
        <f t="shared" si="77"/>
        <v>6</v>
      </c>
      <c r="E1011" s="27">
        <f t="shared" si="78"/>
        <v>3</v>
      </c>
      <c r="F1011" s="27">
        <f>VLOOKUP(E1011,[1]t_calendarioPolitica!A:C,3,FALSE)</f>
        <v>1</v>
      </c>
      <c r="G1011" s="1">
        <v>1</v>
      </c>
      <c r="H1011" s="1">
        <v>1</v>
      </c>
      <c r="I1011" s="1">
        <f t="shared" si="79"/>
        <v>1</v>
      </c>
    </row>
    <row r="1012" spans="1:9" x14ac:dyDescent="0.3">
      <c r="A1012" s="26">
        <v>46302</v>
      </c>
      <c r="B1012" s="27">
        <f t="shared" si="75"/>
        <v>2026</v>
      </c>
      <c r="C1012" s="27">
        <f t="shared" si="76"/>
        <v>10</v>
      </c>
      <c r="D1012" s="27">
        <f t="shared" si="77"/>
        <v>7</v>
      </c>
      <c r="E1012" s="27">
        <f t="shared" si="78"/>
        <v>4</v>
      </c>
      <c r="F1012" s="27">
        <f>VLOOKUP(E1012,[1]t_calendarioPolitica!A:C,3,FALSE)</f>
        <v>1</v>
      </c>
      <c r="G1012" s="1">
        <v>1</v>
      </c>
      <c r="H1012" s="1">
        <v>1</v>
      </c>
      <c r="I1012" s="1">
        <f t="shared" si="79"/>
        <v>1</v>
      </c>
    </row>
    <row r="1013" spans="1:9" x14ac:dyDescent="0.3">
      <c r="A1013" s="26">
        <v>46303</v>
      </c>
      <c r="B1013" s="27">
        <f t="shared" si="75"/>
        <v>2026</v>
      </c>
      <c r="C1013" s="27">
        <f t="shared" si="76"/>
        <v>10</v>
      </c>
      <c r="D1013" s="27">
        <f t="shared" si="77"/>
        <v>8</v>
      </c>
      <c r="E1013" s="27">
        <f t="shared" si="78"/>
        <v>5</v>
      </c>
      <c r="F1013" s="27">
        <f>VLOOKUP(E1013,[1]t_calendarioPolitica!A:C,3,FALSE)</f>
        <v>1</v>
      </c>
      <c r="G1013" s="1">
        <v>1</v>
      </c>
      <c r="H1013" s="1">
        <v>1</v>
      </c>
      <c r="I1013" s="1">
        <f t="shared" si="79"/>
        <v>1</v>
      </c>
    </row>
    <row r="1014" spans="1:9" x14ac:dyDescent="0.3">
      <c r="A1014" s="26">
        <v>46304</v>
      </c>
      <c r="B1014" s="27">
        <f t="shared" si="75"/>
        <v>2026</v>
      </c>
      <c r="C1014" s="27">
        <f t="shared" si="76"/>
        <v>10</v>
      </c>
      <c r="D1014" s="27">
        <f t="shared" si="77"/>
        <v>9</v>
      </c>
      <c r="E1014" s="27">
        <f t="shared" si="78"/>
        <v>6</v>
      </c>
      <c r="F1014" s="27">
        <f>VLOOKUP(E1014,[1]t_calendarioPolitica!A:C,3,FALSE)</f>
        <v>1</v>
      </c>
      <c r="G1014" s="1">
        <v>1</v>
      </c>
      <c r="H1014" s="1">
        <v>1</v>
      </c>
      <c r="I1014" s="1">
        <f t="shared" si="79"/>
        <v>1</v>
      </c>
    </row>
    <row r="1015" spans="1:9" x14ac:dyDescent="0.3">
      <c r="A1015" s="26">
        <v>46305</v>
      </c>
      <c r="B1015" s="27">
        <f t="shared" si="75"/>
        <v>2026</v>
      </c>
      <c r="C1015" s="27">
        <f t="shared" si="76"/>
        <v>10</v>
      </c>
      <c r="D1015" s="27">
        <f t="shared" si="77"/>
        <v>10</v>
      </c>
      <c r="E1015" s="27">
        <f t="shared" si="78"/>
        <v>7</v>
      </c>
      <c r="F1015" s="27">
        <f>VLOOKUP(E1015,[1]t_calendarioPolitica!A:C,3,FALSE)</f>
        <v>2</v>
      </c>
      <c r="G1015" s="1">
        <v>1</v>
      </c>
      <c r="H1015" s="1">
        <v>1</v>
      </c>
      <c r="I1015" s="1">
        <f t="shared" si="79"/>
        <v>1</v>
      </c>
    </row>
    <row r="1016" spans="1:9" x14ac:dyDescent="0.3">
      <c r="A1016" s="26">
        <v>46306</v>
      </c>
      <c r="B1016" s="27">
        <f t="shared" si="75"/>
        <v>2026</v>
      </c>
      <c r="C1016" s="27">
        <f t="shared" si="76"/>
        <v>10</v>
      </c>
      <c r="D1016" s="27">
        <f t="shared" si="77"/>
        <v>11</v>
      </c>
      <c r="E1016" s="27">
        <f t="shared" si="78"/>
        <v>1</v>
      </c>
      <c r="F1016" s="27">
        <f>VLOOKUP(E1016,[1]t_calendarioPolitica!A:C,3,FALSE)</f>
        <v>0</v>
      </c>
      <c r="G1016" s="1">
        <v>1</v>
      </c>
      <c r="H1016" s="1">
        <v>1</v>
      </c>
      <c r="I1016" s="1">
        <f t="shared" si="79"/>
        <v>0</v>
      </c>
    </row>
    <row r="1017" spans="1:9" x14ac:dyDescent="0.3">
      <c r="A1017" s="26">
        <v>46307</v>
      </c>
      <c r="B1017" s="27">
        <f t="shared" si="75"/>
        <v>2026</v>
      </c>
      <c r="C1017" s="27">
        <f t="shared" si="76"/>
        <v>10</v>
      </c>
      <c r="D1017" s="27">
        <f t="shared" si="77"/>
        <v>12</v>
      </c>
      <c r="E1017" s="27">
        <f t="shared" si="78"/>
        <v>2</v>
      </c>
      <c r="F1017" s="27">
        <f>VLOOKUP(E1017,[1]t_calendarioPolitica!A:C,3,FALSE)</f>
        <v>1</v>
      </c>
      <c r="G1017" s="1">
        <v>1</v>
      </c>
      <c r="H1017" s="1">
        <v>1</v>
      </c>
      <c r="I1017" s="1">
        <f t="shared" si="79"/>
        <v>1</v>
      </c>
    </row>
    <row r="1018" spans="1:9" x14ac:dyDescent="0.3">
      <c r="A1018" s="26">
        <v>46308</v>
      </c>
      <c r="B1018" s="27">
        <f t="shared" si="75"/>
        <v>2026</v>
      </c>
      <c r="C1018" s="27">
        <f t="shared" si="76"/>
        <v>10</v>
      </c>
      <c r="D1018" s="27">
        <f t="shared" si="77"/>
        <v>13</v>
      </c>
      <c r="E1018" s="27">
        <f t="shared" si="78"/>
        <v>3</v>
      </c>
      <c r="F1018" s="27">
        <f>VLOOKUP(E1018,[1]t_calendarioPolitica!A:C,3,FALSE)</f>
        <v>1</v>
      </c>
      <c r="G1018" s="1">
        <v>1</v>
      </c>
      <c r="H1018" s="1">
        <v>1</v>
      </c>
      <c r="I1018" s="1">
        <f t="shared" si="79"/>
        <v>1</v>
      </c>
    </row>
    <row r="1019" spans="1:9" x14ac:dyDescent="0.3">
      <c r="A1019" s="26">
        <v>46309</v>
      </c>
      <c r="B1019" s="27">
        <f t="shared" si="75"/>
        <v>2026</v>
      </c>
      <c r="C1019" s="27">
        <f t="shared" si="76"/>
        <v>10</v>
      </c>
      <c r="D1019" s="27">
        <f t="shared" si="77"/>
        <v>14</v>
      </c>
      <c r="E1019" s="27">
        <f t="shared" si="78"/>
        <v>4</v>
      </c>
      <c r="F1019" s="27">
        <f>VLOOKUP(E1019,[1]t_calendarioPolitica!A:C,3,FALSE)</f>
        <v>1</v>
      </c>
      <c r="G1019" s="1">
        <v>1</v>
      </c>
      <c r="H1019" s="1">
        <v>1</v>
      </c>
      <c r="I1019" s="1">
        <f t="shared" si="79"/>
        <v>1</v>
      </c>
    </row>
    <row r="1020" spans="1:9" x14ac:dyDescent="0.3">
      <c r="A1020" s="26">
        <v>46310</v>
      </c>
      <c r="B1020" s="27">
        <f t="shared" si="75"/>
        <v>2026</v>
      </c>
      <c r="C1020" s="27">
        <f t="shared" si="76"/>
        <v>10</v>
      </c>
      <c r="D1020" s="27">
        <f t="shared" si="77"/>
        <v>15</v>
      </c>
      <c r="E1020" s="27">
        <f t="shared" si="78"/>
        <v>5</v>
      </c>
      <c r="F1020" s="27">
        <f>VLOOKUP(E1020,[1]t_calendarioPolitica!A:C,3,FALSE)</f>
        <v>1</v>
      </c>
      <c r="G1020" s="1">
        <v>1</v>
      </c>
      <c r="H1020" s="1">
        <v>1</v>
      </c>
      <c r="I1020" s="1">
        <f t="shared" si="79"/>
        <v>1</v>
      </c>
    </row>
    <row r="1021" spans="1:9" x14ac:dyDescent="0.3">
      <c r="A1021" s="26">
        <v>46311</v>
      </c>
      <c r="B1021" s="27">
        <f t="shared" si="75"/>
        <v>2026</v>
      </c>
      <c r="C1021" s="27">
        <f t="shared" si="76"/>
        <v>10</v>
      </c>
      <c r="D1021" s="27">
        <f t="shared" si="77"/>
        <v>16</v>
      </c>
      <c r="E1021" s="27">
        <f t="shared" si="78"/>
        <v>6</v>
      </c>
      <c r="F1021" s="27">
        <f>VLOOKUP(E1021,[1]t_calendarioPolitica!A:C,3,FALSE)</f>
        <v>1</v>
      </c>
      <c r="G1021" s="1">
        <v>1</v>
      </c>
      <c r="H1021" s="1">
        <v>1</v>
      </c>
      <c r="I1021" s="1">
        <f t="shared" si="79"/>
        <v>1</v>
      </c>
    </row>
    <row r="1022" spans="1:9" x14ac:dyDescent="0.3">
      <c r="A1022" s="26">
        <v>46312</v>
      </c>
      <c r="B1022" s="27">
        <f t="shared" si="75"/>
        <v>2026</v>
      </c>
      <c r="C1022" s="27">
        <f t="shared" si="76"/>
        <v>10</v>
      </c>
      <c r="D1022" s="27">
        <f t="shared" si="77"/>
        <v>17</v>
      </c>
      <c r="E1022" s="27">
        <f t="shared" si="78"/>
        <v>7</v>
      </c>
      <c r="F1022" s="27">
        <f>VLOOKUP(E1022,[1]t_calendarioPolitica!A:C,3,FALSE)</f>
        <v>2</v>
      </c>
      <c r="G1022" s="1">
        <v>1</v>
      </c>
      <c r="H1022" s="1">
        <v>1</v>
      </c>
      <c r="I1022" s="1">
        <f t="shared" si="79"/>
        <v>1</v>
      </c>
    </row>
    <row r="1023" spans="1:9" x14ac:dyDescent="0.3">
      <c r="A1023" s="26">
        <v>46313</v>
      </c>
      <c r="B1023" s="27">
        <f t="shared" si="75"/>
        <v>2026</v>
      </c>
      <c r="C1023" s="27">
        <f t="shared" si="76"/>
        <v>10</v>
      </c>
      <c r="D1023" s="27">
        <f t="shared" si="77"/>
        <v>18</v>
      </c>
      <c r="E1023" s="27">
        <f t="shared" si="78"/>
        <v>1</v>
      </c>
      <c r="F1023" s="27">
        <f>VLOOKUP(E1023,[1]t_calendarioPolitica!A:C,3,FALSE)</f>
        <v>0</v>
      </c>
      <c r="G1023" s="1">
        <v>1</v>
      </c>
      <c r="H1023" s="1">
        <v>1</v>
      </c>
      <c r="I1023" s="1">
        <f t="shared" si="79"/>
        <v>0</v>
      </c>
    </row>
    <row r="1024" spans="1:9" x14ac:dyDescent="0.3">
      <c r="A1024" s="26">
        <v>46314</v>
      </c>
      <c r="B1024" s="27">
        <f t="shared" si="75"/>
        <v>2026</v>
      </c>
      <c r="C1024" s="27">
        <f t="shared" si="76"/>
        <v>10</v>
      </c>
      <c r="D1024" s="27">
        <f t="shared" si="77"/>
        <v>19</v>
      </c>
      <c r="E1024" s="27">
        <f t="shared" si="78"/>
        <v>2</v>
      </c>
      <c r="F1024" s="27">
        <f>VLOOKUP(E1024,[1]t_calendarioPolitica!A:C,3,FALSE)</f>
        <v>1</v>
      </c>
      <c r="G1024" s="1">
        <v>1</v>
      </c>
      <c r="H1024" s="1">
        <v>1</v>
      </c>
      <c r="I1024" s="1">
        <f t="shared" si="79"/>
        <v>1</v>
      </c>
    </row>
    <row r="1025" spans="1:9" x14ac:dyDescent="0.3">
      <c r="A1025" s="26">
        <v>46315</v>
      </c>
      <c r="B1025" s="27">
        <f t="shared" si="75"/>
        <v>2026</v>
      </c>
      <c r="C1025" s="27">
        <f t="shared" si="76"/>
        <v>10</v>
      </c>
      <c r="D1025" s="27">
        <f t="shared" si="77"/>
        <v>20</v>
      </c>
      <c r="E1025" s="27">
        <f t="shared" si="78"/>
        <v>3</v>
      </c>
      <c r="F1025" s="27">
        <f>VLOOKUP(E1025,[1]t_calendarioPolitica!A:C,3,FALSE)</f>
        <v>1</v>
      </c>
      <c r="G1025" s="1">
        <v>1</v>
      </c>
      <c r="H1025" s="1">
        <v>1</v>
      </c>
      <c r="I1025" s="1">
        <f t="shared" si="79"/>
        <v>1</v>
      </c>
    </row>
    <row r="1026" spans="1:9" x14ac:dyDescent="0.3">
      <c r="A1026" s="26">
        <v>46316</v>
      </c>
      <c r="B1026" s="27">
        <f t="shared" si="75"/>
        <v>2026</v>
      </c>
      <c r="C1026" s="27">
        <f t="shared" si="76"/>
        <v>10</v>
      </c>
      <c r="D1026" s="27">
        <f t="shared" si="77"/>
        <v>21</v>
      </c>
      <c r="E1026" s="27">
        <f t="shared" si="78"/>
        <v>4</v>
      </c>
      <c r="F1026" s="27">
        <f>VLOOKUP(E1026,[1]t_calendarioPolitica!A:C,3,FALSE)</f>
        <v>1</v>
      </c>
      <c r="G1026" s="1">
        <v>1</v>
      </c>
      <c r="H1026" s="1">
        <v>1</v>
      </c>
      <c r="I1026" s="1">
        <f t="shared" si="79"/>
        <v>1</v>
      </c>
    </row>
    <row r="1027" spans="1:9" x14ac:dyDescent="0.3">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VLOOKUP(E1027,[1]t_calendarioPolitica!A:C,3,FALSE)</f>
        <v>1</v>
      </c>
      <c r="G1027" s="1">
        <v>1</v>
      </c>
      <c r="H1027" s="1">
        <v>1</v>
      </c>
      <c r="I1027" s="1">
        <f t="shared" ref="I1027:I1090" si="84">IF(AND(F1027&lt;&gt;0, H1027&lt;&gt;0,G1027&lt;&gt;0), 1, 0)</f>
        <v>1</v>
      </c>
    </row>
    <row r="1028" spans="1:9" x14ac:dyDescent="0.3">
      <c r="A1028" s="26">
        <v>46318</v>
      </c>
      <c r="B1028" s="27">
        <f t="shared" si="80"/>
        <v>2026</v>
      </c>
      <c r="C1028" s="27">
        <f t="shared" si="81"/>
        <v>10</v>
      </c>
      <c r="D1028" s="27">
        <f t="shared" si="82"/>
        <v>23</v>
      </c>
      <c r="E1028" s="27">
        <f t="shared" si="83"/>
        <v>6</v>
      </c>
      <c r="F1028" s="27">
        <f>VLOOKUP(E1028,[1]t_calendarioPolitica!A:C,3,FALSE)</f>
        <v>1</v>
      </c>
      <c r="G1028" s="1">
        <v>1</v>
      </c>
      <c r="H1028" s="1">
        <v>1</v>
      </c>
      <c r="I1028" s="1">
        <f t="shared" si="84"/>
        <v>1</v>
      </c>
    </row>
    <row r="1029" spans="1:9" x14ac:dyDescent="0.3">
      <c r="A1029" s="26">
        <v>46319</v>
      </c>
      <c r="B1029" s="27">
        <f t="shared" si="80"/>
        <v>2026</v>
      </c>
      <c r="C1029" s="27">
        <f t="shared" si="81"/>
        <v>10</v>
      </c>
      <c r="D1029" s="27">
        <f t="shared" si="82"/>
        <v>24</v>
      </c>
      <c r="E1029" s="27">
        <f t="shared" si="83"/>
        <v>7</v>
      </c>
      <c r="F1029" s="27">
        <f>VLOOKUP(E1029,[1]t_calendarioPolitica!A:C,3,FALSE)</f>
        <v>2</v>
      </c>
      <c r="G1029" s="1">
        <v>1</v>
      </c>
      <c r="H1029" s="1">
        <v>1</v>
      </c>
      <c r="I1029" s="1">
        <f t="shared" si="84"/>
        <v>1</v>
      </c>
    </row>
    <row r="1030" spans="1:9" x14ac:dyDescent="0.3">
      <c r="A1030" s="26">
        <v>46320</v>
      </c>
      <c r="B1030" s="27">
        <f t="shared" si="80"/>
        <v>2026</v>
      </c>
      <c r="C1030" s="27">
        <f t="shared" si="81"/>
        <v>10</v>
      </c>
      <c r="D1030" s="27">
        <f t="shared" si="82"/>
        <v>25</v>
      </c>
      <c r="E1030" s="27">
        <f t="shared" si="83"/>
        <v>1</v>
      </c>
      <c r="F1030" s="27">
        <f>VLOOKUP(E1030,[1]t_calendarioPolitica!A:C,3,FALSE)</f>
        <v>0</v>
      </c>
      <c r="G1030" s="1">
        <v>1</v>
      </c>
      <c r="H1030" s="1">
        <v>1</v>
      </c>
      <c r="I1030" s="1">
        <f t="shared" si="84"/>
        <v>0</v>
      </c>
    </row>
    <row r="1031" spans="1:9" x14ac:dyDescent="0.3">
      <c r="A1031" s="26">
        <v>46321</v>
      </c>
      <c r="B1031" s="27">
        <f t="shared" si="80"/>
        <v>2026</v>
      </c>
      <c r="C1031" s="27">
        <f t="shared" si="81"/>
        <v>10</v>
      </c>
      <c r="D1031" s="27">
        <f t="shared" si="82"/>
        <v>26</v>
      </c>
      <c r="E1031" s="27">
        <f t="shared" si="83"/>
        <v>2</v>
      </c>
      <c r="F1031" s="27">
        <f>VLOOKUP(E1031,[1]t_calendarioPolitica!A:C,3,FALSE)</f>
        <v>1</v>
      </c>
      <c r="G1031" s="1">
        <v>1</v>
      </c>
      <c r="H1031" s="1">
        <v>1</v>
      </c>
      <c r="I1031" s="1">
        <f t="shared" si="84"/>
        <v>1</v>
      </c>
    </row>
    <row r="1032" spans="1:9" x14ac:dyDescent="0.3">
      <c r="A1032" s="26">
        <v>46322</v>
      </c>
      <c r="B1032" s="27">
        <f t="shared" si="80"/>
        <v>2026</v>
      </c>
      <c r="C1032" s="27">
        <f t="shared" si="81"/>
        <v>10</v>
      </c>
      <c r="D1032" s="27">
        <f t="shared" si="82"/>
        <v>27</v>
      </c>
      <c r="E1032" s="27">
        <f t="shared" si="83"/>
        <v>3</v>
      </c>
      <c r="F1032" s="27">
        <f>VLOOKUP(E1032,[1]t_calendarioPolitica!A:C,3,FALSE)</f>
        <v>1</v>
      </c>
      <c r="G1032" s="1">
        <v>1</v>
      </c>
      <c r="H1032" s="1">
        <v>1</v>
      </c>
      <c r="I1032" s="1">
        <f t="shared" si="84"/>
        <v>1</v>
      </c>
    </row>
    <row r="1033" spans="1:9" x14ac:dyDescent="0.3">
      <c r="A1033" s="26">
        <v>46323</v>
      </c>
      <c r="B1033" s="27">
        <f t="shared" si="80"/>
        <v>2026</v>
      </c>
      <c r="C1033" s="27">
        <f t="shared" si="81"/>
        <v>10</v>
      </c>
      <c r="D1033" s="27">
        <f t="shared" si="82"/>
        <v>28</v>
      </c>
      <c r="E1033" s="27">
        <f t="shared" si="83"/>
        <v>4</v>
      </c>
      <c r="F1033" s="27">
        <f>VLOOKUP(E1033,[1]t_calendarioPolitica!A:C,3,FALSE)</f>
        <v>1</v>
      </c>
      <c r="G1033" s="1">
        <v>1</v>
      </c>
      <c r="H1033" s="1">
        <v>1</v>
      </c>
      <c r="I1033" s="1">
        <f t="shared" si="84"/>
        <v>1</v>
      </c>
    </row>
    <row r="1034" spans="1:9" x14ac:dyDescent="0.3">
      <c r="A1034" s="26">
        <v>46324</v>
      </c>
      <c r="B1034" s="27">
        <f t="shared" si="80"/>
        <v>2026</v>
      </c>
      <c r="C1034" s="27">
        <f t="shared" si="81"/>
        <v>10</v>
      </c>
      <c r="D1034" s="27">
        <f t="shared" si="82"/>
        <v>29</v>
      </c>
      <c r="E1034" s="27">
        <f t="shared" si="83"/>
        <v>5</v>
      </c>
      <c r="F1034" s="27">
        <f>VLOOKUP(E1034,[1]t_calendarioPolitica!A:C,3,FALSE)</f>
        <v>1</v>
      </c>
      <c r="G1034" s="1">
        <v>1</v>
      </c>
      <c r="H1034" s="1">
        <v>1</v>
      </c>
      <c r="I1034" s="1">
        <f t="shared" si="84"/>
        <v>1</v>
      </c>
    </row>
    <row r="1035" spans="1:9" x14ac:dyDescent="0.3">
      <c r="A1035" s="26">
        <v>46325</v>
      </c>
      <c r="B1035" s="27">
        <f t="shared" si="80"/>
        <v>2026</v>
      </c>
      <c r="C1035" s="27">
        <f t="shared" si="81"/>
        <v>10</v>
      </c>
      <c r="D1035" s="27">
        <f t="shared" si="82"/>
        <v>30</v>
      </c>
      <c r="E1035" s="27">
        <f t="shared" si="83"/>
        <v>6</v>
      </c>
      <c r="F1035" s="27">
        <f>VLOOKUP(E1035,[1]t_calendarioPolitica!A:C,3,FALSE)</f>
        <v>1</v>
      </c>
      <c r="G1035" s="1">
        <v>1</v>
      </c>
      <c r="H1035" s="1">
        <v>1</v>
      </c>
      <c r="I1035" s="1">
        <f t="shared" si="84"/>
        <v>1</v>
      </c>
    </row>
    <row r="1036" spans="1:9" x14ac:dyDescent="0.3">
      <c r="A1036" s="26">
        <v>46326</v>
      </c>
      <c r="B1036" s="27">
        <f t="shared" si="80"/>
        <v>2026</v>
      </c>
      <c r="C1036" s="27">
        <f t="shared" si="81"/>
        <v>10</v>
      </c>
      <c r="D1036" s="27">
        <f t="shared" si="82"/>
        <v>31</v>
      </c>
      <c r="E1036" s="27">
        <f t="shared" si="83"/>
        <v>7</v>
      </c>
      <c r="F1036" s="27">
        <f>VLOOKUP(E1036,[1]t_calendarioPolitica!A:C,3,FALSE)</f>
        <v>2</v>
      </c>
      <c r="G1036" s="1">
        <v>1</v>
      </c>
      <c r="H1036" s="1">
        <v>1</v>
      </c>
      <c r="I1036" s="1">
        <f t="shared" si="84"/>
        <v>1</v>
      </c>
    </row>
    <row r="1037" spans="1:9" x14ac:dyDescent="0.3">
      <c r="A1037" s="26">
        <v>46327</v>
      </c>
      <c r="B1037" s="27">
        <f t="shared" si="80"/>
        <v>2026</v>
      </c>
      <c r="C1037" s="27">
        <f t="shared" si="81"/>
        <v>11</v>
      </c>
      <c r="D1037" s="27">
        <f t="shared" si="82"/>
        <v>1</v>
      </c>
      <c r="E1037" s="27">
        <f t="shared" si="83"/>
        <v>1</v>
      </c>
      <c r="F1037" s="27">
        <f>VLOOKUP(E1037,[1]t_calendarioPolitica!A:C,3,FALSE)</f>
        <v>0</v>
      </c>
      <c r="G1037" s="1">
        <v>1</v>
      </c>
      <c r="H1037" s="1">
        <v>1</v>
      </c>
      <c r="I1037" s="1">
        <f t="shared" si="84"/>
        <v>0</v>
      </c>
    </row>
    <row r="1038" spans="1:9" x14ac:dyDescent="0.3">
      <c r="A1038" s="26">
        <v>46328</v>
      </c>
      <c r="B1038" s="27">
        <f t="shared" si="80"/>
        <v>2026</v>
      </c>
      <c r="C1038" s="27">
        <f t="shared" si="81"/>
        <v>11</v>
      </c>
      <c r="D1038" s="27">
        <f t="shared" si="82"/>
        <v>2</v>
      </c>
      <c r="E1038" s="27">
        <f t="shared" si="83"/>
        <v>2</v>
      </c>
      <c r="F1038" s="27">
        <f>VLOOKUP(E1038,[1]t_calendarioPolitica!A:C,3,FALSE)</f>
        <v>1</v>
      </c>
      <c r="G1038" s="1">
        <v>1</v>
      </c>
      <c r="H1038" s="1">
        <v>0</v>
      </c>
      <c r="I1038" s="1">
        <f t="shared" si="84"/>
        <v>0</v>
      </c>
    </row>
    <row r="1039" spans="1:9" x14ac:dyDescent="0.3">
      <c r="A1039" s="26">
        <v>46329</v>
      </c>
      <c r="B1039" s="27">
        <f t="shared" si="80"/>
        <v>2026</v>
      </c>
      <c r="C1039" s="27">
        <f t="shared" si="81"/>
        <v>11</v>
      </c>
      <c r="D1039" s="27">
        <f t="shared" si="82"/>
        <v>3</v>
      </c>
      <c r="E1039" s="27">
        <f t="shared" si="83"/>
        <v>3</v>
      </c>
      <c r="F1039" s="27">
        <f>VLOOKUP(E1039,[1]t_calendarioPolitica!A:C,3,FALSE)</f>
        <v>1</v>
      </c>
      <c r="G1039" s="1">
        <v>1</v>
      </c>
      <c r="H1039" s="1">
        <v>1</v>
      </c>
      <c r="I1039" s="1">
        <f t="shared" si="84"/>
        <v>1</v>
      </c>
    </row>
    <row r="1040" spans="1:9" x14ac:dyDescent="0.3">
      <c r="A1040" s="26">
        <v>46330</v>
      </c>
      <c r="B1040" s="27">
        <f t="shared" si="80"/>
        <v>2026</v>
      </c>
      <c r="C1040" s="27">
        <f t="shared" si="81"/>
        <v>11</v>
      </c>
      <c r="D1040" s="27">
        <f t="shared" si="82"/>
        <v>4</v>
      </c>
      <c r="E1040" s="27">
        <f t="shared" si="83"/>
        <v>4</v>
      </c>
      <c r="F1040" s="27">
        <f>VLOOKUP(E1040,[1]t_calendarioPolitica!A:C,3,FALSE)</f>
        <v>1</v>
      </c>
      <c r="G1040" s="1">
        <v>1</v>
      </c>
      <c r="H1040" s="1">
        <v>1</v>
      </c>
      <c r="I1040" s="1">
        <f t="shared" si="84"/>
        <v>1</v>
      </c>
    </row>
    <row r="1041" spans="1:9" x14ac:dyDescent="0.3">
      <c r="A1041" s="26">
        <v>46331</v>
      </c>
      <c r="B1041" s="27">
        <f t="shared" si="80"/>
        <v>2026</v>
      </c>
      <c r="C1041" s="27">
        <f t="shared" si="81"/>
        <v>11</v>
      </c>
      <c r="D1041" s="27">
        <f t="shared" si="82"/>
        <v>5</v>
      </c>
      <c r="E1041" s="27">
        <f t="shared" si="83"/>
        <v>5</v>
      </c>
      <c r="F1041" s="27">
        <f>VLOOKUP(E1041,[1]t_calendarioPolitica!A:C,3,FALSE)</f>
        <v>1</v>
      </c>
      <c r="G1041" s="1">
        <v>1</v>
      </c>
      <c r="H1041" s="1">
        <v>1</v>
      </c>
      <c r="I1041" s="1">
        <f t="shared" si="84"/>
        <v>1</v>
      </c>
    </row>
    <row r="1042" spans="1:9" x14ac:dyDescent="0.3">
      <c r="A1042" s="26">
        <v>46332</v>
      </c>
      <c r="B1042" s="27">
        <f t="shared" si="80"/>
        <v>2026</v>
      </c>
      <c r="C1042" s="27">
        <f t="shared" si="81"/>
        <v>11</v>
      </c>
      <c r="D1042" s="27">
        <f t="shared" si="82"/>
        <v>6</v>
      </c>
      <c r="E1042" s="27">
        <f t="shared" si="83"/>
        <v>6</v>
      </c>
      <c r="F1042" s="27">
        <f>VLOOKUP(E1042,[1]t_calendarioPolitica!A:C,3,FALSE)</f>
        <v>1</v>
      </c>
      <c r="G1042" s="1">
        <v>1</v>
      </c>
      <c r="H1042" s="1">
        <v>1</v>
      </c>
      <c r="I1042" s="1">
        <f t="shared" si="84"/>
        <v>1</v>
      </c>
    </row>
    <row r="1043" spans="1:9" x14ac:dyDescent="0.3">
      <c r="A1043" s="26">
        <v>46333</v>
      </c>
      <c r="B1043" s="27">
        <f t="shared" si="80"/>
        <v>2026</v>
      </c>
      <c r="C1043" s="27">
        <f t="shared" si="81"/>
        <v>11</v>
      </c>
      <c r="D1043" s="27">
        <f t="shared" si="82"/>
        <v>7</v>
      </c>
      <c r="E1043" s="27">
        <f t="shared" si="83"/>
        <v>7</v>
      </c>
      <c r="F1043" s="27">
        <f>VLOOKUP(E1043,[1]t_calendarioPolitica!A:C,3,FALSE)</f>
        <v>2</v>
      </c>
      <c r="G1043" s="1">
        <v>1</v>
      </c>
      <c r="H1043" s="1">
        <v>1</v>
      </c>
      <c r="I1043" s="1">
        <f t="shared" si="84"/>
        <v>1</v>
      </c>
    </row>
    <row r="1044" spans="1:9" x14ac:dyDescent="0.3">
      <c r="A1044" s="26">
        <v>46334</v>
      </c>
      <c r="B1044" s="27">
        <f t="shared" si="80"/>
        <v>2026</v>
      </c>
      <c r="C1044" s="27">
        <f t="shared" si="81"/>
        <v>11</v>
      </c>
      <c r="D1044" s="27">
        <f t="shared" si="82"/>
        <v>8</v>
      </c>
      <c r="E1044" s="27">
        <f t="shared" si="83"/>
        <v>1</v>
      </c>
      <c r="F1044" s="27">
        <f>VLOOKUP(E1044,[1]t_calendarioPolitica!A:C,3,FALSE)</f>
        <v>0</v>
      </c>
      <c r="G1044" s="1">
        <v>1</v>
      </c>
      <c r="H1044" s="1">
        <v>1</v>
      </c>
      <c r="I1044" s="1">
        <f t="shared" si="84"/>
        <v>0</v>
      </c>
    </row>
    <row r="1045" spans="1:9" x14ac:dyDescent="0.3">
      <c r="A1045" s="26">
        <v>46335</v>
      </c>
      <c r="B1045" s="27">
        <f t="shared" si="80"/>
        <v>2026</v>
      </c>
      <c r="C1045" s="27">
        <f t="shared" si="81"/>
        <v>11</v>
      </c>
      <c r="D1045" s="27">
        <f t="shared" si="82"/>
        <v>9</v>
      </c>
      <c r="E1045" s="27">
        <f t="shared" si="83"/>
        <v>2</v>
      </c>
      <c r="F1045" s="27">
        <f>VLOOKUP(E1045,[1]t_calendarioPolitica!A:C,3,FALSE)</f>
        <v>1</v>
      </c>
      <c r="G1045" s="1">
        <v>1</v>
      </c>
      <c r="H1045" s="1">
        <v>1</v>
      </c>
      <c r="I1045" s="1">
        <f t="shared" si="84"/>
        <v>1</v>
      </c>
    </row>
    <row r="1046" spans="1:9" x14ac:dyDescent="0.3">
      <c r="A1046" s="26">
        <v>46336</v>
      </c>
      <c r="B1046" s="27">
        <f t="shared" si="80"/>
        <v>2026</v>
      </c>
      <c r="C1046" s="27">
        <f t="shared" si="81"/>
        <v>11</v>
      </c>
      <c r="D1046" s="27">
        <f t="shared" si="82"/>
        <v>10</v>
      </c>
      <c r="E1046" s="27">
        <f t="shared" si="83"/>
        <v>3</v>
      </c>
      <c r="F1046" s="27">
        <f>VLOOKUP(E1046,[1]t_calendarioPolitica!A:C,3,FALSE)</f>
        <v>1</v>
      </c>
      <c r="G1046" s="1">
        <v>1</v>
      </c>
      <c r="H1046" s="1">
        <v>1</v>
      </c>
      <c r="I1046" s="1">
        <f t="shared" si="84"/>
        <v>1</v>
      </c>
    </row>
    <row r="1047" spans="1:9" x14ac:dyDescent="0.3">
      <c r="A1047" s="26">
        <v>46337</v>
      </c>
      <c r="B1047" s="27">
        <f t="shared" si="80"/>
        <v>2026</v>
      </c>
      <c r="C1047" s="27">
        <f t="shared" si="81"/>
        <v>11</v>
      </c>
      <c r="D1047" s="27">
        <f t="shared" si="82"/>
        <v>11</v>
      </c>
      <c r="E1047" s="27">
        <f t="shared" si="83"/>
        <v>4</v>
      </c>
      <c r="F1047" s="27">
        <f>VLOOKUP(E1047,[1]t_calendarioPolitica!A:C,3,FALSE)</f>
        <v>1</v>
      </c>
      <c r="G1047" s="1">
        <v>1</v>
      </c>
      <c r="H1047" s="1">
        <v>1</v>
      </c>
      <c r="I1047" s="1">
        <f t="shared" si="84"/>
        <v>1</v>
      </c>
    </row>
    <row r="1048" spans="1:9" x14ac:dyDescent="0.3">
      <c r="A1048" s="26">
        <v>46338</v>
      </c>
      <c r="B1048" s="27">
        <f t="shared" si="80"/>
        <v>2026</v>
      </c>
      <c r="C1048" s="27">
        <f t="shared" si="81"/>
        <v>11</v>
      </c>
      <c r="D1048" s="27">
        <f t="shared" si="82"/>
        <v>12</v>
      </c>
      <c r="E1048" s="27">
        <f t="shared" si="83"/>
        <v>5</v>
      </c>
      <c r="F1048" s="27">
        <f>VLOOKUP(E1048,[1]t_calendarioPolitica!A:C,3,FALSE)</f>
        <v>1</v>
      </c>
      <c r="G1048" s="1">
        <v>1</v>
      </c>
      <c r="H1048" s="1">
        <v>1</v>
      </c>
      <c r="I1048" s="1">
        <f t="shared" si="84"/>
        <v>1</v>
      </c>
    </row>
    <row r="1049" spans="1:9" x14ac:dyDescent="0.3">
      <c r="A1049" s="26">
        <v>46339</v>
      </c>
      <c r="B1049" s="27">
        <f t="shared" si="80"/>
        <v>2026</v>
      </c>
      <c r="C1049" s="27">
        <f t="shared" si="81"/>
        <v>11</v>
      </c>
      <c r="D1049" s="27">
        <f t="shared" si="82"/>
        <v>13</v>
      </c>
      <c r="E1049" s="27">
        <f t="shared" si="83"/>
        <v>6</v>
      </c>
      <c r="F1049" s="27">
        <f>VLOOKUP(E1049,[1]t_calendarioPolitica!A:C,3,FALSE)</f>
        <v>1</v>
      </c>
      <c r="G1049" s="1">
        <v>1</v>
      </c>
      <c r="H1049" s="1">
        <v>1</v>
      </c>
      <c r="I1049" s="1">
        <f t="shared" si="84"/>
        <v>1</v>
      </c>
    </row>
    <row r="1050" spans="1:9" x14ac:dyDescent="0.3">
      <c r="A1050" s="26">
        <v>46340</v>
      </c>
      <c r="B1050" s="27">
        <f t="shared" si="80"/>
        <v>2026</v>
      </c>
      <c r="C1050" s="27">
        <f t="shared" si="81"/>
        <v>11</v>
      </c>
      <c r="D1050" s="27">
        <f t="shared" si="82"/>
        <v>14</v>
      </c>
      <c r="E1050" s="27">
        <f t="shared" si="83"/>
        <v>7</v>
      </c>
      <c r="F1050" s="27">
        <f>VLOOKUP(E1050,[1]t_calendarioPolitica!A:C,3,FALSE)</f>
        <v>2</v>
      </c>
      <c r="G1050" s="1">
        <v>1</v>
      </c>
      <c r="H1050" s="1">
        <v>1</v>
      </c>
      <c r="I1050" s="1">
        <f t="shared" si="84"/>
        <v>1</v>
      </c>
    </row>
    <row r="1051" spans="1:9" x14ac:dyDescent="0.3">
      <c r="A1051" s="26">
        <v>46341</v>
      </c>
      <c r="B1051" s="27">
        <f t="shared" si="80"/>
        <v>2026</v>
      </c>
      <c r="C1051" s="27">
        <f t="shared" si="81"/>
        <v>11</v>
      </c>
      <c r="D1051" s="27">
        <f t="shared" si="82"/>
        <v>15</v>
      </c>
      <c r="E1051" s="27">
        <f t="shared" si="83"/>
        <v>1</v>
      </c>
      <c r="F1051" s="27">
        <f>VLOOKUP(E1051,[1]t_calendarioPolitica!A:C,3,FALSE)</f>
        <v>0</v>
      </c>
      <c r="G1051" s="1">
        <v>1</v>
      </c>
      <c r="H1051" s="1">
        <v>1</v>
      </c>
      <c r="I1051" s="1">
        <f t="shared" si="84"/>
        <v>0</v>
      </c>
    </row>
    <row r="1052" spans="1:9" x14ac:dyDescent="0.3">
      <c r="A1052" s="26">
        <v>46342</v>
      </c>
      <c r="B1052" s="27">
        <f t="shared" si="80"/>
        <v>2026</v>
      </c>
      <c r="C1052" s="27">
        <f t="shared" si="81"/>
        <v>11</v>
      </c>
      <c r="D1052" s="27">
        <f t="shared" si="82"/>
        <v>16</v>
      </c>
      <c r="E1052" s="27">
        <f t="shared" si="83"/>
        <v>2</v>
      </c>
      <c r="F1052" s="27">
        <f>VLOOKUP(E1052,[1]t_calendarioPolitica!A:C,3,FALSE)</f>
        <v>1</v>
      </c>
      <c r="G1052" s="1">
        <v>1</v>
      </c>
      <c r="H1052" s="1">
        <v>1</v>
      </c>
      <c r="I1052" s="1">
        <f t="shared" si="84"/>
        <v>1</v>
      </c>
    </row>
    <row r="1053" spans="1:9" x14ac:dyDescent="0.3">
      <c r="A1053" s="26">
        <v>46343</v>
      </c>
      <c r="B1053" s="27">
        <f t="shared" si="80"/>
        <v>2026</v>
      </c>
      <c r="C1053" s="27">
        <f t="shared" si="81"/>
        <v>11</v>
      </c>
      <c r="D1053" s="27">
        <f t="shared" si="82"/>
        <v>17</v>
      </c>
      <c r="E1053" s="27">
        <f t="shared" si="83"/>
        <v>3</v>
      </c>
      <c r="F1053" s="27">
        <f>VLOOKUP(E1053,[1]t_calendarioPolitica!A:C,3,FALSE)</f>
        <v>1</v>
      </c>
      <c r="G1053" s="1">
        <v>1</v>
      </c>
      <c r="H1053" s="1">
        <v>1</v>
      </c>
      <c r="I1053" s="1">
        <f t="shared" si="84"/>
        <v>1</v>
      </c>
    </row>
    <row r="1054" spans="1:9" x14ac:dyDescent="0.3">
      <c r="A1054" s="26">
        <v>46344</v>
      </c>
      <c r="B1054" s="27">
        <f t="shared" si="80"/>
        <v>2026</v>
      </c>
      <c r="C1054" s="27">
        <f t="shared" si="81"/>
        <v>11</v>
      </c>
      <c r="D1054" s="27">
        <f t="shared" si="82"/>
        <v>18</v>
      </c>
      <c r="E1054" s="27">
        <f t="shared" si="83"/>
        <v>4</v>
      </c>
      <c r="F1054" s="27">
        <f>VLOOKUP(E1054,[1]t_calendarioPolitica!A:C,3,FALSE)</f>
        <v>1</v>
      </c>
      <c r="G1054" s="1">
        <v>1</v>
      </c>
      <c r="H1054" s="1">
        <v>1</v>
      </c>
      <c r="I1054" s="1">
        <f t="shared" si="84"/>
        <v>1</v>
      </c>
    </row>
    <row r="1055" spans="1:9" x14ac:dyDescent="0.3">
      <c r="A1055" s="26">
        <v>46345</v>
      </c>
      <c r="B1055" s="27">
        <f t="shared" si="80"/>
        <v>2026</v>
      </c>
      <c r="C1055" s="27">
        <f t="shared" si="81"/>
        <v>11</v>
      </c>
      <c r="D1055" s="27">
        <f t="shared" si="82"/>
        <v>19</v>
      </c>
      <c r="E1055" s="27">
        <f t="shared" si="83"/>
        <v>5</v>
      </c>
      <c r="F1055" s="27">
        <f>VLOOKUP(E1055,[1]t_calendarioPolitica!A:C,3,FALSE)</f>
        <v>1</v>
      </c>
      <c r="G1055" s="1">
        <v>1</v>
      </c>
      <c r="H1055" s="1">
        <v>1</v>
      </c>
      <c r="I1055" s="1">
        <f t="shared" si="84"/>
        <v>1</v>
      </c>
    </row>
    <row r="1056" spans="1:9" x14ac:dyDescent="0.3">
      <c r="A1056" s="26">
        <v>46346</v>
      </c>
      <c r="B1056" s="27">
        <f t="shared" si="80"/>
        <v>2026</v>
      </c>
      <c r="C1056" s="27">
        <f t="shared" si="81"/>
        <v>11</v>
      </c>
      <c r="D1056" s="27">
        <f t="shared" si="82"/>
        <v>20</v>
      </c>
      <c r="E1056" s="27">
        <f t="shared" si="83"/>
        <v>6</v>
      </c>
      <c r="F1056" s="27">
        <f>VLOOKUP(E1056,[1]t_calendarioPolitica!A:C,3,FALSE)</f>
        <v>1</v>
      </c>
      <c r="G1056" s="1">
        <v>1</v>
      </c>
      <c r="H1056" s="1">
        <v>1</v>
      </c>
      <c r="I1056" s="1">
        <f t="shared" si="84"/>
        <v>1</v>
      </c>
    </row>
    <row r="1057" spans="1:9" x14ac:dyDescent="0.3">
      <c r="A1057" s="26">
        <v>46347</v>
      </c>
      <c r="B1057" s="27">
        <f t="shared" si="80"/>
        <v>2026</v>
      </c>
      <c r="C1057" s="27">
        <f t="shared" si="81"/>
        <v>11</v>
      </c>
      <c r="D1057" s="27">
        <f t="shared" si="82"/>
        <v>21</v>
      </c>
      <c r="E1057" s="27">
        <f t="shared" si="83"/>
        <v>7</v>
      </c>
      <c r="F1057" s="27">
        <f>VLOOKUP(E1057,[1]t_calendarioPolitica!A:C,3,FALSE)</f>
        <v>2</v>
      </c>
      <c r="G1057" s="1">
        <v>1</v>
      </c>
      <c r="H1057" s="1">
        <v>1</v>
      </c>
      <c r="I1057" s="1">
        <f t="shared" si="84"/>
        <v>1</v>
      </c>
    </row>
    <row r="1058" spans="1:9" x14ac:dyDescent="0.3">
      <c r="A1058" s="26">
        <v>46348</v>
      </c>
      <c r="B1058" s="27">
        <f t="shared" si="80"/>
        <v>2026</v>
      </c>
      <c r="C1058" s="27">
        <f t="shared" si="81"/>
        <v>11</v>
      </c>
      <c r="D1058" s="27">
        <f t="shared" si="82"/>
        <v>22</v>
      </c>
      <c r="E1058" s="27">
        <f t="shared" si="83"/>
        <v>1</v>
      </c>
      <c r="F1058" s="27">
        <f>VLOOKUP(E1058,[1]t_calendarioPolitica!A:C,3,FALSE)</f>
        <v>0</v>
      </c>
      <c r="G1058" s="1">
        <v>1</v>
      </c>
      <c r="H1058" s="1">
        <v>1</v>
      </c>
      <c r="I1058" s="1">
        <f t="shared" si="84"/>
        <v>0</v>
      </c>
    </row>
    <row r="1059" spans="1:9" x14ac:dyDescent="0.3">
      <c r="A1059" s="26">
        <v>46349</v>
      </c>
      <c r="B1059" s="27">
        <f t="shared" si="80"/>
        <v>2026</v>
      </c>
      <c r="C1059" s="27">
        <f t="shared" si="81"/>
        <v>11</v>
      </c>
      <c r="D1059" s="27">
        <f t="shared" si="82"/>
        <v>23</v>
      </c>
      <c r="E1059" s="27">
        <f t="shared" si="83"/>
        <v>2</v>
      </c>
      <c r="F1059" s="27">
        <f>VLOOKUP(E1059,[1]t_calendarioPolitica!A:C,3,FALSE)</f>
        <v>1</v>
      </c>
      <c r="G1059" s="1">
        <v>1</v>
      </c>
      <c r="H1059" s="1">
        <v>1</v>
      </c>
      <c r="I1059" s="1">
        <f t="shared" si="84"/>
        <v>1</v>
      </c>
    </row>
    <row r="1060" spans="1:9" x14ac:dyDescent="0.3">
      <c r="A1060" s="26">
        <v>46350</v>
      </c>
      <c r="B1060" s="27">
        <f t="shared" si="80"/>
        <v>2026</v>
      </c>
      <c r="C1060" s="27">
        <f t="shared" si="81"/>
        <v>11</v>
      </c>
      <c r="D1060" s="27">
        <f t="shared" si="82"/>
        <v>24</v>
      </c>
      <c r="E1060" s="27">
        <f t="shared" si="83"/>
        <v>3</v>
      </c>
      <c r="F1060" s="27">
        <f>VLOOKUP(E1060,[1]t_calendarioPolitica!A:C,3,FALSE)</f>
        <v>1</v>
      </c>
      <c r="G1060" s="1">
        <v>1</v>
      </c>
      <c r="H1060" s="1">
        <v>1</v>
      </c>
      <c r="I1060" s="1">
        <f t="shared" si="84"/>
        <v>1</v>
      </c>
    </row>
    <row r="1061" spans="1:9" x14ac:dyDescent="0.3">
      <c r="A1061" s="26">
        <v>46351</v>
      </c>
      <c r="B1061" s="27">
        <f t="shared" si="80"/>
        <v>2026</v>
      </c>
      <c r="C1061" s="27">
        <f t="shared" si="81"/>
        <v>11</v>
      </c>
      <c r="D1061" s="27">
        <f t="shared" si="82"/>
        <v>25</v>
      </c>
      <c r="E1061" s="27">
        <f t="shared" si="83"/>
        <v>4</v>
      </c>
      <c r="F1061" s="27">
        <f>VLOOKUP(E1061,[1]t_calendarioPolitica!A:C,3,FALSE)</f>
        <v>1</v>
      </c>
      <c r="G1061" s="1">
        <v>1</v>
      </c>
      <c r="H1061" s="1">
        <v>1</v>
      </c>
      <c r="I1061" s="1">
        <f t="shared" si="84"/>
        <v>1</v>
      </c>
    </row>
    <row r="1062" spans="1:9" x14ac:dyDescent="0.3">
      <c r="A1062" s="26">
        <v>46352</v>
      </c>
      <c r="B1062" s="27">
        <f t="shared" si="80"/>
        <v>2026</v>
      </c>
      <c r="C1062" s="27">
        <f t="shared" si="81"/>
        <v>11</v>
      </c>
      <c r="D1062" s="27">
        <f t="shared" si="82"/>
        <v>26</v>
      </c>
      <c r="E1062" s="27">
        <f t="shared" si="83"/>
        <v>5</v>
      </c>
      <c r="F1062" s="27">
        <f>VLOOKUP(E1062,[1]t_calendarioPolitica!A:C,3,FALSE)</f>
        <v>1</v>
      </c>
      <c r="G1062" s="1">
        <v>1</v>
      </c>
      <c r="H1062" s="1">
        <v>1</v>
      </c>
      <c r="I1062" s="1">
        <f t="shared" si="84"/>
        <v>1</v>
      </c>
    </row>
    <row r="1063" spans="1:9" x14ac:dyDescent="0.3">
      <c r="A1063" s="26">
        <v>46353</v>
      </c>
      <c r="B1063" s="27">
        <f t="shared" si="80"/>
        <v>2026</v>
      </c>
      <c r="C1063" s="27">
        <f t="shared" si="81"/>
        <v>11</v>
      </c>
      <c r="D1063" s="27">
        <f t="shared" si="82"/>
        <v>27</v>
      </c>
      <c r="E1063" s="27">
        <f t="shared" si="83"/>
        <v>6</v>
      </c>
      <c r="F1063" s="27">
        <f>VLOOKUP(E1063,[1]t_calendarioPolitica!A:C,3,FALSE)</f>
        <v>1</v>
      </c>
      <c r="G1063" s="1">
        <v>1</v>
      </c>
      <c r="H1063" s="1">
        <v>1</v>
      </c>
      <c r="I1063" s="1">
        <f t="shared" si="84"/>
        <v>1</v>
      </c>
    </row>
    <row r="1064" spans="1:9" x14ac:dyDescent="0.3">
      <c r="A1064" s="26">
        <v>46354</v>
      </c>
      <c r="B1064" s="27">
        <f t="shared" si="80"/>
        <v>2026</v>
      </c>
      <c r="C1064" s="27">
        <f t="shared" si="81"/>
        <v>11</v>
      </c>
      <c r="D1064" s="27">
        <f t="shared" si="82"/>
        <v>28</v>
      </c>
      <c r="E1064" s="27">
        <f t="shared" si="83"/>
        <v>7</v>
      </c>
      <c r="F1064" s="27">
        <f>VLOOKUP(E1064,[1]t_calendarioPolitica!A:C,3,FALSE)</f>
        <v>2</v>
      </c>
      <c r="G1064" s="1">
        <v>1</v>
      </c>
      <c r="H1064" s="1">
        <v>1</v>
      </c>
      <c r="I1064" s="1">
        <f t="shared" si="84"/>
        <v>1</v>
      </c>
    </row>
    <row r="1065" spans="1:9" x14ac:dyDescent="0.3">
      <c r="A1065" s="26">
        <v>46355</v>
      </c>
      <c r="B1065" s="27">
        <f t="shared" si="80"/>
        <v>2026</v>
      </c>
      <c r="C1065" s="27">
        <f t="shared" si="81"/>
        <v>11</v>
      </c>
      <c r="D1065" s="27">
        <f t="shared" si="82"/>
        <v>29</v>
      </c>
      <c r="E1065" s="27">
        <f t="shared" si="83"/>
        <v>1</v>
      </c>
      <c r="F1065" s="27">
        <f>VLOOKUP(E1065,[1]t_calendarioPolitica!A:C,3,FALSE)</f>
        <v>0</v>
      </c>
      <c r="G1065" s="1">
        <v>1</v>
      </c>
      <c r="H1065" s="1">
        <v>1</v>
      </c>
      <c r="I1065" s="1">
        <f t="shared" si="84"/>
        <v>0</v>
      </c>
    </row>
    <row r="1066" spans="1:9" x14ac:dyDescent="0.3">
      <c r="A1066" s="26">
        <v>46356</v>
      </c>
      <c r="B1066" s="27">
        <f t="shared" si="80"/>
        <v>2026</v>
      </c>
      <c r="C1066" s="27">
        <f t="shared" si="81"/>
        <v>11</v>
      </c>
      <c r="D1066" s="27">
        <f t="shared" si="82"/>
        <v>30</v>
      </c>
      <c r="E1066" s="27">
        <f t="shared" si="83"/>
        <v>2</v>
      </c>
      <c r="F1066" s="27">
        <f>VLOOKUP(E1066,[1]t_calendarioPolitica!A:C,3,FALSE)</f>
        <v>1</v>
      </c>
      <c r="G1066" s="1">
        <v>1</v>
      </c>
      <c r="H1066" s="1">
        <v>1</v>
      </c>
      <c r="I1066" s="1">
        <f t="shared" si="84"/>
        <v>1</v>
      </c>
    </row>
    <row r="1067" spans="1:9" x14ac:dyDescent="0.3">
      <c r="A1067" s="26">
        <v>46357</v>
      </c>
      <c r="B1067" s="27">
        <f t="shared" si="80"/>
        <v>2026</v>
      </c>
      <c r="C1067" s="27">
        <f t="shared" si="81"/>
        <v>12</v>
      </c>
      <c r="D1067" s="27">
        <f t="shared" si="82"/>
        <v>1</v>
      </c>
      <c r="E1067" s="27">
        <f t="shared" si="83"/>
        <v>3</v>
      </c>
      <c r="F1067" s="27">
        <f>VLOOKUP(E1067,[1]t_calendarioPolitica!A:C,3,FALSE)</f>
        <v>1</v>
      </c>
      <c r="G1067" s="1">
        <v>1</v>
      </c>
      <c r="H1067" s="1">
        <v>1</v>
      </c>
      <c r="I1067" s="1">
        <f t="shared" si="84"/>
        <v>1</v>
      </c>
    </row>
    <row r="1068" spans="1:9" x14ac:dyDescent="0.3">
      <c r="A1068" s="26">
        <v>46358</v>
      </c>
      <c r="B1068" s="27">
        <f t="shared" si="80"/>
        <v>2026</v>
      </c>
      <c r="C1068" s="27">
        <f t="shared" si="81"/>
        <v>12</v>
      </c>
      <c r="D1068" s="27">
        <f t="shared" si="82"/>
        <v>2</v>
      </c>
      <c r="E1068" s="27">
        <f t="shared" si="83"/>
        <v>4</v>
      </c>
      <c r="F1068" s="27">
        <f>VLOOKUP(E1068,[1]t_calendarioPolitica!A:C,3,FALSE)</f>
        <v>1</v>
      </c>
      <c r="G1068" s="1">
        <v>1</v>
      </c>
      <c r="H1068" s="1">
        <v>1</v>
      </c>
      <c r="I1068" s="1">
        <f t="shared" si="84"/>
        <v>1</v>
      </c>
    </row>
    <row r="1069" spans="1:9" x14ac:dyDescent="0.3">
      <c r="A1069" s="26">
        <v>46359</v>
      </c>
      <c r="B1069" s="27">
        <f t="shared" si="80"/>
        <v>2026</v>
      </c>
      <c r="C1069" s="27">
        <f t="shared" si="81"/>
        <v>12</v>
      </c>
      <c r="D1069" s="27">
        <f t="shared" si="82"/>
        <v>3</v>
      </c>
      <c r="E1069" s="27">
        <f t="shared" si="83"/>
        <v>5</v>
      </c>
      <c r="F1069" s="27">
        <f>VLOOKUP(E1069,[1]t_calendarioPolitica!A:C,3,FALSE)</f>
        <v>1</v>
      </c>
      <c r="G1069" s="1">
        <v>1</v>
      </c>
      <c r="H1069" s="1">
        <v>1</v>
      </c>
      <c r="I1069" s="1">
        <f t="shared" si="84"/>
        <v>1</v>
      </c>
    </row>
    <row r="1070" spans="1:9" x14ac:dyDescent="0.3">
      <c r="A1070" s="26">
        <v>46360</v>
      </c>
      <c r="B1070" s="27">
        <f t="shared" si="80"/>
        <v>2026</v>
      </c>
      <c r="C1070" s="27">
        <f t="shared" si="81"/>
        <v>12</v>
      </c>
      <c r="D1070" s="27">
        <f t="shared" si="82"/>
        <v>4</v>
      </c>
      <c r="E1070" s="27">
        <f t="shared" si="83"/>
        <v>6</v>
      </c>
      <c r="F1070" s="27">
        <f>VLOOKUP(E1070,[1]t_calendarioPolitica!A:C,3,FALSE)</f>
        <v>1</v>
      </c>
      <c r="G1070" s="1">
        <v>1</v>
      </c>
      <c r="H1070" s="1">
        <v>1</v>
      </c>
      <c r="I1070" s="1">
        <f t="shared" si="84"/>
        <v>1</v>
      </c>
    </row>
    <row r="1071" spans="1:9" x14ac:dyDescent="0.3">
      <c r="A1071" s="26">
        <v>46361</v>
      </c>
      <c r="B1071" s="27">
        <f t="shared" si="80"/>
        <v>2026</v>
      </c>
      <c r="C1071" s="27">
        <f t="shared" si="81"/>
        <v>12</v>
      </c>
      <c r="D1071" s="27">
        <f t="shared" si="82"/>
        <v>5</v>
      </c>
      <c r="E1071" s="27">
        <f t="shared" si="83"/>
        <v>7</v>
      </c>
      <c r="F1071" s="27">
        <f>VLOOKUP(E1071,[1]t_calendarioPolitica!A:C,3,FALSE)</f>
        <v>2</v>
      </c>
      <c r="G1071" s="1">
        <v>1</v>
      </c>
      <c r="H1071" s="1">
        <v>1</v>
      </c>
      <c r="I1071" s="1">
        <f t="shared" si="84"/>
        <v>1</v>
      </c>
    </row>
    <row r="1072" spans="1:9" x14ac:dyDescent="0.3">
      <c r="A1072" s="26">
        <v>46362</v>
      </c>
      <c r="B1072" s="27">
        <f t="shared" si="80"/>
        <v>2026</v>
      </c>
      <c r="C1072" s="27">
        <f t="shared" si="81"/>
        <v>12</v>
      </c>
      <c r="D1072" s="27">
        <f t="shared" si="82"/>
        <v>6</v>
      </c>
      <c r="E1072" s="27">
        <f t="shared" si="83"/>
        <v>1</v>
      </c>
      <c r="F1072" s="27">
        <f>VLOOKUP(E1072,[1]t_calendarioPolitica!A:C,3,FALSE)</f>
        <v>0</v>
      </c>
      <c r="G1072" s="1">
        <v>1</v>
      </c>
      <c r="H1072" s="1">
        <v>1</v>
      </c>
      <c r="I1072" s="1">
        <f t="shared" si="84"/>
        <v>0</v>
      </c>
    </row>
    <row r="1073" spans="1:9" x14ac:dyDescent="0.3">
      <c r="A1073" s="26">
        <v>46363</v>
      </c>
      <c r="B1073" s="27">
        <f t="shared" si="80"/>
        <v>2026</v>
      </c>
      <c r="C1073" s="27">
        <f t="shared" si="81"/>
        <v>12</v>
      </c>
      <c r="D1073" s="27">
        <f t="shared" si="82"/>
        <v>7</v>
      </c>
      <c r="E1073" s="27">
        <f t="shared" si="83"/>
        <v>2</v>
      </c>
      <c r="F1073" s="27">
        <f>VLOOKUP(E1073,[1]t_calendarioPolitica!A:C,3,FALSE)</f>
        <v>1</v>
      </c>
      <c r="G1073" s="1">
        <v>1</v>
      </c>
      <c r="H1073" s="1">
        <v>1</v>
      </c>
      <c r="I1073" s="1">
        <f t="shared" si="84"/>
        <v>1</v>
      </c>
    </row>
    <row r="1074" spans="1:9" x14ac:dyDescent="0.3">
      <c r="A1074" s="26">
        <v>46364</v>
      </c>
      <c r="B1074" s="27">
        <f t="shared" si="80"/>
        <v>2026</v>
      </c>
      <c r="C1074" s="27">
        <f t="shared" si="81"/>
        <v>12</v>
      </c>
      <c r="D1074" s="27">
        <f t="shared" si="82"/>
        <v>8</v>
      </c>
      <c r="E1074" s="27">
        <f t="shared" si="83"/>
        <v>3</v>
      </c>
      <c r="F1074" s="27">
        <f>VLOOKUP(E1074,[1]t_calendarioPolitica!A:C,3,FALSE)</f>
        <v>1</v>
      </c>
      <c r="G1074" s="1">
        <v>1</v>
      </c>
      <c r="H1074" s="1">
        <v>1</v>
      </c>
      <c r="I1074" s="1">
        <f t="shared" si="84"/>
        <v>1</v>
      </c>
    </row>
    <row r="1075" spans="1:9" x14ac:dyDescent="0.3">
      <c r="A1075" s="26">
        <v>46365</v>
      </c>
      <c r="B1075" s="27">
        <f t="shared" si="80"/>
        <v>2026</v>
      </c>
      <c r="C1075" s="27">
        <f t="shared" si="81"/>
        <v>12</v>
      </c>
      <c r="D1075" s="27">
        <f t="shared" si="82"/>
        <v>9</v>
      </c>
      <c r="E1075" s="27">
        <f t="shared" si="83"/>
        <v>4</v>
      </c>
      <c r="F1075" s="27">
        <f>VLOOKUP(E1075,[1]t_calendarioPolitica!A:C,3,FALSE)</f>
        <v>1</v>
      </c>
      <c r="G1075" s="1">
        <v>1</v>
      </c>
      <c r="H1075" s="1">
        <v>1</v>
      </c>
      <c r="I1075" s="1">
        <f t="shared" si="84"/>
        <v>1</v>
      </c>
    </row>
    <row r="1076" spans="1:9" x14ac:dyDescent="0.3">
      <c r="A1076" s="26">
        <v>46366</v>
      </c>
      <c r="B1076" s="27">
        <f t="shared" si="80"/>
        <v>2026</v>
      </c>
      <c r="C1076" s="27">
        <f t="shared" si="81"/>
        <v>12</v>
      </c>
      <c r="D1076" s="27">
        <f t="shared" si="82"/>
        <v>10</v>
      </c>
      <c r="E1076" s="27">
        <f t="shared" si="83"/>
        <v>5</v>
      </c>
      <c r="F1076" s="27">
        <f>VLOOKUP(E1076,[1]t_calendarioPolitica!A:C,3,FALSE)</f>
        <v>1</v>
      </c>
      <c r="G1076" s="1">
        <v>1</v>
      </c>
      <c r="H1076" s="1">
        <v>1</v>
      </c>
      <c r="I1076" s="1">
        <f t="shared" si="84"/>
        <v>1</v>
      </c>
    </row>
    <row r="1077" spans="1:9" x14ac:dyDescent="0.3">
      <c r="A1077" s="26">
        <v>46367</v>
      </c>
      <c r="B1077" s="27">
        <f t="shared" si="80"/>
        <v>2026</v>
      </c>
      <c r="C1077" s="27">
        <f t="shared" si="81"/>
        <v>12</v>
      </c>
      <c r="D1077" s="27">
        <f t="shared" si="82"/>
        <v>11</v>
      </c>
      <c r="E1077" s="27">
        <f t="shared" si="83"/>
        <v>6</v>
      </c>
      <c r="F1077" s="27">
        <f>VLOOKUP(E1077,[1]t_calendarioPolitica!A:C,3,FALSE)</f>
        <v>1</v>
      </c>
      <c r="G1077" s="1">
        <v>1</v>
      </c>
      <c r="H1077" s="1">
        <v>1</v>
      </c>
      <c r="I1077" s="1">
        <f t="shared" si="84"/>
        <v>1</v>
      </c>
    </row>
    <row r="1078" spans="1:9" x14ac:dyDescent="0.3">
      <c r="A1078" s="26">
        <v>46368</v>
      </c>
      <c r="B1078" s="27">
        <f t="shared" si="80"/>
        <v>2026</v>
      </c>
      <c r="C1078" s="27">
        <f t="shared" si="81"/>
        <v>12</v>
      </c>
      <c r="D1078" s="27">
        <f t="shared" si="82"/>
        <v>12</v>
      </c>
      <c r="E1078" s="27">
        <f t="shared" si="83"/>
        <v>7</v>
      </c>
      <c r="F1078" s="27">
        <f>VLOOKUP(E1078,[1]t_calendarioPolitica!A:C,3,FALSE)</f>
        <v>2</v>
      </c>
      <c r="G1078" s="1">
        <v>1</v>
      </c>
      <c r="H1078" s="1">
        <v>0</v>
      </c>
      <c r="I1078" s="1">
        <f t="shared" si="84"/>
        <v>0</v>
      </c>
    </row>
    <row r="1079" spans="1:9" x14ac:dyDescent="0.3">
      <c r="A1079" s="26">
        <v>46369</v>
      </c>
      <c r="B1079" s="27">
        <f t="shared" si="80"/>
        <v>2026</v>
      </c>
      <c r="C1079" s="27">
        <f t="shared" si="81"/>
        <v>12</v>
      </c>
      <c r="D1079" s="27">
        <f t="shared" si="82"/>
        <v>13</v>
      </c>
      <c r="E1079" s="27">
        <f t="shared" si="83"/>
        <v>1</v>
      </c>
      <c r="F1079" s="27">
        <f>VLOOKUP(E1079,[1]t_calendarioPolitica!A:C,3,FALSE)</f>
        <v>0</v>
      </c>
      <c r="G1079" s="1">
        <v>1</v>
      </c>
      <c r="H1079" s="1">
        <v>1</v>
      </c>
      <c r="I1079" s="1">
        <f t="shared" si="84"/>
        <v>0</v>
      </c>
    </row>
    <row r="1080" spans="1:9" x14ac:dyDescent="0.3">
      <c r="A1080" s="26">
        <v>46370</v>
      </c>
      <c r="B1080" s="27">
        <f t="shared" si="80"/>
        <v>2026</v>
      </c>
      <c r="C1080" s="27">
        <f t="shared" si="81"/>
        <v>12</v>
      </c>
      <c r="D1080" s="27">
        <f t="shared" si="82"/>
        <v>14</v>
      </c>
      <c r="E1080" s="27">
        <f t="shared" si="83"/>
        <v>2</v>
      </c>
      <c r="F1080" s="27">
        <f>VLOOKUP(E1080,[1]t_calendarioPolitica!A:C,3,FALSE)</f>
        <v>1</v>
      </c>
      <c r="G1080" s="1">
        <v>1</v>
      </c>
      <c r="H1080" s="1">
        <v>1</v>
      </c>
      <c r="I1080" s="1">
        <f t="shared" si="84"/>
        <v>1</v>
      </c>
    </row>
    <row r="1081" spans="1:9" x14ac:dyDescent="0.3">
      <c r="A1081" s="26">
        <v>46371</v>
      </c>
      <c r="B1081" s="27">
        <f t="shared" si="80"/>
        <v>2026</v>
      </c>
      <c r="C1081" s="27">
        <f t="shared" si="81"/>
        <v>12</v>
      </c>
      <c r="D1081" s="27">
        <f t="shared" si="82"/>
        <v>15</v>
      </c>
      <c r="E1081" s="27">
        <f t="shared" si="83"/>
        <v>3</v>
      </c>
      <c r="F1081" s="27">
        <f>VLOOKUP(E1081,[1]t_calendarioPolitica!A:C,3,FALSE)</f>
        <v>1</v>
      </c>
      <c r="G1081" s="1">
        <v>1</v>
      </c>
      <c r="H1081" s="1">
        <v>1</v>
      </c>
      <c r="I1081" s="1">
        <f t="shared" si="84"/>
        <v>1</v>
      </c>
    </row>
    <row r="1082" spans="1:9" x14ac:dyDescent="0.3">
      <c r="A1082" s="26">
        <v>46372</v>
      </c>
      <c r="B1082" s="27">
        <f t="shared" si="80"/>
        <v>2026</v>
      </c>
      <c r="C1082" s="27">
        <f t="shared" si="81"/>
        <v>12</v>
      </c>
      <c r="D1082" s="27">
        <f t="shared" si="82"/>
        <v>16</v>
      </c>
      <c r="E1082" s="27">
        <f t="shared" si="83"/>
        <v>4</v>
      </c>
      <c r="F1082" s="27">
        <f>VLOOKUP(E1082,[1]t_calendarioPolitica!A:C,3,FALSE)</f>
        <v>1</v>
      </c>
      <c r="G1082" s="1">
        <v>1</v>
      </c>
      <c r="H1082" s="1">
        <v>1</v>
      </c>
      <c r="I1082" s="1">
        <f t="shared" si="84"/>
        <v>1</v>
      </c>
    </row>
    <row r="1083" spans="1:9" x14ac:dyDescent="0.3">
      <c r="A1083" s="26">
        <v>46373</v>
      </c>
      <c r="B1083" s="27">
        <f t="shared" si="80"/>
        <v>2026</v>
      </c>
      <c r="C1083" s="27">
        <f t="shared" si="81"/>
        <v>12</v>
      </c>
      <c r="D1083" s="27">
        <f t="shared" si="82"/>
        <v>17</v>
      </c>
      <c r="E1083" s="27">
        <f t="shared" si="83"/>
        <v>5</v>
      </c>
      <c r="F1083" s="27">
        <f>VLOOKUP(E1083,[1]t_calendarioPolitica!A:C,3,FALSE)</f>
        <v>1</v>
      </c>
      <c r="G1083" s="1">
        <v>1</v>
      </c>
      <c r="H1083" s="1">
        <v>1</v>
      </c>
      <c r="I1083" s="1">
        <f t="shared" si="84"/>
        <v>1</v>
      </c>
    </row>
    <row r="1084" spans="1:9" x14ac:dyDescent="0.3">
      <c r="A1084" s="26">
        <v>46374</v>
      </c>
      <c r="B1084" s="27">
        <f t="shared" si="80"/>
        <v>2026</v>
      </c>
      <c r="C1084" s="27">
        <f t="shared" si="81"/>
        <v>12</v>
      </c>
      <c r="D1084" s="27">
        <f t="shared" si="82"/>
        <v>18</v>
      </c>
      <c r="E1084" s="27">
        <f t="shared" si="83"/>
        <v>6</v>
      </c>
      <c r="F1084" s="27">
        <f>VLOOKUP(E1084,[1]t_calendarioPolitica!A:C,3,FALSE)</f>
        <v>1</v>
      </c>
      <c r="G1084" s="1">
        <v>1</v>
      </c>
      <c r="H1084" s="1">
        <v>1</v>
      </c>
      <c r="I1084" s="1">
        <f t="shared" si="84"/>
        <v>1</v>
      </c>
    </row>
    <row r="1085" spans="1:9" x14ac:dyDescent="0.3">
      <c r="A1085" s="26">
        <v>46375</v>
      </c>
      <c r="B1085" s="27">
        <f t="shared" si="80"/>
        <v>2026</v>
      </c>
      <c r="C1085" s="27">
        <f t="shared" si="81"/>
        <v>12</v>
      </c>
      <c r="D1085" s="27">
        <f t="shared" si="82"/>
        <v>19</v>
      </c>
      <c r="E1085" s="27">
        <f t="shared" si="83"/>
        <v>7</v>
      </c>
      <c r="F1085" s="27">
        <f>VLOOKUP(E1085,[1]t_calendarioPolitica!A:C,3,FALSE)</f>
        <v>2</v>
      </c>
      <c r="G1085" s="1">
        <v>1</v>
      </c>
      <c r="H1085" s="1">
        <v>1</v>
      </c>
      <c r="I1085" s="1">
        <f t="shared" si="84"/>
        <v>1</v>
      </c>
    </row>
    <row r="1086" spans="1:9" x14ac:dyDescent="0.3">
      <c r="A1086" s="26">
        <v>46376</v>
      </c>
      <c r="B1086" s="27">
        <f t="shared" si="80"/>
        <v>2026</v>
      </c>
      <c r="C1086" s="27">
        <f t="shared" si="81"/>
        <v>12</v>
      </c>
      <c r="D1086" s="27">
        <f t="shared" si="82"/>
        <v>20</v>
      </c>
      <c r="E1086" s="27">
        <f t="shared" si="83"/>
        <v>1</v>
      </c>
      <c r="F1086" s="27">
        <f>VLOOKUP(E1086,[1]t_calendarioPolitica!A:C,3,FALSE)</f>
        <v>0</v>
      </c>
      <c r="G1086" s="1">
        <v>1</v>
      </c>
      <c r="H1086" s="1">
        <v>1</v>
      </c>
      <c r="I1086" s="1">
        <f t="shared" si="84"/>
        <v>0</v>
      </c>
    </row>
    <row r="1087" spans="1:9" x14ac:dyDescent="0.3">
      <c r="A1087" s="26">
        <v>46377</v>
      </c>
      <c r="B1087" s="27">
        <f t="shared" si="80"/>
        <v>2026</v>
      </c>
      <c r="C1087" s="27">
        <f t="shared" si="81"/>
        <v>12</v>
      </c>
      <c r="D1087" s="27">
        <f t="shared" si="82"/>
        <v>21</v>
      </c>
      <c r="E1087" s="27">
        <f t="shared" si="83"/>
        <v>2</v>
      </c>
      <c r="F1087" s="27">
        <f>VLOOKUP(E1087,[1]t_calendarioPolitica!A:C,3,FALSE)</f>
        <v>1</v>
      </c>
      <c r="G1087" s="1">
        <v>1</v>
      </c>
      <c r="H1087" s="1">
        <v>1</v>
      </c>
      <c r="I1087" s="1">
        <f t="shared" si="84"/>
        <v>1</v>
      </c>
    </row>
    <row r="1088" spans="1:9" x14ac:dyDescent="0.3">
      <c r="A1088" s="26">
        <v>46378</v>
      </c>
      <c r="B1088" s="27">
        <f t="shared" si="80"/>
        <v>2026</v>
      </c>
      <c r="C1088" s="27">
        <f t="shared" si="81"/>
        <v>12</v>
      </c>
      <c r="D1088" s="27">
        <f t="shared" si="82"/>
        <v>22</v>
      </c>
      <c r="E1088" s="27">
        <f t="shared" si="83"/>
        <v>3</v>
      </c>
      <c r="F1088" s="27">
        <f>VLOOKUP(E1088,[1]t_calendarioPolitica!A:C,3,FALSE)</f>
        <v>1</v>
      </c>
      <c r="G1088" s="1">
        <v>1</v>
      </c>
      <c r="H1088" s="1">
        <v>1</v>
      </c>
      <c r="I1088" s="1">
        <f t="shared" si="84"/>
        <v>1</v>
      </c>
    </row>
    <row r="1089" spans="1:9" x14ac:dyDescent="0.3">
      <c r="A1089" s="26">
        <v>46379</v>
      </c>
      <c r="B1089" s="27">
        <f t="shared" si="80"/>
        <v>2026</v>
      </c>
      <c r="C1089" s="27">
        <f t="shared" si="81"/>
        <v>12</v>
      </c>
      <c r="D1089" s="27">
        <f t="shared" si="82"/>
        <v>23</v>
      </c>
      <c r="E1089" s="27">
        <f t="shared" si="83"/>
        <v>4</v>
      </c>
      <c r="F1089" s="27">
        <f>VLOOKUP(E1089,[1]t_calendarioPolitica!A:C,3,FALSE)</f>
        <v>1</v>
      </c>
      <c r="G1089" s="1">
        <v>1</v>
      </c>
      <c r="H1089" s="1">
        <v>1</v>
      </c>
      <c r="I1089" s="1">
        <f t="shared" si="84"/>
        <v>1</v>
      </c>
    </row>
    <row r="1090" spans="1:9" x14ac:dyDescent="0.3">
      <c r="A1090" s="26">
        <v>46380</v>
      </c>
      <c r="B1090" s="27">
        <f t="shared" si="80"/>
        <v>2026</v>
      </c>
      <c r="C1090" s="27">
        <f t="shared" si="81"/>
        <v>12</v>
      </c>
      <c r="D1090" s="27">
        <f t="shared" si="82"/>
        <v>24</v>
      </c>
      <c r="E1090" s="27">
        <f t="shared" si="83"/>
        <v>5</v>
      </c>
      <c r="F1090" s="27">
        <f>VLOOKUP(E1090,[1]t_calendarioPolitica!A:C,3,FALSE)</f>
        <v>1</v>
      </c>
      <c r="G1090" s="1">
        <v>1</v>
      </c>
      <c r="H1090" s="1">
        <v>0</v>
      </c>
      <c r="I1090" s="1">
        <f t="shared" si="84"/>
        <v>0</v>
      </c>
    </row>
    <row r="1091" spans="1:9" x14ac:dyDescent="0.3">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VLOOKUP(E1091,[1]t_calendarioPolitica!A:C,3,FALSE)</f>
        <v>1</v>
      </c>
      <c r="G1091" s="1">
        <v>0</v>
      </c>
      <c r="H1091" s="1">
        <v>0</v>
      </c>
      <c r="I1091" s="1">
        <f t="shared" ref="I1091:I1154" si="89">IF(AND(F1091&lt;&gt;0, H1091&lt;&gt;0,G1091&lt;&gt;0), 1, 0)</f>
        <v>0</v>
      </c>
    </row>
    <row r="1092" spans="1:9" x14ac:dyDescent="0.3">
      <c r="A1092" s="26">
        <v>46382</v>
      </c>
      <c r="B1092" s="27">
        <f t="shared" si="85"/>
        <v>2026</v>
      </c>
      <c r="C1092" s="27">
        <f t="shared" si="86"/>
        <v>12</v>
      </c>
      <c r="D1092" s="27">
        <f t="shared" si="87"/>
        <v>26</v>
      </c>
      <c r="E1092" s="27">
        <f t="shared" si="88"/>
        <v>7</v>
      </c>
      <c r="F1092" s="27">
        <f>VLOOKUP(E1092,[1]t_calendarioPolitica!A:C,3,FALSE)</f>
        <v>2</v>
      </c>
      <c r="G1092" s="1">
        <v>1</v>
      </c>
      <c r="H1092" s="1">
        <v>1</v>
      </c>
      <c r="I1092" s="1">
        <f t="shared" si="89"/>
        <v>1</v>
      </c>
    </row>
    <row r="1093" spans="1:9" x14ac:dyDescent="0.3">
      <c r="A1093" s="26">
        <v>46383</v>
      </c>
      <c r="B1093" s="27">
        <f t="shared" si="85"/>
        <v>2026</v>
      </c>
      <c r="C1093" s="27">
        <f t="shared" si="86"/>
        <v>12</v>
      </c>
      <c r="D1093" s="27">
        <f t="shared" si="87"/>
        <v>27</v>
      </c>
      <c r="E1093" s="27">
        <f t="shared" si="88"/>
        <v>1</v>
      </c>
      <c r="F1093" s="27">
        <f>VLOOKUP(E1093,[1]t_calendarioPolitica!A:C,3,FALSE)</f>
        <v>0</v>
      </c>
      <c r="G1093" s="1">
        <v>1</v>
      </c>
      <c r="H1093" s="1">
        <v>1</v>
      </c>
      <c r="I1093" s="1">
        <f t="shared" si="89"/>
        <v>0</v>
      </c>
    </row>
    <row r="1094" spans="1:9" x14ac:dyDescent="0.3">
      <c r="A1094" s="26">
        <v>46384</v>
      </c>
      <c r="B1094" s="27">
        <f t="shared" si="85"/>
        <v>2026</v>
      </c>
      <c r="C1094" s="27">
        <f t="shared" si="86"/>
        <v>12</v>
      </c>
      <c r="D1094" s="27">
        <f t="shared" si="87"/>
        <v>28</v>
      </c>
      <c r="E1094" s="27">
        <f t="shared" si="88"/>
        <v>2</v>
      </c>
      <c r="F1094" s="27">
        <f>VLOOKUP(E1094,[1]t_calendarioPolitica!A:C,3,FALSE)</f>
        <v>1</v>
      </c>
      <c r="G1094" s="1">
        <v>1</v>
      </c>
      <c r="H1094" s="1">
        <v>1</v>
      </c>
      <c r="I1094" s="1">
        <f t="shared" si="89"/>
        <v>1</v>
      </c>
    </row>
    <row r="1095" spans="1:9" x14ac:dyDescent="0.3">
      <c r="A1095" s="26">
        <v>46385</v>
      </c>
      <c r="B1095" s="27">
        <f t="shared" si="85"/>
        <v>2026</v>
      </c>
      <c r="C1095" s="27">
        <f t="shared" si="86"/>
        <v>12</v>
      </c>
      <c r="D1095" s="27">
        <f t="shared" si="87"/>
        <v>29</v>
      </c>
      <c r="E1095" s="27">
        <f t="shared" si="88"/>
        <v>3</v>
      </c>
      <c r="F1095" s="27">
        <f>VLOOKUP(E1095,[1]t_calendarioPolitica!A:C,3,FALSE)</f>
        <v>1</v>
      </c>
      <c r="G1095" s="1">
        <v>1</v>
      </c>
      <c r="H1095" s="1">
        <v>1</v>
      </c>
      <c r="I1095" s="1">
        <f t="shared" si="89"/>
        <v>1</v>
      </c>
    </row>
    <row r="1096" spans="1:9" x14ac:dyDescent="0.3">
      <c r="A1096" s="26">
        <v>46386</v>
      </c>
      <c r="B1096" s="27">
        <f t="shared" si="85"/>
        <v>2026</v>
      </c>
      <c r="C1096" s="27">
        <f t="shared" si="86"/>
        <v>12</v>
      </c>
      <c r="D1096" s="27">
        <f t="shared" si="87"/>
        <v>30</v>
      </c>
      <c r="E1096" s="27">
        <f t="shared" si="88"/>
        <v>4</v>
      </c>
      <c r="F1096" s="27">
        <f>VLOOKUP(E1096,[1]t_calendarioPolitica!A:C,3,FALSE)</f>
        <v>1</v>
      </c>
      <c r="G1096" s="1">
        <v>1</v>
      </c>
      <c r="H1096" s="1">
        <v>1</v>
      </c>
      <c r="I1096" s="1">
        <f t="shared" si="89"/>
        <v>1</v>
      </c>
    </row>
    <row r="1097" spans="1:9" x14ac:dyDescent="0.3">
      <c r="A1097" s="26">
        <v>46387</v>
      </c>
      <c r="B1097" s="27">
        <f t="shared" si="85"/>
        <v>2026</v>
      </c>
      <c r="C1097" s="27">
        <f t="shared" si="86"/>
        <v>12</v>
      </c>
      <c r="D1097" s="27">
        <f t="shared" si="87"/>
        <v>31</v>
      </c>
      <c r="E1097" s="27">
        <f t="shared" si="88"/>
        <v>5</v>
      </c>
      <c r="F1097" s="27">
        <f>VLOOKUP(E1097,[1]t_calendarioPolitica!A:C,3,FALSE)</f>
        <v>1</v>
      </c>
      <c r="G1097" s="1">
        <v>1</v>
      </c>
      <c r="H1097" s="1">
        <v>0</v>
      </c>
      <c r="I1097" s="1">
        <f t="shared" si="89"/>
        <v>0</v>
      </c>
    </row>
    <row r="1098" spans="1:9" x14ac:dyDescent="0.3">
      <c r="A1098" s="26">
        <v>46388</v>
      </c>
      <c r="B1098" s="27">
        <f t="shared" si="85"/>
        <v>2027</v>
      </c>
      <c r="C1098" s="27">
        <f t="shared" si="86"/>
        <v>1</v>
      </c>
      <c r="D1098" s="27">
        <f t="shared" si="87"/>
        <v>1</v>
      </c>
      <c r="E1098" s="27">
        <f t="shared" si="88"/>
        <v>6</v>
      </c>
      <c r="F1098" s="27">
        <f>VLOOKUP(E1098,[1]t_calendarioPolitica!A:C,3,FALSE)</f>
        <v>1</v>
      </c>
      <c r="G1098" s="1">
        <v>0</v>
      </c>
      <c r="H1098" s="1">
        <v>1</v>
      </c>
      <c r="I1098" s="1">
        <f t="shared" si="89"/>
        <v>0</v>
      </c>
    </row>
    <row r="1099" spans="1:9" x14ac:dyDescent="0.3">
      <c r="A1099" s="26">
        <v>46389</v>
      </c>
      <c r="B1099" s="27">
        <f t="shared" si="85"/>
        <v>2027</v>
      </c>
      <c r="C1099" s="27">
        <f t="shared" si="86"/>
        <v>1</v>
      </c>
      <c r="D1099" s="27">
        <f t="shared" si="87"/>
        <v>2</v>
      </c>
      <c r="E1099" s="27">
        <f t="shared" si="88"/>
        <v>7</v>
      </c>
      <c r="F1099" s="27">
        <f>VLOOKUP(E1099,[1]t_calendarioPolitica!A:C,3,FALSE)</f>
        <v>2</v>
      </c>
      <c r="G1099" s="1">
        <v>1</v>
      </c>
      <c r="H1099" s="1">
        <v>1</v>
      </c>
      <c r="I1099" s="1">
        <f t="shared" si="89"/>
        <v>1</v>
      </c>
    </row>
    <row r="1100" spans="1:9" x14ac:dyDescent="0.3">
      <c r="A1100" s="26">
        <v>46390</v>
      </c>
      <c r="B1100" s="27">
        <f t="shared" si="85"/>
        <v>2027</v>
      </c>
      <c r="C1100" s="27">
        <f t="shared" si="86"/>
        <v>1</v>
      </c>
      <c r="D1100" s="27">
        <f t="shared" si="87"/>
        <v>3</v>
      </c>
      <c r="E1100" s="27">
        <f t="shared" si="88"/>
        <v>1</v>
      </c>
      <c r="F1100" s="27">
        <f>VLOOKUP(E1100,[1]t_calendarioPolitica!A:C,3,FALSE)</f>
        <v>0</v>
      </c>
      <c r="G1100" s="1">
        <v>1</v>
      </c>
      <c r="H1100" s="1">
        <v>1</v>
      </c>
      <c r="I1100" s="1">
        <f t="shared" si="89"/>
        <v>0</v>
      </c>
    </row>
    <row r="1101" spans="1:9" x14ac:dyDescent="0.3">
      <c r="A1101" s="26">
        <v>46391</v>
      </c>
      <c r="B1101" s="27">
        <f t="shared" si="85"/>
        <v>2027</v>
      </c>
      <c r="C1101" s="27">
        <f t="shared" si="86"/>
        <v>1</v>
      </c>
      <c r="D1101" s="27">
        <f t="shared" si="87"/>
        <v>4</v>
      </c>
      <c r="E1101" s="27">
        <f t="shared" si="88"/>
        <v>2</v>
      </c>
      <c r="F1101" s="27">
        <f>VLOOKUP(E1101,[1]t_calendarioPolitica!A:C,3,FALSE)</f>
        <v>1</v>
      </c>
      <c r="G1101" s="1">
        <v>1</v>
      </c>
      <c r="H1101" s="1">
        <v>1</v>
      </c>
      <c r="I1101" s="1">
        <f t="shared" si="89"/>
        <v>1</v>
      </c>
    </row>
    <row r="1102" spans="1:9" x14ac:dyDescent="0.3">
      <c r="A1102" s="26">
        <v>46392</v>
      </c>
      <c r="B1102" s="27">
        <f t="shared" si="85"/>
        <v>2027</v>
      </c>
      <c r="C1102" s="27">
        <f t="shared" si="86"/>
        <v>1</v>
      </c>
      <c r="D1102" s="27">
        <f t="shared" si="87"/>
        <v>5</v>
      </c>
      <c r="E1102" s="27">
        <f t="shared" si="88"/>
        <v>3</v>
      </c>
      <c r="F1102" s="27">
        <f>VLOOKUP(E1102,[1]t_calendarioPolitica!A:C,3,FALSE)</f>
        <v>1</v>
      </c>
      <c r="G1102" s="1">
        <v>1</v>
      </c>
      <c r="H1102" s="1">
        <v>1</v>
      </c>
      <c r="I1102" s="1">
        <f t="shared" si="89"/>
        <v>1</v>
      </c>
    </row>
    <row r="1103" spans="1:9" x14ac:dyDescent="0.3">
      <c r="A1103" s="26">
        <v>46393</v>
      </c>
      <c r="B1103" s="27">
        <f t="shared" si="85"/>
        <v>2027</v>
      </c>
      <c r="C1103" s="27">
        <f t="shared" si="86"/>
        <v>1</v>
      </c>
      <c r="D1103" s="27">
        <f t="shared" si="87"/>
        <v>6</v>
      </c>
      <c r="E1103" s="27">
        <f t="shared" si="88"/>
        <v>4</v>
      </c>
      <c r="F1103" s="27">
        <f>VLOOKUP(E1103,[1]t_calendarioPolitica!A:C,3,FALSE)</f>
        <v>1</v>
      </c>
      <c r="G1103" s="1">
        <v>1</v>
      </c>
      <c r="H1103" s="1">
        <v>1</v>
      </c>
      <c r="I1103" s="1">
        <f t="shared" si="89"/>
        <v>1</v>
      </c>
    </row>
    <row r="1104" spans="1:9" x14ac:dyDescent="0.3">
      <c r="A1104" s="26">
        <v>46394</v>
      </c>
      <c r="B1104" s="27">
        <f t="shared" si="85"/>
        <v>2027</v>
      </c>
      <c r="C1104" s="27">
        <f t="shared" si="86"/>
        <v>1</v>
      </c>
      <c r="D1104" s="27">
        <f t="shared" si="87"/>
        <v>7</v>
      </c>
      <c r="E1104" s="27">
        <f t="shared" si="88"/>
        <v>5</v>
      </c>
      <c r="F1104" s="27">
        <f>VLOOKUP(E1104,[1]t_calendarioPolitica!A:C,3,FALSE)</f>
        <v>1</v>
      </c>
      <c r="G1104" s="1">
        <v>1</v>
      </c>
      <c r="H1104" s="1">
        <v>1</v>
      </c>
      <c r="I1104" s="1">
        <f t="shared" si="89"/>
        <v>1</v>
      </c>
    </row>
    <row r="1105" spans="1:9" x14ac:dyDescent="0.3">
      <c r="A1105" s="26">
        <v>46395</v>
      </c>
      <c r="B1105" s="27">
        <f t="shared" si="85"/>
        <v>2027</v>
      </c>
      <c r="C1105" s="27">
        <f t="shared" si="86"/>
        <v>1</v>
      </c>
      <c r="D1105" s="27">
        <f t="shared" si="87"/>
        <v>8</v>
      </c>
      <c r="E1105" s="27">
        <f t="shared" si="88"/>
        <v>6</v>
      </c>
      <c r="F1105" s="27">
        <f>VLOOKUP(E1105,[1]t_calendarioPolitica!A:C,3,FALSE)</f>
        <v>1</v>
      </c>
      <c r="G1105" s="1">
        <v>1</v>
      </c>
      <c r="H1105" s="1">
        <v>1</v>
      </c>
      <c r="I1105" s="1">
        <f t="shared" si="89"/>
        <v>1</v>
      </c>
    </row>
    <row r="1106" spans="1:9" x14ac:dyDescent="0.3">
      <c r="A1106" s="26">
        <v>46396</v>
      </c>
      <c r="B1106" s="27">
        <f t="shared" si="85"/>
        <v>2027</v>
      </c>
      <c r="C1106" s="27">
        <f t="shared" si="86"/>
        <v>1</v>
      </c>
      <c r="D1106" s="27">
        <f t="shared" si="87"/>
        <v>9</v>
      </c>
      <c r="E1106" s="27">
        <f t="shared" si="88"/>
        <v>7</v>
      </c>
      <c r="F1106" s="27">
        <f>VLOOKUP(E1106,[1]t_calendarioPolitica!A:C,3,FALSE)</f>
        <v>2</v>
      </c>
      <c r="G1106" s="1">
        <v>1</v>
      </c>
      <c r="H1106" s="1">
        <v>1</v>
      </c>
      <c r="I1106" s="1">
        <f t="shared" si="89"/>
        <v>1</v>
      </c>
    </row>
    <row r="1107" spans="1:9" x14ac:dyDescent="0.3">
      <c r="A1107" s="26">
        <v>46397</v>
      </c>
      <c r="B1107" s="27">
        <f t="shared" si="85"/>
        <v>2027</v>
      </c>
      <c r="C1107" s="27">
        <f t="shared" si="86"/>
        <v>1</v>
      </c>
      <c r="D1107" s="27">
        <f t="shared" si="87"/>
        <v>10</v>
      </c>
      <c r="E1107" s="27">
        <f t="shared" si="88"/>
        <v>1</v>
      </c>
      <c r="F1107" s="27">
        <f>VLOOKUP(E1107,[1]t_calendarioPolitica!A:C,3,FALSE)</f>
        <v>0</v>
      </c>
      <c r="G1107" s="1">
        <v>1</v>
      </c>
      <c r="H1107" s="1">
        <v>1</v>
      </c>
      <c r="I1107" s="1">
        <f t="shared" si="89"/>
        <v>0</v>
      </c>
    </row>
    <row r="1108" spans="1:9" x14ac:dyDescent="0.3">
      <c r="A1108" s="26">
        <v>46398</v>
      </c>
      <c r="B1108" s="27">
        <f t="shared" si="85"/>
        <v>2027</v>
      </c>
      <c r="C1108" s="27">
        <f t="shared" si="86"/>
        <v>1</v>
      </c>
      <c r="D1108" s="27">
        <f t="shared" si="87"/>
        <v>11</v>
      </c>
      <c r="E1108" s="27">
        <f t="shared" si="88"/>
        <v>2</v>
      </c>
      <c r="F1108" s="27">
        <f>VLOOKUP(E1108,[1]t_calendarioPolitica!A:C,3,FALSE)</f>
        <v>1</v>
      </c>
      <c r="G1108" s="1">
        <v>1</v>
      </c>
      <c r="H1108" s="1">
        <v>1</v>
      </c>
      <c r="I1108" s="1">
        <f t="shared" si="89"/>
        <v>1</v>
      </c>
    </row>
    <row r="1109" spans="1:9" x14ac:dyDescent="0.3">
      <c r="A1109" s="26">
        <v>46399</v>
      </c>
      <c r="B1109" s="27">
        <f t="shared" si="85"/>
        <v>2027</v>
      </c>
      <c r="C1109" s="27">
        <f t="shared" si="86"/>
        <v>1</v>
      </c>
      <c r="D1109" s="27">
        <f t="shared" si="87"/>
        <v>12</v>
      </c>
      <c r="E1109" s="27">
        <f t="shared" si="88"/>
        <v>3</v>
      </c>
      <c r="F1109" s="27">
        <f>VLOOKUP(E1109,[1]t_calendarioPolitica!A:C,3,FALSE)</f>
        <v>1</v>
      </c>
      <c r="G1109" s="1">
        <v>1</v>
      </c>
      <c r="H1109" s="1">
        <v>1</v>
      </c>
      <c r="I1109" s="1">
        <f t="shared" si="89"/>
        <v>1</v>
      </c>
    </row>
    <row r="1110" spans="1:9" x14ac:dyDescent="0.3">
      <c r="A1110" s="26">
        <v>46400</v>
      </c>
      <c r="B1110" s="27">
        <f t="shared" si="85"/>
        <v>2027</v>
      </c>
      <c r="C1110" s="27">
        <f t="shared" si="86"/>
        <v>1</v>
      </c>
      <c r="D1110" s="27">
        <f t="shared" si="87"/>
        <v>13</v>
      </c>
      <c r="E1110" s="27">
        <f t="shared" si="88"/>
        <v>4</v>
      </c>
      <c r="F1110" s="27">
        <f>VLOOKUP(E1110,[1]t_calendarioPolitica!A:C,3,FALSE)</f>
        <v>1</v>
      </c>
      <c r="G1110" s="1">
        <v>1</v>
      </c>
      <c r="H1110" s="1">
        <v>1</v>
      </c>
      <c r="I1110" s="1">
        <f t="shared" si="89"/>
        <v>1</v>
      </c>
    </row>
    <row r="1111" spans="1:9" x14ac:dyDescent="0.3">
      <c r="A1111" s="26">
        <v>46401</v>
      </c>
      <c r="B1111" s="27">
        <f t="shared" si="85"/>
        <v>2027</v>
      </c>
      <c r="C1111" s="27">
        <f t="shared" si="86"/>
        <v>1</v>
      </c>
      <c r="D1111" s="27">
        <f t="shared" si="87"/>
        <v>14</v>
      </c>
      <c r="E1111" s="27">
        <f t="shared" si="88"/>
        <v>5</v>
      </c>
      <c r="F1111" s="27">
        <f>VLOOKUP(E1111,[1]t_calendarioPolitica!A:C,3,FALSE)</f>
        <v>1</v>
      </c>
      <c r="G1111" s="1">
        <v>1</v>
      </c>
      <c r="H1111" s="1">
        <v>1</v>
      </c>
      <c r="I1111" s="1">
        <f t="shared" si="89"/>
        <v>1</v>
      </c>
    </row>
    <row r="1112" spans="1:9" x14ac:dyDescent="0.3">
      <c r="A1112" s="26">
        <v>46402</v>
      </c>
      <c r="B1112" s="27">
        <f t="shared" si="85"/>
        <v>2027</v>
      </c>
      <c r="C1112" s="27">
        <f t="shared" si="86"/>
        <v>1</v>
      </c>
      <c r="D1112" s="27">
        <f t="shared" si="87"/>
        <v>15</v>
      </c>
      <c r="E1112" s="27">
        <f t="shared" si="88"/>
        <v>6</v>
      </c>
      <c r="F1112" s="27">
        <f>VLOOKUP(E1112,[1]t_calendarioPolitica!A:C,3,FALSE)</f>
        <v>1</v>
      </c>
      <c r="G1112" s="1">
        <v>1</v>
      </c>
      <c r="H1112" s="1">
        <v>1</v>
      </c>
      <c r="I1112" s="1">
        <f t="shared" si="89"/>
        <v>1</v>
      </c>
    </row>
    <row r="1113" spans="1:9" x14ac:dyDescent="0.3">
      <c r="A1113" s="26">
        <v>46403</v>
      </c>
      <c r="B1113" s="27">
        <f t="shared" si="85"/>
        <v>2027</v>
      </c>
      <c r="C1113" s="27">
        <f t="shared" si="86"/>
        <v>1</v>
      </c>
      <c r="D1113" s="27">
        <f t="shared" si="87"/>
        <v>16</v>
      </c>
      <c r="E1113" s="27">
        <f t="shared" si="88"/>
        <v>7</v>
      </c>
      <c r="F1113" s="27">
        <f>VLOOKUP(E1113,[1]t_calendarioPolitica!A:C,3,FALSE)</f>
        <v>2</v>
      </c>
      <c r="G1113" s="1">
        <v>1</v>
      </c>
      <c r="H1113" s="1">
        <v>1</v>
      </c>
      <c r="I1113" s="1">
        <f t="shared" si="89"/>
        <v>1</v>
      </c>
    </row>
    <row r="1114" spans="1:9" x14ac:dyDescent="0.3">
      <c r="A1114" s="26">
        <v>46404</v>
      </c>
      <c r="B1114" s="27">
        <f t="shared" si="85"/>
        <v>2027</v>
      </c>
      <c r="C1114" s="27">
        <f t="shared" si="86"/>
        <v>1</v>
      </c>
      <c r="D1114" s="27">
        <f t="shared" si="87"/>
        <v>17</v>
      </c>
      <c r="E1114" s="27">
        <f t="shared" si="88"/>
        <v>1</v>
      </c>
      <c r="F1114" s="27">
        <f>VLOOKUP(E1114,[1]t_calendarioPolitica!A:C,3,FALSE)</f>
        <v>0</v>
      </c>
      <c r="G1114" s="1">
        <v>1</v>
      </c>
      <c r="H1114" s="1">
        <v>1</v>
      </c>
      <c r="I1114" s="1">
        <f t="shared" si="89"/>
        <v>0</v>
      </c>
    </row>
    <row r="1115" spans="1:9" x14ac:dyDescent="0.3">
      <c r="A1115" s="26">
        <v>46405</v>
      </c>
      <c r="B1115" s="27">
        <f t="shared" si="85"/>
        <v>2027</v>
      </c>
      <c r="C1115" s="27">
        <f t="shared" si="86"/>
        <v>1</v>
      </c>
      <c r="D1115" s="27">
        <f t="shared" si="87"/>
        <v>18</v>
      </c>
      <c r="E1115" s="27">
        <f t="shared" si="88"/>
        <v>2</v>
      </c>
      <c r="F1115" s="27">
        <f>VLOOKUP(E1115,[1]t_calendarioPolitica!A:C,3,FALSE)</f>
        <v>1</v>
      </c>
      <c r="G1115" s="1">
        <v>1</v>
      </c>
      <c r="H1115" s="1">
        <v>1</v>
      </c>
      <c r="I1115" s="1">
        <f t="shared" si="89"/>
        <v>1</v>
      </c>
    </row>
    <row r="1116" spans="1:9" x14ac:dyDescent="0.3">
      <c r="A1116" s="26">
        <v>46406</v>
      </c>
      <c r="B1116" s="27">
        <f t="shared" si="85"/>
        <v>2027</v>
      </c>
      <c r="C1116" s="27">
        <f t="shared" si="86"/>
        <v>1</v>
      </c>
      <c r="D1116" s="27">
        <f t="shared" si="87"/>
        <v>19</v>
      </c>
      <c r="E1116" s="27">
        <f t="shared" si="88"/>
        <v>3</v>
      </c>
      <c r="F1116" s="27">
        <f>VLOOKUP(E1116,[1]t_calendarioPolitica!A:C,3,FALSE)</f>
        <v>1</v>
      </c>
      <c r="G1116" s="1">
        <v>1</v>
      </c>
      <c r="H1116" s="1">
        <v>1</v>
      </c>
      <c r="I1116" s="1">
        <f t="shared" si="89"/>
        <v>1</v>
      </c>
    </row>
    <row r="1117" spans="1:9" x14ac:dyDescent="0.3">
      <c r="A1117" s="26">
        <v>46407</v>
      </c>
      <c r="B1117" s="27">
        <f t="shared" si="85"/>
        <v>2027</v>
      </c>
      <c r="C1117" s="27">
        <f t="shared" si="86"/>
        <v>1</v>
      </c>
      <c r="D1117" s="27">
        <f t="shared" si="87"/>
        <v>20</v>
      </c>
      <c r="E1117" s="27">
        <f t="shared" si="88"/>
        <v>4</v>
      </c>
      <c r="F1117" s="27">
        <f>VLOOKUP(E1117,[1]t_calendarioPolitica!A:C,3,FALSE)</f>
        <v>1</v>
      </c>
      <c r="G1117" s="1">
        <v>1</v>
      </c>
      <c r="H1117" s="1">
        <v>1</v>
      </c>
      <c r="I1117" s="1">
        <f t="shared" si="89"/>
        <v>1</v>
      </c>
    </row>
    <row r="1118" spans="1:9" x14ac:dyDescent="0.3">
      <c r="A1118" s="26">
        <v>46408</v>
      </c>
      <c r="B1118" s="27">
        <f t="shared" si="85"/>
        <v>2027</v>
      </c>
      <c r="C1118" s="27">
        <f t="shared" si="86"/>
        <v>1</v>
      </c>
      <c r="D1118" s="27">
        <f t="shared" si="87"/>
        <v>21</v>
      </c>
      <c r="E1118" s="27">
        <f t="shared" si="88"/>
        <v>5</v>
      </c>
      <c r="F1118" s="27">
        <f>VLOOKUP(E1118,[1]t_calendarioPolitica!A:C,3,FALSE)</f>
        <v>1</v>
      </c>
      <c r="G1118" s="1">
        <v>1</v>
      </c>
      <c r="H1118" s="1">
        <v>1</v>
      </c>
      <c r="I1118" s="1">
        <f t="shared" si="89"/>
        <v>1</v>
      </c>
    </row>
    <row r="1119" spans="1:9" x14ac:dyDescent="0.3">
      <c r="A1119" s="26">
        <v>46409</v>
      </c>
      <c r="B1119" s="27">
        <f t="shared" si="85"/>
        <v>2027</v>
      </c>
      <c r="C1119" s="27">
        <f t="shared" si="86"/>
        <v>1</v>
      </c>
      <c r="D1119" s="27">
        <f t="shared" si="87"/>
        <v>22</v>
      </c>
      <c r="E1119" s="27">
        <f t="shared" si="88"/>
        <v>6</v>
      </c>
      <c r="F1119" s="27">
        <f>VLOOKUP(E1119,[1]t_calendarioPolitica!A:C,3,FALSE)</f>
        <v>1</v>
      </c>
      <c r="G1119" s="1">
        <v>1</v>
      </c>
      <c r="H1119" s="1">
        <v>1</v>
      </c>
      <c r="I1119" s="1">
        <f t="shared" si="89"/>
        <v>1</v>
      </c>
    </row>
    <row r="1120" spans="1:9" x14ac:dyDescent="0.3">
      <c r="A1120" s="26">
        <v>46410</v>
      </c>
      <c r="B1120" s="27">
        <f t="shared" si="85"/>
        <v>2027</v>
      </c>
      <c r="C1120" s="27">
        <f t="shared" si="86"/>
        <v>1</v>
      </c>
      <c r="D1120" s="27">
        <f t="shared" si="87"/>
        <v>23</v>
      </c>
      <c r="E1120" s="27">
        <f t="shared" si="88"/>
        <v>7</v>
      </c>
      <c r="F1120" s="27">
        <f>VLOOKUP(E1120,[1]t_calendarioPolitica!A:C,3,FALSE)</f>
        <v>2</v>
      </c>
      <c r="G1120" s="1">
        <v>1</v>
      </c>
      <c r="H1120" s="1">
        <v>1</v>
      </c>
      <c r="I1120" s="1">
        <f t="shared" si="89"/>
        <v>1</v>
      </c>
    </row>
    <row r="1121" spans="1:9" x14ac:dyDescent="0.3">
      <c r="A1121" s="26">
        <v>46411</v>
      </c>
      <c r="B1121" s="27">
        <f t="shared" si="85"/>
        <v>2027</v>
      </c>
      <c r="C1121" s="27">
        <f t="shared" si="86"/>
        <v>1</v>
      </c>
      <c r="D1121" s="27">
        <f t="shared" si="87"/>
        <v>24</v>
      </c>
      <c r="E1121" s="27">
        <f t="shared" si="88"/>
        <v>1</v>
      </c>
      <c r="F1121" s="27">
        <f>VLOOKUP(E1121,[1]t_calendarioPolitica!A:C,3,FALSE)</f>
        <v>0</v>
      </c>
      <c r="G1121" s="1">
        <v>1</v>
      </c>
      <c r="H1121" s="1">
        <v>1</v>
      </c>
      <c r="I1121" s="1">
        <f t="shared" si="89"/>
        <v>0</v>
      </c>
    </row>
    <row r="1122" spans="1:9" x14ac:dyDescent="0.3">
      <c r="A1122" s="26">
        <v>46412</v>
      </c>
      <c r="B1122" s="27">
        <f t="shared" si="85"/>
        <v>2027</v>
      </c>
      <c r="C1122" s="27">
        <f t="shared" si="86"/>
        <v>1</v>
      </c>
      <c r="D1122" s="27">
        <f t="shared" si="87"/>
        <v>25</v>
      </c>
      <c r="E1122" s="27">
        <f t="shared" si="88"/>
        <v>2</v>
      </c>
      <c r="F1122" s="27">
        <f>VLOOKUP(E1122,[1]t_calendarioPolitica!A:C,3,FALSE)</f>
        <v>1</v>
      </c>
      <c r="G1122" s="1">
        <v>1</v>
      </c>
      <c r="H1122" s="1">
        <v>1</v>
      </c>
      <c r="I1122" s="1">
        <f t="shared" si="89"/>
        <v>1</v>
      </c>
    </row>
    <row r="1123" spans="1:9" x14ac:dyDescent="0.3">
      <c r="A1123" s="26">
        <v>46413</v>
      </c>
      <c r="B1123" s="27">
        <f t="shared" si="85"/>
        <v>2027</v>
      </c>
      <c r="C1123" s="27">
        <f t="shared" si="86"/>
        <v>1</v>
      </c>
      <c r="D1123" s="27">
        <f t="shared" si="87"/>
        <v>26</v>
      </c>
      <c r="E1123" s="27">
        <f t="shared" si="88"/>
        <v>3</v>
      </c>
      <c r="F1123" s="27">
        <f>VLOOKUP(E1123,[1]t_calendarioPolitica!A:C,3,FALSE)</f>
        <v>1</v>
      </c>
      <c r="G1123" s="1">
        <v>1</v>
      </c>
      <c r="H1123" s="1">
        <v>1</v>
      </c>
      <c r="I1123" s="1">
        <f t="shared" si="89"/>
        <v>1</v>
      </c>
    </row>
    <row r="1124" spans="1:9" x14ac:dyDescent="0.3">
      <c r="A1124" s="26">
        <v>46414</v>
      </c>
      <c r="B1124" s="27">
        <f t="shared" si="85"/>
        <v>2027</v>
      </c>
      <c r="C1124" s="27">
        <f t="shared" si="86"/>
        <v>1</v>
      </c>
      <c r="D1124" s="27">
        <f t="shared" si="87"/>
        <v>27</v>
      </c>
      <c r="E1124" s="27">
        <f t="shared" si="88"/>
        <v>4</v>
      </c>
      <c r="F1124" s="27">
        <f>VLOOKUP(E1124,[1]t_calendarioPolitica!A:C,3,FALSE)</f>
        <v>1</v>
      </c>
      <c r="G1124" s="1">
        <v>1</v>
      </c>
      <c r="H1124" s="1">
        <v>1</v>
      </c>
      <c r="I1124" s="1">
        <f t="shared" si="89"/>
        <v>1</v>
      </c>
    </row>
    <row r="1125" spans="1:9" x14ac:dyDescent="0.3">
      <c r="A1125" s="26">
        <v>46415</v>
      </c>
      <c r="B1125" s="27">
        <f t="shared" si="85"/>
        <v>2027</v>
      </c>
      <c r="C1125" s="27">
        <f t="shared" si="86"/>
        <v>1</v>
      </c>
      <c r="D1125" s="27">
        <f t="shared" si="87"/>
        <v>28</v>
      </c>
      <c r="E1125" s="27">
        <f t="shared" si="88"/>
        <v>5</v>
      </c>
      <c r="F1125" s="27">
        <f>VLOOKUP(E1125,[1]t_calendarioPolitica!A:C,3,FALSE)</f>
        <v>1</v>
      </c>
      <c r="G1125" s="1">
        <v>1</v>
      </c>
      <c r="H1125" s="1">
        <v>1</v>
      </c>
      <c r="I1125" s="1">
        <f t="shared" si="89"/>
        <v>1</v>
      </c>
    </row>
    <row r="1126" spans="1:9" x14ac:dyDescent="0.3">
      <c r="A1126" s="26">
        <v>46416</v>
      </c>
      <c r="B1126" s="27">
        <f t="shared" si="85"/>
        <v>2027</v>
      </c>
      <c r="C1126" s="27">
        <f t="shared" si="86"/>
        <v>1</v>
      </c>
      <c r="D1126" s="27">
        <f t="shared" si="87"/>
        <v>29</v>
      </c>
      <c r="E1126" s="27">
        <f t="shared" si="88"/>
        <v>6</v>
      </c>
      <c r="F1126" s="27">
        <f>VLOOKUP(E1126,[1]t_calendarioPolitica!A:C,3,FALSE)</f>
        <v>1</v>
      </c>
      <c r="G1126" s="1">
        <v>1</v>
      </c>
      <c r="H1126" s="1">
        <v>1</v>
      </c>
      <c r="I1126" s="1">
        <f t="shared" si="89"/>
        <v>1</v>
      </c>
    </row>
    <row r="1127" spans="1:9" x14ac:dyDescent="0.3">
      <c r="A1127" s="26">
        <v>46417</v>
      </c>
      <c r="B1127" s="27">
        <f t="shared" si="85"/>
        <v>2027</v>
      </c>
      <c r="C1127" s="27">
        <f t="shared" si="86"/>
        <v>1</v>
      </c>
      <c r="D1127" s="27">
        <f t="shared" si="87"/>
        <v>30</v>
      </c>
      <c r="E1127" s="27">
        <f t="shared" si="88"/>
        <v>7</v>
      </c>
      <c r="F1127" s="27">
        <f>VLOOKUP(E1127,[1]t_calendarioPolitica!A:C,3,FALSE)</f>
        <v>2</v>
      </c>
      <c r="G1127" s="1">
        <v>1</v>
      </c>
      <c r="H1127" s="1">
        <v>1</v>
      </c>
      <c r="I1127" s="1">
        <f t="shared" si="89"/>
        <v>1</v>
      </c>
    </row>
    <row r="1128" spans="1:9" x14ac:dyDescent="0.3">
      <c r="A1128" s="26">
        <v>46418</v>
      </c>
      <c r="B1128" s="27">
        <f t="shared" si="85"/>
        <v>2027</v>
      </c>
      <c r="C1128" s="27">
        <f t="shared" si="86"/>
        <v>1</v>
      </c>
      <c r="D1128" s="27">
        <f t="shared" si="87"/>
        <v>31</v>
      </c>
      <c r="E1128" s="27">
        <f t="shared" si="88"/>
        <v>1</v>
      </c>
      <c r="F1128" s="27">
        <f>VLOOKUP(E1128,[1]t_calendarioPolitica!A:C,3,FALSE)</f>
        <v>0</v>
      </c>
      <c r="G1128" s="1">
        <v>1</v>
      </c>
      <c r="H1128" s="1">
        <v>1</v>
      </c>
      <c r="I1128" s="1">
        <f t="shared" si="89"/>
        <v>0</v>
      </c>
    </row>
    <row r="1129" spans="1:9" x14ac:dyDescent="0.3">
      <c r="A1129" s="26">
        <v>46419</v>
      </c>
      <c r="B1129" s="27">
        <f t="shared" si="85"/>
        <v>2027</v>
      </c>
      <c r="C1129" s="27">
        <f t="shared" si="86"/>
        <v>2</v>
      </c>
      <c r="D1129" s="27">
        <f t="shared" si="87"/>
        <v>1</v>
      </c>
      <c r="E1129" s="27">
        <f t="shared" si="88"/>
        <v>2</v>
      </c>
      <c r="F1129" s="27">
        <f>VLOOKUP(E1129,[1]t_calendarioPolitica!A:C,3,FALSE)</f>
        <v>1</v>
      </c>
      <c r="G1129" s="1">
        <v>1</v>
      </c>
      <c r="H1129" s="1">
        <v>1</v>
      </c>
      <c r="I1129" s="1">
        <f t="shared" si="89"/>
        <v>1</v>
      </c>
    </row>
    <row r="1130" spans="1:9" x14ac:dyDescent="0.3">
      <c r="A1130" s="26">
        <v>46420</v>
      </c>
      <c r="B1130" s="27">
        <f t="shared" si="85"/>
        <v>2027</v>
      </c>
      <c r="C1130" s="27">
        <f t="shared" si="86"/>
        <v>2</v>
      </c>
      <c r="D1130" s="27">
        <f t="shared" si="87"/>
        <v>2</v>
      </c>
      <c r="E1130" s="27">
        <f t="shared" si="88"/>
        <v>3</v>
      </c>
      <c r="F1130" s="27">
        <f>VLOOKUP(E1130,[1]t_calendarioPolitica!A:C,3,FALSE)</f>
        <v>1</v>
      </c>
      <c r="G1130" s="1">
        <v>1</v>
      </c>
      <c r="H1130" s="1">
        <v>1</v>
      </c>
      <c r="I1130" s="1">
        <f t="shared" si="89"/>
        <v>1</v>
      </c>
    </row>
    <row r="1131" spans="1:9" x14ac:dyDescent="0.3">
      <c r="A1131" s="26">
        <v>46421</v>
      </c>
      <c r="B1131" s="27">
        <f t="shared" si="85"/>
        <v>2027</v>
      </c>
      <c r="C1131" s="27">
        <f t="shared" si="86"/>
        <v>2</v>
      </c>
      <c r="D1131" s="27">
        <f t="shared" si="87"/>
        <v>3</v>
      </c>
      <c r="E1131" s="27">
        <f t="shared" si="88"/>
        <v>4</v>
      </c>
      <c r="F1131" s="27">
        <f>VLOOKUP(E1131,[1]t_calendarioPolitica!A:C,3,FALSE)</f>
        <v>1</v>
      </c>
      <c r="G1131" s="1">
        <v>1</v>
      </c>
      <c r="H1131" s="1">
        <v>1</v>
      </c>
      <c r="I1131" s="1">
        <f t="shared" si="89"/>
        <v>1</v>
      </c>
    </row>
    <row r="1132" spans="1:9" x14ac:dyDescent="0.3">
      <c r="A1132" s="26">
        <v>46422</v>
      </c>
      <c r="B1132" s="27">
        <f t="shared" si="85"/>
        <v>2027</v>
      </c>
      <c r="C1132" s="27">
        <f t="shared" si="86"/>
        <v>2</v>
      </c>
      <c r="D1132" s="27">
        <f t="shared" si="87"/>
        <v>4</v>
      </c>
      <c r="E1132" s="27">
        <f t="shared" si="88"/>
        <v>5</v>
      </c>
      <c r="F1132" s="27">
        <f>VLOOKUP(E1132,[1]t_calendarioPolitica!A:C,3,FALSE)</f>
        <v>1</v>
      </c>
      <c r="G1132" s="1">
        <v>1</v>
      </c>
      <c r="H1132" s="1">
        <v>1</v>
      </c>
      <c r="I1132" s="1">
        <f t="shared" si="89"/>
        <v>1</v>
      </c>
    </row>
    <row r="1133" spans="1:9" x14ac:dyDescent="0.3">
      <c r="A1133" s="26">
        <v>46423</v>
      </c>
      <c r="B1133" s="27">
        <f t="shared" si="85"/>
        <v>2027</v>
      </c>
      <c r="C1133" s="27">
        <f t="shared" si="86"/>
        <v>2</v>
      </c>
      <c r="D1133" s="27">
        <f t="shared" si="87"/>
        <v>5</v>
      </c>
      <c r="E1133" s="27">
        <f t="shared" si="88"/>
        <v>6</v>
      </c>
      <c r="F1133" s="27">
        <f>VLOOKUP(E1133,[1]t_calendarioPolitica!A:C,3,FALSE)</f>
        <v>1</v>
      </c>
      <c r="G1133" s="1">
        <v>1</v>
      </c>
      <c r="H1133" s="1">
        <v>1</v>
      </c>
      <c r="I1133" s="1">
        <f t="shared" si="89"/>
        <v>1</v>
      </c>
    </row>
    <row r="1134" spans="1:9" x14ac:dyDescent="0.3">
      <c r="A1134" s="26">
        <v>46424</v>
      </c>
      <c r="B1134" s="27">
        <f t="shared" si="85"/>
        <v>2027</v>
      </c>
      <c r="C1134" s="27">
        <f t="shared" si="86"/>
        <v>2</v>
      </c>
      <c r="D1134" s="27">
        <f t="shared" si="87"/>
        <v>6</v>
      </c>
      <c r="E1134" s="27">
        <f t="shared" si="88"/>
        <v>7</v>
      </c>
      <c r="F1134" s="27">
        <f>VLOOKUP(E1134,[1]t_calendarioPolitica!A:C,3,FALSE)</f>
        <v>2</v>
      </c>
      <c r="G1134" s="1">
        <v>1</v>
      </c>
      <c r="H1134" s="1">
        <v>1</v>
      </c>
      <c r="I1134" s="1">
        <f t="shared" si="89"/>
        <v>1</v>
      </c>
    </row>
    <row r="1135" spans="1:9" x14ac:dyDescent="0.3">
      <c r="A1135" s="26">
        <v>46425</v>
      </c>
      <c r="B1135" s="27">
        <f t="shared" si="85"/>
        <v>2027</v>
      </c>
      <c r="C1135" s="27">
        <f t="shared" si="86"/>
        <v>2</v>
      </c>
      <c r="D1135" s="27">
        <f t="shared" si="87"/>
        <v>7</v>
      </c>
      <c r="E1135" s="27">
        <f t="shared" si="88"/>
        <v>1</v>
      </c>
      <c r="F1135" s="27">
        <f>VLOOKUP(E1135,[1]t_calendarioPolitica!A:C,3,FALSE)</f>
        <v>0</v>
      </c>
      <c r="G1135" s="1">
        <v>1</v>
      </c>
      <c r="H1135" s="1">
        <v>1</v>
      </c>
      <c r="I1135" s="1">
        <f t="shared" si="89"/>
        <v>0</v>
      </c>
    </row>
    <row r="1136" spans="1:9" x14ac:dyDescent="0.3">
      <c r="A1136" s="26">
        <v>46426</v>
      </c>
      <c r="B1136" s="27">
        <f t="shared" si="85"/>
        <v>2027</v>
      </c>
      <c r="C1136" s="27">
        <f t="shared" si="86"/>
        <v>2</v>
      </c>
      <c r="D1136" s="27">
        <f t="shared" si="87"/>
        <v>8</v>
      </c>
      <c r="E1136" s="27">
        <f t="shared" si="88"/>
        <v>2</v>
      </c>
      <c r="F1136" s="27">
        <f>VLOOKUP(E1136,[1]t_calendarioPolitica!A:C,3,FALSE)</f>
        <v>1</v>
      </c>
      <c r="G1136" s="1">
        <v>1</v>
      </c>
      <c r="H1136" s="1">
        <v>1</v>
      </c>
      <c r="I1136" s="1">
        <f t="shared" si="89"/>
        <v>1</v>
      </c>
    </row>
    <row r="1137" spans="1:9" x14ac:dyDescent="0.3">
      <c r="A1137" s="26">
        <v>46427</v>
      </c>
      <c r="B1137" s="27">
        <f t="shared" si="85"/>
        <v>2027</v>
      </c>
      <c r="C1137" s="27">
        <f t="shared" si="86"/>
        <v>2</v>
      </c>
      <c r="D1137" s="27">
        <f t="shared" si="87"/>
        <v>9</v>
      </c>
      <c r="E1137" s="27">
        <f t="shared" si="88"/>
        <v>3</v>
      </c>
      <c r="F1137" s="27">
        <f>VLOOKUP(E1137,[1]t_calendarioPolitica!A:C,3,FALSE)</f>
        <v>1</v>
      </c>
      <c r="G1137" s="1">
        <v>1</v>
      </c>
      <c r="H1137" s="1">
        <v>1</v>
      </c>
      <c r="I1137" s="1">
        <f t="shared" si="89"/>
        <v>1</v>
      </c>
    </row>
    <row r="1138" spans="1:9" x14ac:dyDescent="0.3">
      <c r="A1138" s="26">
        <v>46428</v>
      </c>
      <c r="B1138" s="27">
        <f t="shared" si="85"/>
        <v>2027</v>
      </c>
      <c r="C1138" s="27">
        <f t="shared" si="86"/>
        <v>2</v>
      </c>
      <c r="D1138" s="27">
        <f t="shared" si="87"/>
        <v>10</v>
      </c>
      <c r="E1138" s="27">
        <f t="shared" si="88"/>
        <v>4</v>
      </c>
      <c r="F1138" s="27">
        <f>VLOOKUP(E1138,[1]t_calendarioPolitica!A:C,3,FALSE)</f>
        <v>1</v>
      </c>
      <c r="G1138" s="1">
        <v>1</v>
      </c>
      <c r="H1138" s="1">
        <v>1</v>
      </c>
      <c r="I1138" s="1">
        <f t="shared" si="89"/>
        <v>1</v>
      </c>
    </row>
    <row r="1139" spans="1:9" x14ac:dyDescent="0.3">
      <c r="A1139" s="26">
        <v>46429</v>
      </c>
      <c r="B1139" s="27">
        <f t="shared" si="85"/>
        <v>2027</v>
      </c>
      <c r="C1139" s="27">
        <f t="shared" si="86"/>
        <v>2</v>
      </c>
      <c r="D1139" s="27">
        <f t="shared" si="87"/>
        <v>11</v>
      </c>
      <c r="E1139" s="27">
        <f t="shared" si="88"/>
        <v>5</v>
      </c>
      <c r="F1139" s="27">
        <f>VLOOKUP(E1139,[1]t_calendarioPolitica!A:C,3,FALSE)</f>
        <v>1</v>
      </c>
      <c r="G1139" s="1">
        <v>1</v>
      </c>
      <c r="H1139" s="1">
        <v>1</v>
      </c>
      <c r="I1139" s="1">
        <f t="shared" si="89"/>
        <v>1</v>
      </c>
    </row>
    <row r="1140" spans="1:9" x14ac:dyDescent="0.3">
      <c r="A1140" s="26">
        <v>46430</v>
      </c>
      <c r="B1140" s="27">
        <f t="shared" si="85"/>
        <v>2027</v>
      </c>
      <c r="C1140" s="27">
        <f t="shared" si="86"/>
        <v>2</v>
      </c>
      <c r="D1140" s="27">
        <f t="shared" si="87"/>
        <v>12</v>
      </c>
      <c r="E1140" s="27">
        <f t="shared" si="88"/>
        <v>6</v>
      </c>
      <c r="F1140" s="27">
        <f>VLOOKUP(E1140,[1]t_calendarioPolitica!A:C,3,FALSE)</f>
        <v>1</v>
      </c>
      <c r="G1140" s="1">
        <v>1</v>
      </c>
      <c r="H1140" s="1">
        <v>1</v>
      </c>
      <c r="I1140" s="1">
        <f t="shared" si="89"/>
        <v>1</v>
      </c>
    </row>
    <row r="1141" spans="1:9" x14ac:dyDescent="0.3">
      <c r="A1141" s="26">
        <v>46431</v>
      </c>
      <c r="B1141" s="27">
        <f t="shared" si="85"/>
        <v>2027</v>
      </c>
      <c r="C1141" s="27">
        <f t="shared" si="86"/>
        <v>2</v>
      </c>
      <c r="D1141" s="27">
        <f t="shared" si="87"/>
        <v>13</v>
      </c>
      <c r="E1141" s="27">
        <f t="shared" si="88"/>
        <v>7</v>
      </c>
      <c r="F1141" s="27">
        <f>VLOOKUP(E1141,[1]t_calendarioPolitica!A:C,3,FALSE)</f>
        <v>2</v>
      </c>
      <c r="G1141" s="1">
        <v>1</v>
      </c>
      <c r="H1141" s="1">
        <v>1</v>
      </c>
      <c r="I1141" s="1">
        <f t="shared" si="89"/>
        <v>1</v>
      </c>
    </row>
    <row r="1142" spans="1:9" x14ac:dyDescent="0.3">
      <c r="A1142" s="26">
        <v>46432</v>
      </c>
      <c r="B1142" s="27">
        <f t="shared" si="85"/>
        <v>2027</v>
      </c>
      <c r="C1142" s="27">
        <f t="shared" si="86"/>
        <v>2</v>
      </c>
      <c r="D1142" s="27">
        <f t="shared" si="87"/>
        <v>14</v>
      </c>
      <c r="E1142" s="27">
        <f t="shared" si="88"/>
        <v>1</v>
      </c>
      <c r="F1142" s="27">
        <f>VLOOKUP(E1142,[1]t_calendarioPolitica!A:C,3,FALSE)</f>
        <v>0</v>
      </c>
      <c r="G1142" s="1">
        <v>1</v>
      </c>
      <c r="H1142" s="1">
        <v>1</v>
      </c>
      <c r="I1142" s="1">
        <f t="shared" si="89"/>
        <v>0</v>
      </c>
    </row>
    <row r="1143" spans="1:9" x14ac:dyDescent="0.3">
      <c r="A1143" s="26">
        <v>46433</v>
      </c>
      <c r="B1143" s="27">
        <f t="shared" si="85"/>
        <v>2027</v>
      </c>
      <c r="C1143" s="27">
        <f t="shared" si="86"/>
        <v>2</v>
      </c>
      <c r="D1143" s="27">
        <f t="shared" si="87"/>
        <v>15</v>
      </c>
      <c r="E1143" s="27">
        <f t="shared" si="88"/>
        <v>2</v>
      </c>
      <c r="F1143" s="27">
        <f>VLOOKUP(E1143,[1]t_calendarioPolitica!A:C,3,FALSE)</f>
        <v>1</v>
      </c>
      <c r="G1143" s="1">
        <v>1</v>
      </c>
      <c r="H1143" s="1">
        <v>1</v>
      </c>
      <c r="I1143" s="1">
        <f t="shared" si="89"/>
        <v>1</v>
      </c>
    </row>
    <row r="1144" spans="1:9" x14ac:dyDescent="0.3">
      <c r="A1144" s="26">
        <v>46434</v>
      </c>
      <c r="B1144" s="27">
        <f t="shared" si="85"/>
        <v>2027</v>
      </c>
      <c r="C1144" s="27">
        <f t="shared" si="86"/>
        <v>2</v>
      </c>
      <c r="D1144" s="27">
        <f t="shared" si="87"/>
        <v>16</v>
      </c>
      <c r="E1144" s="27">
        <f t="shared" si="88"/>
        <v>3</v>
      </c>
      <c r="F1144" s="27">
        <f>VLOOKUP(E1144,[1]t_calendarioPolitica!A:C,3,FALSE)</f>
        <v>1</v>
      </c>
      <c r="G1144" s="1">
        <v>1</v>
      </c>
      <c r="H1144" s="1">
        <v>1</v>
      </c>
      <c r="I1144" s="1">
        <f t="shared" si="89"/>
        <v>1</v>
      </c>
    </row>
    <row r="1145" spans="1:9" x14ac:dyDescent="0.3">
      <c r="A1145" s="26">
        <v>46435</v>
      </c>
      <c r="B1145" s="27">
        <f t="shared" si="85"/>
        <v>2027</v>
      </c>
      <c r="C1145" s="27">
        <f t="shared" si="86"/>
        <v>2</v>
      </c>
      <c r="D1145" s="27">
        <f t="shared" si="87"/>
        <v>17</v>
      </c>
      <c r="E1145" s="27">
        <f t="shared" si="88"/>
        <v>4</v>
      </c>
      <c r="F1145" s="27">
        <f>VLOOKUP(E1145,[1]t_calendarioPolitica!A:C,3,FALSE)</f>
        <v>1</v>
      </c>
      <c r="G1145" s="1">
        <v>1</v>
      </c>
      <c r="H1145" s="1">
        <v>1</v>
      </c>
      <c r="I1145" s="1">
        <f t="shared" si="89"/>
        <v>1</v>
      </c>
    </row>
    <row r="1146" spans="1:9" x14ac:dyDescent="0.3">
      <c r="A1146" s="26">
        <v>46436</v>
      </c>
      <c r="B1146" s="27">
        <f t="shared" si="85"/>
        <v>2027</v>
      </c>
      <c r="C1146" s="27">
        <f t="shared" si="86"/>
        <v>2</v>
      </c>
      <c r="D1146" s="27">
        <f t="shared" si="87"/>
        <v>18</v>
      </c>
      <c r="E1146" s="27">
        <f t="shared" si="88"/>
        <v>5</v>
      </c>
      <c r="F1146" s="27">
        <f>VLOOKUP(E1146,[1]t_calendarioPolitica!A:C,3,FALSE)</f>
        <v>1</v>
      </c>
      <c r="G1146" s="1">
        <v>1</v>
      </c>
      <c r="H1146" s="1">
        <v>1</v>
      </c>
      <c r="I1146" s="1">
        <f t="shared" si="89"/>
        <v>1</v>
      </c>
    </row>
    <row r="1147" spans="1:9" x14ac:dyDescent="0.3">
      <c r="A1147" s="26">
        <v>46437</v>
      </c>
      <c r="B1147" s="27">
        <f t="shared" si="85"/>
        <v>2027</v>
      </c>
      <c r="C1147" s="27">
        <f t="shared" si="86"/>
        <v>2</v>
      </c>
      <c r="D1147" s="27">
        <f t="shared" si="87"/>
        <v>19</v>
      </c>
      <c r="E1147" s="27">
        <f t="shared" si="88"/>
        <v>6</v>
      </c>
      <c r="F1147" s="27">
        <f>VLOOKUP(E1147,[1]t_calendarioPolitica!A:C,3,FALSE)</f>
        <v>1</v>
      </c>
      <c r="G1147" s="1">
        <v>1</v>
      </c>
      <c r="H1147" s="1">
        <v>1</v>
      </c>
      <c r="I1147" s="1">
        <f t="shared" si="89"/>
        <v>1</v>
      </c>
    </row>
    <row r="1148" spans="1:9" x14ac:dyDescent="0.3">
      <c r="A1148" s="26">
        <v>46438</v>
      </c>
      <c r="B1148" s="27">
        <f t="shared" si="85"/>
        <v>2027</v>
      </c>
      <c r="C1148" s="27">
        <f t="shared" si="86"/>
        <v>2</v>
      </c>
      <c r="D1148" s="27">
        <f t="shared" si="87"/>
        <v>20</v>
      </c>
      <c r="E1148" s="27">
        <f t="shared" si="88"/>
        <v>7</v>
      </c>
      <c r="F1148" s="27">
        <f>VLOOKUP(E1148,[1]t_calendarioPolitica!A:C,3,FALSE)</f>
        <v>2</v>
      </c>
      <c r="G1148" s="1">
        <v>1</v>
      </c>
      <c r="H1148" s="1">
        <v>1</v>
      </c>
      <c r="I1148" s="1">
        <f t="shared" si="89"/>
        <v>1</v>
      </c>
    </row>
    <row r="1149" spans="1:9" x14ac:dyDescent="0.3">
      <c r="A1149" s="26">
        <v>46439</v>
      </c>
      <c r="B1149" s="27">
        <f t="shared" si="85"/>
        <v>2027</v>
      </c>
      <c r="C1149" s="27">
        <f t="shared" si="86"/>
        <v>2</v>
      </c>
      <c r="D1149" s="27">
        <f t="shared" si="87"/>
        <v>21</v>
      </c>
      <c r="E1149" s="27">
        <f t="shared" si="88"/>
        <v>1</v>
      </c>
      <c r="F1149" s="27">
        <f>VLOOKUP(E1149,[1]t_calendarioPolitica!A:C,3,FALSE)</f>
        <v>0</v>
      </c>
      <c r="G1149" s="1">
        <v>1</v>
      </c>
      <c r="H1149" s="1">
        <v>1</v>
      </c>
      <c r="I1149" s="1">
        <f t="shared" si="89"/>
        <v>0</v>
      </c>
    </row>
    <row r="1150" spans="1:9" x14ac:dyDescent="0.3">
      <c r="A1150" s="26">
        <v>46440</v>
      </c>
      <c r="B1150" s="27">
        <f t="shared" si="85"/>
        <v>2027</v>
      </c>
      <c r="C1150" s="27">
        <f t="shared" si="86"/>
        <v>2</v>
      </c>
      <c r="D1150" s="27">
        <f t="shared" si="87"/>
        <v>22</v>
      </c>
      <c r="E1150" s="27">
        <f t="shared" si="88"/>
        <v>2</v>
      </c>
      <c r="F1150" s="27">
        <f>VLOOKUP(E1150,[1]t_calendarioPolitica!A:C,3,FALSE)</f>
        <v>1</v>
      </c>
      <c r="G1150" s="1">
        <v>1</v>
      </c>
      <c r="H1150" s="1">
        <v>1</v>
      </c>
      <c r="I1150" s="1">
        <f t="shared" si="89"/>
        <v>1</v>
      </c>
    </row>
    <row r="1151" spans="1:9" x14ac:dyDescent="0.3">
      <c r="A1151" s="26">
        <v>46441</v>
      </c>
      <c r="B1151" s="27">
        <f t="shared" si="85"/>
        <v>2027</v>
      </c>
      <c r="C1151" s="27">
        <f t="shared" si="86"/>
        <v>2</v>
      </c>
      <c r="D1151" s="27">
        <f t="shared" si="87"/>
        <v>23</v>
      </c>
      <c r="E1151" s="27">
        <f t="shared" si="88"/>
        <v>3</v>
      </c>
      <c r="F1151" s="27">
        <f>VLOOKUP(E1151,[1]t_calendarioPolitica!A:C,3,FALSE)</f>
        <v>1</v>
      </c>
      <c r="G1151" s="1">
        <v>1</v>
      </c>
      <c r="H1151" s="1">
        <v>1</v>
      </c>
      <c r="I1151" s="1">
        <f t="shared" si="89"/>
        <v>1</v>
      </c>
    </row>
    <row r="1152" spans="1:9" x14ac:dyDescent="0.3">
      <c r="A1152" s="26">
        <v>46442</v>
      </c>
      <c r="B1152" s="27">
        <f t="shared" si="85"/>
        <v>2027</v>
      </c>
      <c r="C1152" s="27">
        <f t="shared" si="86"/>
        <v>2</v>
      </c>
      <c r="D1152" s="27">
        <f t="shared" si="87"/>
        <v>24</v>
      </c>
      <c r="E1152" s="27">
        <f t="shared" si="88"/>
        <v>4</v>
      </c>
      <c r="F1152" s="27">
        <f>VLOOKUP(E1152,[1]t_calendarioPolitica!A:C,3,FALSE)</f>
        <v>1</v>
      </c>
      <c r="G1152" s="1">
        <v>1</v>
      </c>
      <c r="H1152" s="1">
        <v>1</v>
      </c>
      <c r="I1152" s="1">
        <f t="shared" si="89"/>
        <v>1</v>
      </c>
    </row>
    <row r="1153" spans="1:9" x14ac:dyDescent="0.3">
      <c r="A1153" s="26">
        <v>46443</v>
      </c>
      <c r="B1153" s="27">
        <f t="shared" si="85"/>
        <v>2027</v>
      </c>
      <c r="C1153" s="27">
        <f t="shared" si="86"/>
        <v>2</v>
      </c>
      <c r="D1153" s="27">
        <f t="shared" si="87"/>
        <v>25</v>
      </c>
      <c r="E1153" s="27">
        <f t="shared" si="88"/>
        <v>5</v>
      </c>
      <c r="F1153" s="27">
        <f>VLOOKUP(E1153,[1]t_calendarioPolitica!A:C,3,FALSE)</f>
        <v>1</v>
      </c>
      <c r="G1153" s="1">
        <v>1</v>
      </c>
      <c r="H1153" s="1">
        <v>1</v>
      </c>
      <c r="I1153" s="1">
        <f t="shared" si="89"/>
        <v>1</v>
      </c>
    </row>
    <row r="1154" spans="1:9" x14ac:dyDescent="0.3">
      <c r="A1154" s="26">
        <v>46444</v>
      </c>
      <c r="B1154" s="27">
        <f t="shared" si="85"/>
        <v>2027</v>
      </c>
      <c r="C1154" s="27">
        <f t="shared" si="86"/>
        <v>2</v>
      </c>
      <c r="D1154" s="27">
        <f t="shared" si="87"/>
        <v>26</v>
      </c>
      <c r="E1154" s="27">
        <f t="shared" si="88"/>
        <v>6</v>
      </c>
      <c r="F1154" s="27">
        <f>VLOOKUP(E1154,[1]t_calendarioPolitica!A:C,3,FALSE)</f>
        <v>1</v>
      </c>
      <c r="G1154" s="1">
        <v>1</v>
      </c>
      <c r="H1154" s="1">
        <v>1</v>
      </c>
      <c r="I1154" s="1">
        <f t="shared" si="89"/>
        <v>1</v>
      </c>
    </row>
    <row r="1155" spans="1:9" x14ac:dyDescent="0.3">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VLOOKUP(E1155,[1]t_calendarioPolitica!A:C,3,FALSE)</f>
        <v>2</v>
      </c>
      <c r="G1155" s="1">
        <v>1</v>
      </c>
      <c r="H1155" s="1">
        <v>1</v>
      </c>
      <c r="I1155" s="1">
        <f t="shared" ref="I1155:I1218" si="94">IF(AND(F1155&lt;&gt;0, H1155&lt;&gt;0,G1155&lt;&gt;0), 1, 0)</f>
        <v>1</v>
      </c>
    </row>
    <row r="1156" spans="1:9" x14ac:dyDescent="0.3">
      <c r="A1156" s="26">
        <v>46446</v>
      </c>
      <c r="B1156" s="27">
        <f t="shared" si="90"/>
        <v>2027</v>
      </c>
      <c r="C1156" s="27">
        <f t="shared" si="91"/>
        <v>2</v>
      </c>
      <c r="D1156" s="27">
        <f t="shared" si="92"/>
        <v>28</v>
      </c>
      <c r="E1156" s="27">
        <f t="shared" si="93"/>
        <v>1</v>
      </c>
      <c r="F1156" s="27">
        <f>VLOOKUP(E1156,[1]t_calendarioPolitica!A:C,3,FALSE)</f>
        <v>0</v>
      </c>
      <c r="G1156" s="1">
        <v>1</v>
      </c>
      <c r="H1156" s="1">
        <v>1</v>
      </c>
      <c r="I1156" s="1">
        <f t="shared" si="94"/>
        <v>0</v>
      </c>
    </row>
    <row r="1157" spans="1:9" x14ac:dyDescent="0.3">
      <c r="A1157" s="26">
        <v>46447</v>
      </c>
      <c r="B1157" s="27">
        <f t="shared" si="90"/>
        <v>2027</v>
      </c>
      <c r="C1157" s="27">
        <f t="shared" si="91"/>
        <v>3</v>
      </c>
      <c r="D1157" s="27">
        <f t="shared" si="92"/>
        <v>1</v>
      </c>
      <c r="E1157" s="27">
        <f t="shared" si="93"/>
        <v>2</v>
      </c>
      <c r="F1157" s="27">
        <f>VLOOKUP(E1157,[1]t_calendarioPolitica!A:C,3,FALSE)</f>
        <v>1</v>
      </c>
      <c r="G1157" s="1">
        <v>1</v>
      </c>
      <c r="H1157" s="1">
        <v>1</v>
      </c>
      <c r="I1157" s="1">
        <f t="shared" si="94"/>
        <v>1</v>
      </c>
    </row>
    <row r="1158" spans="1:9" x14ac:dyDescent="0.3">
      <c r="A1158" s="26">
        <v>46448</v>
      </c>
      <c r="B1158" s="27">
        <f t="shared" si="90"/>
        <v>2027</v>
      </c>
      <c r="C1158" s="27">
        <f t="shared" si="91"/>
        <v>3</v>
      </c>
      <c r="D1158" s="27">
        <f t="shared" si="92"/>
        <v>2</v>
      </c>
      <c r="E1158" s="27">
        <f t="shared" si="93"/>
        <v>3</v>
      </c>
      <c r="F1158" s="27">
        <f>VLOOKUP(E1158,[1]t_calendarioPolitica!A:C,3,FALSE)</f>
        <v>1</v>
      </c>
      <c r="G1158" s="1">
        <v>1</v>
      </c>
      <c r="H1158" s="1">
        <v>1</v>
      </c>
      <c r="I1158" s="1">
        <f t="shared" si="94"/>
        <v>1</v>
      </c>
    </row>
    <row r="1159" spans="1:9" x14ac:dyDescent="0.3">
      <c r="A1159" s="26">
        <v>46449</v>
      </c>
      <c r="B1159" s="27">
        <f t="shared" si="90"/>
        <v>2027</v>
      </c>
      <c r="C1159" s="27">
        <f t="shared" si="91"/>
        <v>3</v>
      </c>
      <c r="D1159" s="27">
        <f t="shared" si="92"/>
        <v>3</v>
      </c>
      <c r="E1159" s="27">
        <f t="shared" si="93"/>
        <v>4</v>
      </c>
      <c r="F1159" s="27">
        <f>VLOOKUP(E1159,[1]t_calendarioPolitica!A:C,3,FALSE)</f>
        <v>1</v>
      </c>
      <c r="G1159" s="1">
        <v>1</v>
      </c>
      <c r="H1159" s="1">
        <v>1</v>
      </c>
      <c r="I1159" s="1">
        <f t="shared" si="94"/>
        <v>1</v>
      </c>
    </row>
    <row r="1160" spans="1:9" x14ac:dyDescent="0.3">
      <c r="A1160" s="26">
        <v>46450</v>
      </c>
      <c r="B1160" s="27">
        <f t="shared" si="90"/>
        <v>2027</v>
      </c>
      <c r="C1160" s="27">
        <f t="shared" si="91"/>
        <v>3</v>
      </c>
      <c r="D1160" s="27">
        <f t="shared" si="92"/>
        <v>4</v>
      </c>
      <c r="E1160" s="27">
        <f t="shared" si="93"/>
        <v>5</v>
      </c>
      <c r="F1160" s="27">
        <f>VLOOKUP(E1160,[1]t_calendarioPolitica!A:C,3,FALSE)</f>
        <v>1</v>
      </c>
      <c r="G1160" s="1">
        <v>1</v>
      </c>
      <c r="H1160" s="1">
        <v>1</v>
      </c>
      <c r="I1160" s="1">
        <f t="shared" si="94"/>
        <v>1</v>
      </c>
    </row>
    <row r="1161" spans="1:9" x14ac:dyDescent="0.3">
      <c r="A1161" s="26">
        <v>46451</v>
      </c>
      <c r="B1161" s="27">
        <f t="shared" si="90"/>
        <v>2027</v>
      </c>
      <c r="C1161" s="27">
        <f t="shared" si="91"/>
        <v>3</v>
      </c>
      <c r="D1161" s="27">
        <f t="shared" si="92"/>
        <v>5</v>
      </c>
      <c r="E1161" s="27">
        <f t="shared" si="93"/>
        <v>6</v>
      </c>
      <c r="F1161" s="27">
        <f>VLOOKUP(E1161,[1]t_calendarioPolitica!A:C,3,FALSE)</f>
        <v>1</v>
      </c>
      <c r="G1161" s="1">
        <v>1</v>
      </c>
      <c r="H1161" s="1">
        <v>1</v>
      </c>
      <c r="I1161" s="1">
        <f t="shared" si="94"/>
        <v>1</v>
      </c>
    </row>
    <row r="1162" spans="1:9" x14ac:dyDescent="0.3">
      <c r="A1162" s="26">
        <v>46452</v>
      </c>
      <c r="B1162" s="27">
        <f t="shared" si="90"/>
        <v>2027</v>
      </c>
      <c r="C1162" s="27">
        <f t="shared" si="91"/>
        <v>3</v>
      </c>
      <c r="D1162" s="27">
        <f t="shared" si="92"/>
        <v>6</v>
      </c>
      <c r="E1162" s="27">
        <f t="shared" si="93"/>
        <v>7</v>
      </c>
      <c r="F1162" s="27">
        <f>VLOOKUP(E1162,[1]t_calendarioPolitica!A:C,3,FALSE)</f>
        <v>2</v>
      </c>
      <c r="G1162" s="1">
        <v>1</v>
      </c>
      <c r="H1162" s="1">
        <v>1</v>
      </c>
      <c r="I1162" s="1">
        <f t="shared" si="94"/>
        <v>1</v>
      </c>
    </row>
    <row r="1163" spans="1:9" x14ac:dyDescent="0.3">
      <c r="A1163" s="26">
        <v>46453</v>
      </c>
      <c r="B1163" s="27">
        <f t="shared" si="90"/>
        <v>2027</v>
      </c>
      <c r="C1163" s="27">
        <f t="shared" si="91"/>
        <v>3</v>
      </c>
      <c r="D1163" s="27">
        <f t="shared" si="92"/>
        <v>7</v>
      </c>
      <c r="E1163" s="27">
        <f t="shared" si="93"/>
        <v>1</v>
      </c>
      <c r="F1163" s="27">
        <f>VLOOKUP(E1163,[1]t_calendarioPolitica!A:C,3,FALSE)</f>
        <v>0</v>
      </c>
      <c r="G1163" s="1">
        <v>1</v>
      </c>
      <c r="H1163" s="1">
        <v>1</v>
      </c>
      <c r="I1163" s="1">
        <f t="shared" si="94"/>
        <v>0</v>
      </c>
    </row>
    <row r="1164" spans="1:9" x14ac:dyDescent="0.3">
      <c r="A1164" s="26">
        <v>46454</v>
      </c>
      <c r="B1164" s="27">
        <f t="shared" si="90"/>
        <v>2027</v>
      </c>
      <c r="C1164" s="27">
        <f t="shared" si="91"/>
        <v>3</v>
      </c>
      <c r="D1164" s="27">
        <f t="shared" si="92"/>
        <v>8</v>
      </c>
      <c r="E1164" s="27">
        <f t="shared" si="93"/>
        <v>2</v>
      </c>
      <c r="F1164" s="27">
        <f>VLOOKUP(E1164,[1]t_calendarioPolitica!A:C,3,FALSE)</f>
        <v>1</v>
      </c>
      <c r="G1164" s="1">
        <v>1</v>
      </c>
      <c r="H1164" s="1">
        <v>1</v>
      </c>
      <c r="I1164" s="1">
        <f t="shared" si="94"/>
        <v>1</v>
      </c>
    </row>
    <row r="1165" spans="1:9" x14ac:dyDescent="0.3">
      <c r="A1165" s="26">
        <v>46455</v>
      </c>
      <c r="B1165" s="27">
        <f t="shared" si="90"/>
        <v>2027</v>
      </c>
      <c r="C1165" s="27">
        <f t="shared" si="91"/>
        <v>3</v>
      </c>
      <c r="D1165" s="27">
        <f t="shared" si="92"/>
        <v>9</v>
      </c>
      <c r="E1165" s="27">
        <f t="shared" si="93"/>
        <v>3</v>
      </c>
      <c r="F1165" s="27">
        <f>VLOOKUP(E1165,[1]t_calendarioPolitica!A:C,3,FALSE)</f>
        <v>1</v>
      </c>
      <c r="G1165" s="1">
        <v>1</v>
      </c>
      <c r="H1165" s="1">
        <v>1</v>
      </c>
      <c r="I1165" s="1">
        <f t="shared" si="94"/>
        <v>1</v>
      </c>
    </row>
    <row r="1166" spans="1:9" x14ac:dyDescent="0.3">
      <c r="A1166" s="26">
        <v>46456</v>
      </c>
      <c r="B1166" s="27">
        <f t="shared" si="90"/>
        <v>2027</v>
      </c>
      <c r="C1166" s="27">
        <f t="shared" si="91"/>
        <v>3</v>
      </c>
      <c r="D1166" s="27">
        <f t="shared" si="92"/>
        <v>10</v>
      </c>
      <c r="E1166" s="27">
        <f t="shared" si="93"/>
        <v>4</v>
      </c>
      <c r="F1166" s="27">
        <f>VLOOKUP(E1166,[1]t_calendarioPolitica!A:C,3,FALSE)</f>
        <v>1</v>
      </c>
      <c r="G1166" s="1">
        <v>1</v>
      </c>
      <c r="H1166" s="1">
        <v>1</v>
      </c>
      <c r="I1166" s="1">
        <f t="shared" si="94"/>
        <v>1</v>
      </c>
    </row>
    <row r="1167" spans="1:9" x14ac:dyDescent="0.3">
      <c r="A1167" s="26">
        <v>46457</v>
      </c>
      <c r="B1167" s="27">
        <f t="shared" si="90"/>
        <v>2027</v>
      </c>
      <c r="C1167" s="27">
        <f t="shared" si="91"/>
        <v>3</v>
      </c>
      <c r="D1167" s="27">
        <f t="shared" si="92"/>
        <v>11</v>
      </c>
      <c r="E1167" s="27">
        <f t="shared" si="93"/>
        <v>5</v>
      </c>
      <c r="F1167" s="27">
        <f>VLOOKUP(E1167,[1]t_calendarioPolitica!A:C,3,FALSE)</f>
        <v>1</v>
      </c>
      <c r="G1167" s="1">
        <v>1</v>
      </c>
      <c r="H1167" s="1">
        <v>1</v>
      </c>
      <c r="I1167" s="1">
        <f t="shared" si="94"/>
        <v>1</v>
      </c>
    </row>
    <row r="1168" spans="1:9" x14ac:dyDescent="0.3">
      <c r="A1168" s="26">
        <v>46458</v>
      </c>
      <c r="B1168" s="27">
        <f t="shared" si="90"/>
        <v>2027</v>
      </c>
      <c r="C1168" s="27">
        <f t="shared" si="91"/>
        <v>3</v>
      </c>
      <c r="D1168" s="27">
        <f t="shared" si="92"/>
        <v>12</v>
      </c>
      <c r="E1168" s="27">
        <f t="shared" si="93"/>
        <v>6</v>
      </c>
      <c r="F1168" s="27">
        <f>VLOOKUP(E1168,[1]t_calendarioPolitica!A:C,3,FALSE)</f>
        <v>1</v>
      </c>
      <c r="G1168" s="1">
        <v>1</v>
      </c>
      <c r="H1168" s="1">
        <v>1</v>
      </c>
      <c r="I1168" s="1">
        <f t="shared" si="94"/>
        <v>1</v>
      </c>
    </row>
    <row r="1169" spans="1:9" x14ac:dyDescent="0.3">
      <c r="A1169" s="26">
        <v>46459</v>
      </c>
      <c r="B1169" s="27">
        <f t="shared" si="90"/>
        <v>2027</v>
      </c>
      <c r="C1169" s="27">
        <f t="shared" si="91"/>
        <v>3</v>
      </c>
      <c r="D1169" s="27">
        <f t="shared" si="92"/>
        <v>13</v>
      </c>
      <c r="E1169" s="27">
        <f t="shared" si="93"/>
        <v>7</v>
      </c>
      <c r="F1169" s="27">
        <f>VLOOKUP(E1169,[1]t_calendarioPolitica!A:C,3,FALSE)</f>
        <v>2</v>
      </c>
      <c r="G1169" s="1">
        <v>1</v>
      </c>
      <c r="H1169" s="1">
        <v>1</v>
      </c>
      <c r="I1169" s="1">
        <f t="shared" si="94"/>
        <v>1</v>
      </c>
    </row>
    <row r="1170" spans="1:9" x14ac:dyDescent="0.3">
      <c r="A1170" s="26">
        <v>46460</v>
      </c>
      <c r="B1170" s="27">
        <f t="shared" si="90"/>
        <v>2027</v>
      </c>
      <c r="C1170" s="27">
        <f t="shared" si="91"/>
        <v>3</v>
      </c>
      <c r="D1170" s="27">
        <f t="shared" si="92"/>
        <v>14</v>
      </c>
      <c r="E1170" s="27">
        <f t="shared" si="93"/>
        <v>1</v>
      </c>
      <c r="F1170" s="27">
        <f>VLOOKUP(E1170,[1]t_calendarioPolitica!A:C,3,FALSE)</f>
        <v>0</v>
      </c>
      <c r="G1170" s="1">
        <v>1</v>
      </c>
      <c r="H1170" s="1">
        <v>1</v>
      </c>
      <c r="I1170" s="1">
        <f t="shared" si="94"/>
        <v>0</v>
      </c>
    </row>
    <row r="1171" spans="1:9" x14ac:dyDescent="0.3">
      <c r="A1171" s="26">
        <v>46461</v>
      </c>
      <c r="B1171" s="27">
        <f t="shared" si="90"/>
        <v>2027</v>
      </c>
      <c r="C1171" s="27">
        <f t="shared" si="91"/>
        <v>3</v>
      </c>
      <c r="D1171" s="27">
        <f t="shared" si="92"/>
        <v>15</v>
      </c>
      <c r="E1171" s="27">
        <f t="shared" si="93"/>
        <v>2</v>
      </c>
      <c r="F1171" s="27">
        <f>VLOOKUP(E1171,[1]t_calendarioPolitica!A:C,3,FALSE)</f>
        <v>1</v>
      </c>
      <c r="G1171" s="1">
        <v>1</v>
      </c>
      <c r="H1171" s="1">
        <v>1</v>
      </c>
      <c r="I1171" s="1">
        <f t="shared" si="94"/>
        <v>1</v>
      </c>
    </row>
    <row r="1172" spans="1:9" x14ac:dyDescent="0.3">
      <c r="A1172" s="26">
        <v>46462</v>
      </c>
      <c r="B1172" s="27">
        <f t="shared" si="90"/>
        <v>2027</v>
      </c>
      <c r="C1172" s="27">
        <f t="shared" si="91"/>
        <v>3</v>
      </c>
      <c r="D1172" s="27">
        <f t="shared" si="92"/>
        <v>16</v>
      </c>
      <c r="E1172" s="27">
        <f t="shared" si="93"/>
        <v>3</v>
      </c>
      <c r="F1172" s="27">
        <f>VLOOKUP(E1172,[1]t_calendarioPolitica!A:C,3,FALSE)</f>
        <v>1</v>
      </c>
      <c r="G1172" s="1">
        <v>1</v>
      </c>
      <c r="H1172" s="1">
        <v>1</v>
      </c>
      <c r="I1172" s="1">
        <f t="shared" si="94"/>
        <v>1</v>
      </c>
    </row>
    <row r="1173" spans="1:9" x14ac:dyDescent="0.3">
      <c r="A1173" s="26">
        <v>46463</v>
      </c>
      <c r="B1173" s="27">
        <f t="shared" si="90"/>
        <v>2027</v>
      </c>
      <c r="C1173" s="27">
        <f t="shared" si="91"/>
        <v>3</v>
      </c>
      <c r="D1173" s="27">
        <f t="shared" si="92"/>
        <v>17</v>
      </c>
      <c r="E1173" s="27">
        <f t="shared" si="93"/>
        <v>4</v>
      </c>
      <c r="F1173" s="27">
        <f>VLOOKUP(E1173,[1]t_calendarioPolitica!A:C,3,FALSE)</f>
        <v>1</v>
      </c>
      <c r="G1173" s="1">
        <v>1</v>
      </c>
      <c r="H1173" s="1">
        <v>1</v>
      </c>
      <c r="I1173" s="1">
        <f t="shared" si="94"/>
        <v>1</v>
      </c>
    </row>
    <row r="1174" spans="1:9" x14ac:dyDescent="0.3">
      <c r="A1174" s="26">
        <v>46464</v>
      </c>
      <c r="B1174" s="27">
        <f t="shared" si="90"/>
        <v>2027</v>
      </c>
      <c r="C1174" s="27">
        <f t="shared" si="91"/>
        <v>3</v>
      </c>
      <c r="D1174" s="27">
        <f t="shared" si="92"/>
        <v>18</v>
      </c>
      <c r="E1174" s="27">
        <f t="shared" si="93"/>
        <v>5</v>
      </c>
      <c r="F1174" s="27">
        <f>VLOOKUP(E1174,[1]t_calendarioPolitica!A:C,3,FALSE)</f>
        <v>1</v>
      </c>
      <c r="G1174" s="1">
        <v>1</v>
      </c>
      <c r="H1174" s="1">
        <v>1</v>
      </c>
      <c r="I1174" s="1">
        <f t="shared" si="94"/>
        <v>1</v>
      </c>
    </row>
    <row r="1175" spans="1:9" x14ac:dyDescent="0.3">
      <c r="A1175" s="26">
        <v>46465</v>
      </c>
      <c r="B1175" s="27">
        <f t="shared" si="90"/>
        <v>2027</v>
      </c>
      <c r="C1175" s="27">
        <f t="shared" si="91"/>
        <v>3</v>
      </c>
      <c r="D1175" s="27">
        <f t="shared" si="92"/>
        <v>19</v>
      </c>
      <c r="E1175" s="27">
        <f t="shared" si="93"/>
        <v>6</v>
      </c>
      <c r="F1175" s="27">
        <f>VLOOKUP(E1175,[1]t_calendarioPolitica!A:C,3,FALSE)</f>
        <v>1</v>
      </c>
      <c r="G1175" s="1">
        <v>1</v>
      </c>
      <c r="H1175" s="1">
        <v>1</v>
      </c>
      <c r="I1175" s="1">
        <f t="shared" si="94"/>
        <v>1</v>
      </c>
    </row>
    <row r="1176" spans="1:9" x14ac:dyDescent="0.3">
      <c r="A1176" s="26">
        <v>46466</v>
      </c>
      <c r="B1176" s="27">
        <f t="shared" si="90"/>
        <v>2027</v>
      </c>
      <c r="C1176" s="27">
        <f t="shared" si="91"/>
        <v>3</v>
      </c>
      <c r="D1176" s="27">
        <f t="shared" si="92"/>
        <v>20</v>
      </c>
      <c r="E1176" s="27">
        <f t="shared" si="93"/>
        <v>7</v>
      </c>
      <c r="F1176" s="27">
        <f>VLOOKUP(E1176,[1]t_calendarioPolitica!A:C,3,FALSE)</f>
        <v>2</v>
      </c>
      <c r="G1176" s="1">
        <v>1</v>
      </c>
      <c r="H1176" s="1">
        <v>1</v>
      </c>
      <c r="I1176" s="1">
        <f t="shared" si="94"/>
        <v>1</v>
      </c>
    </row>
    <row r="1177" spans="1:9" x14ac:dyDescent="0.3">
      <c r="A1177" s="26">
        <v>46467</v>
      </c>
      <c r="B1177" s="27">
        <f t="shared" si="90"/>
        <v>2027</v>
      </c>
      <c r="C1177" s="27">
        <f t="shared" si="91"/>
        <v>3</v>
      </c>
      <c r="D1177" s="27">
        <f t="shared" si="92"/>
        <v>21</v>
      </c>
      <c r="E1177" s="27">
        <f t="shared" si="93"/>
        <v>1</v>
      </c>
      <c r="F1177" s="27">
        <f>VLOOKUP(E1177,[1]t_calendarioPolitica!A:C,3,FALSE)</f>
        <v>0</v>
      </c>
      <c r="G1177" s="1">
        <v>1</v>
      </c>
      <c r="H1177" s="1">
        <v>1</v>
      </c>
      <c r="I1177" s="1">
        <f t="shared" si="94"/>
        <v>0</v>
      </c>
    </row>
    <row r="1178" spans="1:9" x14ac:dyDescent="0.3">
      <c r="A1178" s="26">
        <v>46468</v>
      </c>
      <c r="B1178" s="27">
        <f t="shared" si="90"/>
        <v>2027</v>
      </c>
      <c r="C1178" s="27">
        <f t="shared" si="91"/>
        <v>3</v>
      </c>
      <c r="D1178" s="27">
        <f t="shared" si="92"/>
        <v>22</v>
      </c>
      <c r="E1178" s="27">
        <f t="shared" si="93"/>
        <v>2</v>
      </c>
      <c r="F1178" s="27">
        <f>VLOOKUP(E1178,[1]t_calendarioPolitica!A:C,3,FALSE)</f>
        <v>1</v>
      </c>
      <c r="G1178" s="1">
        <v>1</v>
      </c>
      <c r="H1178" s="1">
        <v>1</v>
      </c>
      <c r="I1178" s="1">
        <f t="shared" si="94"/>
        <v>1</v>
      </c>
    </row>
    <row r="1179" spans="1:9" x14ac:dyDescent="0.3">
      <c r="A1179" s="26">
        <v>46469</v>
      </c>
      <c r="B1179" s="27">
        <f t="shared" si="90"/>
        <v>2027</v>
      </c>
      <c r="C1179" s="27">
        <f t="shared" si="91"/>
        <v>3</v>
      </c>
      <c r="D1179" s="27">
        <f t="shared" si="92"/>
        <v>23</v>
      </c>
      <c r="E1179" s="27">
        <f t="shared" si="93"/>
        <v>3</v>
      </c>
      <c r="F1179" s="27">
        <f>VLOOKUP(E1179,[1]t_calendarioPolitica!A:C,3,FALSE)</f>
        <v>1</v>
      </c>
      <c r="G1179" s="1">
        <v>1</v>
      </c>
      <c r="H1179" s="1">
        <v>1</v>
      </c>
      <c r="I1179" s="1">
        <f t="shared" si="94"/>
        <v>1</v>
      </c>
    </row>
    <row r="1180" spans="1:9" x14ac:dyDescent="0.3">
      <c r="A1180" s="26">
        <v>46470</v>
      </c>
      <c r="B1180" s="27">
        <f t="shared" si="90"/>
        <v>2027</v>
      </c>
      <c r="C1180" s="27">
        <f t="shared" si="91"/>
        <v>3</v>
      </c>
      <c r="D1180" s="27">
        <f t="shared" si="92"/>
        <v>24</v>
      </c>
      <c r="E1180" s="27">
        <f t="shared" si="93"/>
        <v>4</v>
      </c>
      <c r="F1180" s="27">
        <f>VLOOKUP(E1180,[1]t_calendarioPolitica!A:C,3,FALSE)</f>
        <v>1</v>
      </c>
      <c r="G1180" s="1">
        <v>1</v>
      </c>
      <c r="H1180" s="1">
        <v>1</v>
      </c>
      <c r="I1180" s="1">
        <f t="shared" si="94"/>
        <v>1</v>
      </c>
    </row>
    <row r="1181" spans="1:9" x14ac:dyDescent="0.3">
      <c r="A1181" s="26">
        <v>46471</v>
      </c>
      <c r="B1181" s="27">
        <f t="shared" si="90"/>
        <v>2027</v>
      </c>
      <c r="C1181" s="27">
        <f t="shared" si="91"/>
        <v>3</v>
      </c>
      <c r="D1181" s="27">
        <f t="shared" si="92"/>
        <v>25</v>
      </c>
      <c r="E1181" s="27">
        <f t="shared" si="93"/>
        <v>5</v>
      </c>
      <c r="F1181" s="27">
        <f>VLOOKUP(E1181,[1]t_calendarioPolitica!A:C,3,FALSE)</f>
        <v>1</v>
      </c>
      <c r="G1181" s="1">
        <v>1</v>
      </c>
      <c r="H1181" s="1">
        <v>1</v>
      </c>
      <c r="I1181" s="1">
        <f t="shared" si="94"/>
        <v>1</v>
      </c>
    </row>
    <row r="1182" spans="1:9" x14ac:dyDescent="0.3">
      <c r="A1182" s="26">
        <v>46472</v>
      </c>
      <c r="B1182" s="27">
        <f t="shared" si="90"/>
        <v>2027</v>
      </c>
      <c r="C1182" s="27">
        <f t="shared" si="91"/>
        <v>3</v>
      </c>
      <c r="D1182" s="27">
        <f t="shared" si="92"/>
        <v>26</v>
      </c>
      <c r="E1182" s="27">
        <f t="shared" si="93"/>
        <v>6</v>
      </c>
      <c r="F1182" s="27">
        <f>VLOOKUP(E1182,[1]t_calendarioPolitica!A:C,3,FALSE)</f>
        <v>1</v>
      </c>
      <c r="G1182" s="1">
        <v>1</v>
      </c>
      <c r="H1182" s="1">
        <v>1</v>
      </c>
      <c r="I1182" s="1">
        <f t="shared" si="94"/>
        <v>1</v>
      </c>
    </row>
    <row r="1183" spans="1:9" x14ac:dyDescent="0.3">
      <c r="A1183" s="26">
        <v>46473</v>
      </c>
      <c r="B1183" s="27">
        <f t="shared" si="90"/>
        <v>2027</v>
      </c>
      <c r="C1183" s="27">
        <f t="shared" si="91"/>
        <v>3</v>
      </c>
      <c r="D1183" s="27">
        <f t="shared" si="92"/>
        <v>27</v>
      </c>
      <c r="E1183" s="27">
        <f t="shared" si="93"/>
        <v>7</v>
      </c>
      <c r="F1183" s="27">
        <f>VLOOKUP(E1183,[1]t_calendarioPolitica!A:C,3,FALSE)</f>
        <v>2</v>
      </c>
      <c r="G1183" s="1">
        <v>1</v>
      </c>
      <c r="H1183" s="1">
        <v>1</v>
      </c>
      <c r="I1183" s="1">
        <f t="shared" si="94"/>
        <v>1</v>
      </c>
    </row>
    <row r="1184" spans="1:9" x14ac:dyDescent="0.3">
      <c r="A1184" s="26">
        <v>46474</v>
      </c>
      <c r="B1184" s="27">
        <f t="shared" si="90"/>
        <v>2027</v>
      </c>
      <c r="C1184" s="27">
        <f t="shared" si="91"/>
        <v>3</v>
      </c>
      <c r="D1184" s="27">
        <f t="shared" si="92"/>
        <v>28</v>
      </c>
      <c r="E1184" s="27">
        <f t="shared" si="93"/>
        <v>1</v>
      </c>
      <c r="F1184" s="27">
        <f>VLOOKUP(E1184,[1]t_calendarioPolitica!A:C,3,FALSE)</f>
        <v>0</v>
      </c>
      <c r="G1184" s="1">
        <v>1</v>
      </c>
      <c r="H1184" s="1">
        <v>1</v>
      </c>
      <c r="I1184" s="1">
        <f t="shared" si="94"/>
        <v>0</v>
      </c>
    </row>
    <row r="1185" spans="1:9" x14ac:dyDescent="0.3">
      <c r="A1185" s="26">
        <v>46475</v>
      </c>
      <c r="B1185" s="27">
        <f t="shared" si="90"/>
        <v>2027</v>
      </c>
      <c r="C1185" s="27">
        <f t="shared" si="91"/>
        <v>3</v>
      </c>
      <c r="D1185" s="27">
        <f t="shared" si="92"/>
        <v>29</v>
      </c>
      <c r="E1185" s="27">
        <f t="shared" si="93"/>
        <v>2</v>
      </c>
      <c r="F1185" s="27">
        <f>VLOOKUP(E1185,[1]t_calendarioPolitica!A:C,3,FALSE)</f>
        <v>1</v>
      </c>
      <c r="G1185" s="1">
        <v>1</v>
      </c>
      <c r="H1185" s="1">
        <v>1</v>
      </c>
      <c r="I1185" s="1">
        <f t="shared" si="94"/>
        <v>1</v>
      </c>
    </row>
    <row r="1186" spans="1:9" x14ac:dyDescent="0.3">
      <c r="A1186" s="26">
        <v>46476</v>
      </c>
      <c r="B1186" s="27">
        <f t="shared" si="90"/>
        <v>2027</v>
      </c>
      <c r="C1186" s="27">
        <f t="shared" si="91"/>
        <v>3</v>
      </c>
      <c r="D1186" s="27">
        <f t="shared" si="92"/>
        <v>30</v>
      </c>
      <c r="E1186" s="27">
        <f t="shared" si="93"/>
        <v>3</v>
      </c>
      <c r="F1186" s="27">
        <f>VLOOKUP(E1186,[1]t_calendarioPolitica!A:C,3,FALSE)</f>
        <v>1</v>
      </c>
      <c r="G1186" s="1">
        <v>1</v>
      </c>
      <c r="H1186" s="1">
        <v>1</v>
      </c>
      <c r="I1186" s="1">
        <f t="shared" si="94"/>
        <v>1</v>
      </c>
    </row>
    <row r="1187" spans="1:9" x14ac:dyDescent="0.3">
      <c r="A1187" s="26">
        <v>46477</v>
      </c>
      <c r="B1187" s="27">
        <f t="shared" si="90"/>
        <v>2027</v>
      </c>
      <c r="C1187" s="27">
        <f t="shared" si="91"/>
        <v>3</v>
      </c>
      <c r="D1187" s="27">
        <f t="shared" si="92"/>
        <v>31</v>
      </c>
      <c r="E1187" s="27">
        <f t="shared" si="93"/>
        <v>4</v>
      </c>
      <c r="F1187" s="27">
        <f>VLOOKUP(E1187,[1]t_calendarioPolitica!A:C,3,FALSE)</f>
        <v>1</v>
      </c>
      <c r="G1187" s="1">
        <v>1</v>
      </c>
      <c r="H1187" s="1">
        <v>1</v>
      </c>
      <c r="I1187" s="1">
        <f t="shared" si="94"/>
        <v>1</v>
      </c>
    </row>
    <row r="1188" spans="1:9" x14ac:dyDescent="0.3">
      <c r="A1188" s="26">
        <v>46478</v>
      </c>
      <c r="B1188" s="27">
        <f t="shared" si="90"/>
        <v>2027</v>
      </c>
      <c r="C1188" s="27">
        <f t="shared" si="91"/>
        <v>4</v>
      </c>
      <c r="D1188" s="27">
        <f t="shared" si="92"/>
        <v>1</v>
      </c>
      <c r="E1188" s="27">
        <f t="shared" si="93"/>
        <v>5</v>
      </c>
      <c r="F1188" s="27">
        <f>VLOOKUP(E1188,[1]t_calendarioPolitica!A:C,3,FALSE)</f>
        <v>1</v>
      </c>
      <c r="G1188" s="1">
        <v>1</v>
      </c>
      <c r="H1188" s="1">
        <v>1</v>
      </c>
      <c r="I1188" s="1">
        <f t="shared" si="94"/>
        <v>1</v>
      </c>
    </row>
    <row r="1189" spans="1:9" x14ac:dyDescent="0.3">
      <c r="A1189" s="26">
        <v>46479</v>
      </c>
      <c r="B1189" s="27">
        <f t="shared" si="90"/>
        <v>2027</v>
      </c>
      <c r="C1189" s="27">
        <f t="shared" si="91"/>
        <v>4</v>
      </c>
      <c r="D1189" s="27">
        <f t="shared" si="92"/>
        <v>2</v>
      </c>
      <c r="E1189" s="27">
        <f t="shared" si="93"/>
        <v>6</v>
      </c>
      <c r="F1189" s="27">
        <f>VLOOKUP(E1189,[1]t_calendarioPolitica!A:C,3,FALSE)</f>
        <v>1</v>
      </c>
      <c r="G1189" s="1">
        <v>1</v>
      </c>
      <c r="H1189" s="1">
        <v>1</v>
      </c>
      <c r="I1189" s="1">
        <f t="shared" si="94"/>
        <v>1</v>
      </c>
    </row>
    <row r="1190" spans="1:9" x14ac:dyDescent="0.3">
      <c r="A1190" s="26">
        <v>46480</v>
      </c>
      <c r="B1190" s="27">
        <f t="shared" si="90"/>
        <v>2027</v>
      </c>
      <c r="C1190" s="27">
        <f t="shared" si="91"/>
        <v>4</v>
      </c>
      <c r="D1190" s="27">
        <f t="shared" si="92"/>
        <v>3</v>
      </c>
      <c r="E1190" s="27">
        <f t="shared" si="93"/>
        <v>7</v>
      </c>
      <c r="F1190" s="27">
        <f>VLOOKUP(E1190,[1]t_calendarioPolitica!A:C,3,FALSE)</f>
        <v>2</v>
      </c>
      <c r="G1190" s="1">
        <v>1</v>
      </c>
      <c r="H1190" s="1">
        <v>1</v>
      </c>
      <c r="I1190" s="1">
        <f t="shared" si="94"/>
        <v>1</v>
      </c>
    </row>
    <row r="1191" spans="1:9" x14ac:dyDescent="0.3">
      <c r="A1191" s="26">
        <v>46481</v>
      </c>
      <c r="B1191" s="27">
        <f t="shared" si="90"/>
        <v>2027</v>
      </c>
      <c r="C1191" s="27">
        <f t="shared" si="91"/>
        <v>4</v>
      </c>
      <c r="D1191" s="27">
        <f t="shared" si="92"/>
        <v>4</v>
      </c>
      <c r="E1191" s="27">
        <f t="shared" si="93"/>
        <v>1</v>
      </c>
      <c r="F1191" s="27">
        <f>VLOOKUP(E1191,[1]t_calendarioPolitica!A:C,3,FALSE)</f>
        <v>0</v>
      </c>
      <c r="G1191" s="1">
        <v>1</v>
      </c>
      <c r="H1191" s="1">
        <v>1</v>
      </c>
      <c r="I1191" s="1">
        <f t="shared" si="94"/>
        <v>0</v>
      </c>
    </row>
    <row r="1192" spans="1:9" x14ac:dyDescent="0.3">
      <c r="A1192" s="26">
        <v>46482</v>
      </c>
      <c r="B1192" s="27">
        <f t="shared" si="90"/>
        <v>2027</v>
      </c>
      <c r="C1192" s="27">
        <f t="shared" si="91"/>
        <v>4</v>
      </c>
      <c r="D1192" s="27">
        <f t="shared" si="92"/>
        <v>5</v>
      </c>
      <c r="E1192" s="27">
        <f t="shared" si="93"/>
        <v>2</v>
      </c>
      <c r="F1192" s="27">
        <f>VLOOKUP(E1192,[1]t_calendarioPolitica!A:C,3,FALSE)</f>
        <v>1</v>
      </c>
      <c r="G1192" s="1">
        <v>1</v>
      </c>
      <c r="H1192" s="1">
        <v>1</v>
      </c>
      <c r="I1192" s="1">
        <f t="shared" si="94"/>
        <v>1</v>
      </c>
    </row>
    <row r="1193" spans="1:9" x14ac:dyDescent="0.3">
      <c r="A1193" s="26">
        <v>46483</v>
      </c>
      <c r="B1193" s="27">
        <f t="shared" si="90"/>
        <v>2027</v>
      </c>
      <c r="C1193" s="27">
        <f t="shared" si="91"/>
        <v>4</v>
      </c>
      <c r="D1193" s="27">
        <f t="shared" si="92"/>
        <v>6</v>
      </c>
      <c r="E1193" s="27">
        <f t="shared" si="93"/>
        <v>3</v>
      </c>
      <c r="F1193" s="27">
        <f>VLOOKUP(E1193,[1]t_calendarioPolitica!A:C,3,FALSE)</f>
        <v>1</v>
      </c>
      <c r="G1193" s="1">
        <v>1</v>
      </c>
      <c r="H1193" s="1">
        <v>1</v>
      </c>
      <c r="I1193" s="1">
        <f t="shared" si="94"/>
        <v>1</v>
      </c>
    </row>
    <row r="1194" spans="1:9" x14ac:dyDescent="0.3">
      <c r="A1194" s="26">
        <v>46484</v>
      </c>
      <c r="B1194" s="27">
        <f t="shared" si="90"/>
        <v>2027</v>
      </c>
      <c r="C1194" s="27">
        <f t="shared" si="91"/>
        <v>4</v>
      </c>
      <c r="D1194" s="27">
        <f t="shared" si="92"/>
        <v>7</v>
      </c>
      <c r="E1194" s="27">
        <f t="shared" si="93"/>
        <v>4</v>
      </c>
      <c r="F1194" s="27">
        <f>VLOOKUP(E1194,[1]t_calendarioPolitica!A:C,3,FALSE)</f>
        <v>1</v>
      </c>
      <c r="G1194" s="1">
        <v>1</v>
      </c>
      <c r="H1194" s="1">
        <v>1</v>
      </c>
      <c r="I1194" s="1">
        <f t="shared" si="94"/>
        <v>1</v>
      </c>
    </row>
    <row r="1195" spans="1:9" x14ac:dyDescent="0.3">
      <c r="A1195" s="26">
        <v>46485</v>
      </c>
      <c r="B1195" s="27">
        <f t="shared" si="90"/>
        <v>2027</v>
      </c>
      <c r="C1195" s="27">
        <f t="shared" si="91"/>
        <v>4</v>
      </c>
      <c r="D1195" s="27">
        <f t="shared" si="92"/>
        <v>8</v>
      </c>
      <c r="E1195" s="27">
        <f t="shared" si="93"/>
        <v>5</v>
      </c>
      <c r="F1195" s="27">
        <f>VLOOKUP(E1195,[1]t_calendarioPolitica!A:C,3,FALSE)</f>
        <v>1</v>
      </c>
      <c r="G1195" s="1">
        <v>1</v>
      </c>
      <c r="H1195" s="1">
        <v>1</v>
      </c>
      <c r="I1195" s="1">
        <f t="shared" si="94"/>
        <v>1</v>
      </c>
    </row>
    <row r="1196" spans="1:9" x14ac:dyDescent="0.3">
      <c r="A1196" s="26">
        <v>46486</v>
      </c>
      <c r="B1196" s="27">
        <f t="shared" si="90"/>
        <v>2027</v>
      </c>
      <c r="C1196" s="27">
        <f t="shared" si="91"/>
        <v>4</v>
      </c>
      <c r="D1196" s="27">
        <f t="shared" si="92"/>
        <v>9</v>
      </c>
      <c r="E1196" s="27">
        <f t="shared" si="93"/>
        <v>6</v>
      </c>
      <c r="F1196" s="27">
        <f>VLOOKUP(E1196,[1]t_calendarioPolitica!A:C,3,FALSE)</f>
        <v>1</v>
      </c>
      <c r="G1196" s="1">
        <v>1</v>
      </c>
      <c r="H1196" s="1">
        <v>1</v>
      </c>
      <c r="I1196" s="1">
        <f t="shared" si="94"/>
        <v>1</v>
      </c>
    </row>
    <row r="1197" spans="1:9" x14ac:dyDescent="0.3">
      <c r="A1197" s="26">
        <v>46487</v>
      </c>
      <c r="B1197" s="27">
        <f t="shared" si="90"/>
        <v>2027</v>
      </c>
      <c r="C1197" s="27">
        <f t="shared" si="91"/>
        <v>4</v>
      </c>
      <c r="D1197" s="27">
        <f t="shared" si="92"/>
        <v>10</v>
      </c>
      <c r="E1197" s="27">
        <f t="shared" si="93"/>
        <v>7</v>
      </c>
      <c r="F1197" s="27">
        <f>VLOOKUP(E1197,[1]t_calendarioPolitica!A:C,3,FALSE)</f>
        <v>2</v>
      </c>
      <c r="G1197" s="1">
        <v>1</v>
      </c>
      <c r="H1197" s="1">
        <v>1</v>
      </c>
      <c r="I1197" s="1">
        <f t="shared" si="94"/>
        <v>1</v>
      </c>
    </row>
    <row r="1198" spans="1:9" x14ac:dyDescent="0.3">
      <c r="A1198" s="26">
        <v>46488</v>
      </c>
      <c r="B1198" s="27">
        <f t="shared" si="90"/>
        <v>2027</v>
      </c>
      <c r="C1198" s="27">
        <f t="shared" si="91"/>
        <v>4</v>
      </c>
      <c r="D1198" s="27">
        <f t="shared" si="92"/>
        <v>11</v>
      </c>
      <c r="E1198" s="27">
        <f t="shared" si="93"/>
        <v>1</v>
      </c>
      <c r="F1198" s="27">
        <f>VLOOKUP(E1198,[1]t_calendarioPolitica!A:C,3,FALSE)</f>
        <v>0</v>
      </c>
      <c r="G1198" s="1">
        <v>1</v>
      </c>
      <c r="H1198" s="1">
        <v>1</v>
      </c>
      <c r="I1198" s="1">
        <f t="shared" si="94"/>
        <v>0</v>
      </c>
    </row>
    <row r="1199" spans="1:9" x14ac:dyDescent="0.3">
      <c r="A1199" s="26">
        <v>46489</v>
      </c>
      <c r="B1199" s="27">
        <f t="shared" si="90"/>
        <v>2027</v>
      </c>
      <c r="C1199" s="27">
        <f t="shared" si="91"/>
        <v>4</v>
      </c>
      <c r="D1199" s="27">
        <f t="shared" si="92"/>
        <v>12</v>
      </c>
      <c r="E1199" s="27">
        <f t="shared" si="93"/>
        <v>2</v>
      </c>
      <c r="F1199" s="27">
        <f>VLOOKUP(E1199,[1]t_calendarioPolitica!A:C,3,FALSE)</f>
        <v>1</v>
      </c>
      <c r="G1199" s="1">
        <v>1</v>
      </c>
      <c r="H1199" s="1">
        <v>1</v>
      </c>
      <c r="I1199" s="1">
        <f t="shared" si="94"/>
        <v>1</v>
      </c>
    </row>
    <row r="1200" spans="1:9" x14ac:dyDescent="0.3">
      <c r="A1200" s="26">
        <v>46490</v>
      </c>
      <c r="B1200" s="27">
        <f t="shared" si="90"/>
        <v>2027</v>
      </c>
      <c r="C1200" s="27">
        <f t="shared" si="91"/>
        <v>4</v>
      </c>
      <c r="D1200" s="27">
        <f t="shared" si="92"/>
        <v>13</v>
      </c>
      <c r="E1200" s="27">
        <f t="shared" si="93"/>
        <v>3</v>
      </c>
      <c r="F1200" s="27">
        <f>VLOOKUP(E1200,[1]t_calendarioPolitica!A:C,3,FALSE)</f>
        <v>1</v>
      </c>
      <c r="G1200" s="1">
        <v>1</v>
      </c>
      <c r="H1200" s="1">
        <v>1</v>
      </c>
      <c r="I1200" s="1">
        <f t="shared" si="94"/>
        <v>1</v>
      </c>
    </row>
    <row r="1201" spans="1:9" x14ac:dyDescent="0.3">
      <c r="A1201" s="26">
        <v>46491</v>
      </c>
      <c r="B1201" s="27">
        <f t="shared" si="90"/>
        <v>2027</v>
      </c>
      <c r="C1201" s="27">
        <f t="shared" si="91"/>
        <v>4</v>
      </c>
      <c r="D1201" s="27">
        <f t="shared" si="92"/>
        <v>14</v>
      </c>
      <c r="E1201" s="27">
        <f t="shared" si="93"/>
        <v>4</v>
      </c>
      <c r="F1201" s="27">
        <f>VLOOKUP(E1201,[1]t_calendarioPolitica!A:C,3,FALSE)</f>
        <v>1</v>
      </c>
      <c r="G1201" s="1">
        <v>1</v>
      </c>
      <c r="H1201" s="1">
        <v>1</v>
      </c>
      <c r="I1201" s="1">
        <f t="shared" si="94"/>
        <v>1</v>
      </c>
    </row>
    <row r="1202" spans="1:9" x14ac:dyDescent="0.3">
      <c r="A1202" s="26">
        <v>46492</v>
      </c>
      <c r="B1202" s="27">
        <f t="shared" si="90"/>
        <v>2027</v>
      </c>
      <c r="C1202" s="27">
        <f t="shared" si="91"/>
        <v>4</v>
      </c>
      <c r="D1202" s="27">
        <f t="shared" si="92"/>
        <v>15</v>
      </c>
      <c r="E1202" s="27">
        <f t="shared" si="93"/>
        <v>5</v>
      </c>
      <c r="F1202" s="27">
        <f>VLOOKUP(E1202,[1]t_calendarioPolitica!A:C,3,FALSE)</f>
        <v>1</v>
      </c>
      <c r="G1202" s="1">
        <v>1</v>
      </c>
      <c r="H1202" s="1">
        <v>1</v>
      </c>
      <c r="I1202" s="1">
        <f t="shared" si="94"/>
        <v>1</v>
      </c>
    </row>
    <row r="1203" spans="1:9" x14ac:dyDescent="0.3">
      <c r="A1203" s="26">
        <v>46493</v>
      </c>
      <c r="B1203" s="27">
        <f t="shared" si="90"/>
        <v>2027</v>
      </c>
      <c r="C1203" s="27">
        <f t="shared" si="91"/>
        <v>4</v>
      </c>
      <c r="D1203" s="27">
        <f t="shared" si="92"/>
        <v>16</v>
      </c>
      <c r="E1203" s="27">
        <f t="shared" si="93"/>
        <v>6</v>
      </c>
      <c r="F1203" s="27">
        <f>VLOOKUP(E1203,[1]t_calendarioPolitica!A:C,3,FALSE)</f>
        <v>1</v>
      </c>
      <c r="G1203" s="1">
        <v>1</v>
      </c>
      <c r="H1203" s="1">
        <v>1</v>
      </c>
      <c r="I1203" s="1">
        <f t="shared" si="94"/>
        <v>1</v>
      </c>
    </row>
    <row r="1204" spans="1:9" x14ac:dyDescent="0.3">
      <c r="A1204" s="26">
        <v>46494</v>
      </c>
      <c r="B1204" s="27">
        <f t="shared" si="90"/>
        <v>2027</v>
      </c>
      <c r="C1204" s="27">
        <f t="shared" si="91"/>
        <v>4</v>
      </c>
      <c r="D1204" s="27">
        <f t="shared" si="92"/>
        <v>17</v>
      </c>
      <c r="E1204" s="27">
        <f t="shared" si="93"/>
        <v>7</v>
      </c>
      <c r="F1204" s="27">
        <f>VLOOKUP(E1204,[1]t_calendarioPolitica!A:C,3,FALSE)</f>
        <v>2</v>
      </c>
      <c r="G1204" s="1">
        <v>1</v>
      </c>
      <c r="H1204" s="1">
        <v>1</v>
      </c>
      <c r="I1204" s="1">
        <f t="shared" si="94"/>
        <v>1</v>
      </c>
    </row>
    <row r="1205" spans="1:9" x14ac:dyDescent="0.3">
      <c r="A1205" s="26">
        <v>46495</v>
      </c>
      <c r="B1205" s="27">
        <f t="shared" si="90"/>
        <v>2027</v>
      </c>
      <c r="C1205" s="27">
        <f t="shared" si="91"/>
        <v>4</v>
      </c>
      <c r="D1205" s="27">
        <f t="shared" si="92"/>
        <v>18</v>
      </c>
      <c r="E1205" s="27">
        <f t="shared" si="93"/>
        <v>1</v>
      </c>
      <c r="F1205" s="27">
        <f>VLOOKUP(E1205,[1]t_calendarioPolitica!A:C,3,FALSE)</f>
        <v>0</v>
      </c>
      <c r="G1205" s="1">
        <v>1</v>
      </c>
      <c r="H1205" s="1">
        <v>1</v>
      </c>
      <c r="I1205" s="1">
        <f t="shared" si="94"/>
        <v>0</v>
      </c>
    </row>
    <row r="1206" spans="1:9" x14ac:dyDescent="0.3">
      <c r="A1206" s="26">
        <v>46496</v>
      </c>
      <c r="B1206" s="27">
        <f t="shared" si="90"/>
        <v>2027</v>
      </c>
      <c r="C1206" s="27">
        <f t="shared" si="91"/>
        <v>4</v>
      </c>
      <c r="D1206" s="27">
        <f t="shared" si="92"/>
        <v>19</v>
      </c>
      <c r="E1206" s="27">
        <f t="shared" si="93"/>
        <v>2</v>
      </c>
      <c r="F1206" s="27">
        <f>VLOOKUP(E1206,[1]t_calendarioPolitica!A:C,3,FALSE)</f>
        <v>1</v>
      </c>
      <c r="G1206" s="1">
        <v>1</v>
      </c>
      <c r="H1206" s="1">
        <v>1</v>
      </c>
      <c r="I1206" s="1">
        <f t="shared" si="94"/>
        <v>1</v>
      </c>
    </row>
    <row r="1207" spans="1:9" x14ac:dyDescent="0.3">
      <c r="A1207" s="26">
        <v>46497</v>
      </c>
      <c r="B1207" s="27">
        <f t="shared" si="90"/>
        <v>2027</v>
      </c>
      <c r="C1207" s="27">
        <f t="shared" si="91"/>
        <v>4</v>
      </c>
      <c r="D1207" s="27">
        <f t="shared" si="92"/>
        <v>20</v>
      </c>
      <c r="E1207" s="27">
        <f t="shared" si="93"/>
        <v>3</v>
      </c>
      <c r="F1207" s="27">
        <f>VLOOKUP(E1207,[1]t_calendarioPolitica!A:C,3,FALSE)</f>
        <v>1</v>
      </c>
      <c r="G1207" s="1">
        <v>1</v>
      </c>
      <c r="H1207" s="1">
        <v>1</v>
      </c>
      <c r="I1207" s="1">
        <f t="shared" si="94"/>
        <v>1</v>
      </c>
    </row>
    <row r="1208" spans="1:9" x14ac:dyDescent="0.3">
      <c r="A1208" s="26">
        <v>46498</v>
      </c>
      <c r="B1208" s="27">
        <f t="shared" si="90"/>
        <v>2027</v>
      </c>
      <c r="C1208" s="27">
        <f t="shared" si="91"/>
        <v>4</v>
      </c>
      <c r="D1208" s="27">
        <f t="shared" si="92"/>
        <v>21</v>
      </c>
      <c r="E1208" s="27">
        <f t="shared" si="93"/>
        <v>4</v>
      </c>
      <c r="F1208" s="27">
        <f>VLOOKUP(E1208,[1]t_calendarioPolitica!A:C,3,FALSE)</f>
        <v>1</v>
      </c>
      <c r="G1208" s="1">
        <v>1</v>
      </c>
      <c r="H1208" s="1">
        <v>1</v>
      </c>
      <c r="I1208" s="1">
        <f t="shared" si="94"/>
        <v>1</v>
      </c>
    </row>
    <row r="1209" spans="1:9" x14ac:dyDescent="0.3">
      <c r="A1209" s="26">
        <v>46499</v>
      </c>
      <c r="B1209" s="27">
        <f t="shared" si="90"/>
        <v>2027</v>
      </c>
      <c r="C1209" s="27">
        <f t="shared" si="91"/>
        <v>4</v>
      </c>
      <c r="D1209" s="27">
        <f t="shared" si="92"/>
        <v>22</v>
      </c>
      <c r="E1209" s="27">
        <f t="shared" si="93"/>
        <v>5</v>
      </c>
      <c r="F1209" s="27">
        <f>VLOOKUP(E1209,[1]t_calendarioPolitica!A:C,3,FALSE)</f>
        <v>1</v>
      </c>
      <c r="G1209" s="1">
        <v>1</v>
      </c>
      <c r="H1209" s="1">
        <v>1</v>
      </c>
      <c r="I1209" s="1">
        <f t="shared" si="94"/>
        <v>1</v>
      </c>
    </row>
    <row r="1210" spans="1:9" x14ac:dyDescent="0.3">
      <c r="A1210" s="26">
        <v>46500</v>
      </c>
      <c r="B1210" s="27">
        <f t="shared" si="90"/>
        <v>2027</v>
      </c>
      <c r="C1210" s="27">
        <f t="shared" si="91"/>
        <v>4</v>
      </c>
      <c r="D1210" s="27">
        <f t="shared" si="92"/>
        <v>23</v>
      </c>
      <c r="E1210" s="27">
        <f t="shared" si="93"/>
        <v>6</v>
      </c>
      <c r="F1210" s="27">
        <f>VLOOKUP(E1210,[1]t_calendarioPolitica!A:C,3,FALSE)</f>
        <v>1</v>
      </c>
      <c r="G1210" s="1">
        <v>1</v>
      </c>
      <c r="H1210" s="1">
        <v>1</v>
      </c>
      <c r="I1210" s="1">
        <f t="shared" si="94"/>
        <v>1</v>
      </c>
    </row>
    <row r="1211" spans="1:9" x14ac:dyDescent="0.3">
      <c r="A1211" s="26">
        <v>46501</v>
      </c>
      <c r="B1211" s="27">
        <f t="shared" si="90"/>
        <v>2027</v>
      </c>
      <c r="C1211" s="27">
        <f t="shared" si="91"/>
        <v>4</v>
      </c>
      <c r="D1211" s="27">
        <f t="shared" si="92"/>
        <v>24</v>
      </c>
      <c r="E1211" s="27">
        <f t="shared" si="93"/>
        <v>7</v>
      </c>
      <c r="F1211" s="27">
        <f>VLOOKUP(E1211,[1]t_calendarioPolitica!A:C,3,FALSE)</f>
        <v>2</v>
      </c>
      <c r="G1211" s="1">
        <v>1</v>
      </c>
      <c r="H1211" s="1">
        <v>1</v>
      </c>
      <c r="I1211" s="1">
        <f t="shared" si="94"/>
        <v>1</v>
      </c>
    </row>
    <row r="1212" spans="1:9" x14ac:dyDescent="0.3">
      <c r="A1212" s="26">
        <v>46502</v>
      </c>
      <c r="B1212" s="27">
        <f t="shared" si="90"/>
        <v>2027</v>
      </c>
      <c r="C1212" s="27">
        <f t="shared" si="91"/>
        <v>4</v>
      </c>
      <c r="D1212" s="27">
        <f t="shared" si="92"/>
        <v>25</v>
      </c>
      <c r="E1212" s="27">
        <f t="shared" si="93"/>
        <v>1</v>
      </c>
      <c r="F1212" s="27">
        <f>VLOOKUP(E1212,[1]t_calendarioPolitica!A:C,3,FALSE)</f>
        <v>0</v>
      </c>
      <c r="G1212" s="1">
        <v>1</v>
      </c>
      <c r="H1212" s="1">
        <v>1</v>
      </c>
      <c r="I1212" s="1">
        <f t="shared" si="94"/>
        <v>0</v>
      </c>
    </row>
    <row r="1213" spans="1:9" x14ac:dyDescent="0.3">
      <c r="A1213" s="26">
        <v>46503</v>
      </c>
      <c r="B1213" s="27">
        <f t="shared" si="90"/>
        <v>2027</v>
      </c>
      <c r="C1213" s="27">
        <f t="shared" si="91"/>
        <v>4</v>
      </c>
      <c r="D1213" s="27">
        <f t="shared" si="92"/>
        <v>26</v>
      </c>
      <c r="E1213" s="27">
        <f t="shared" si="93"/>
        <v>2</v>
      </c>
      <c r="F1213" s="27">
        <f>VLOOKUP(E1213,[1]t_calendarioPolitica!A:C,3,FALSE)</f>
        <v>1</v>
      </c>
      <c r="G1213" s="1">
        <v>1</v>
      </c>
      <c r="H1213" s="1">
        <v>1</v>
      </c>
      <c r="I1213" s="1">
        <f t="shared" si="94"/>
        <v>1</v>
      </c>
    </row>
    <row r="1214" spans="1:9" x14ac:dyDescent="0.3">
      <c r="A1214" s="26">
        <v>46504</v>
      </c>
      <c r="B1214" s="27">
        <f t="shared" si="90"/>
        <v>2027</v>
      </c>
      <c r="C1214" s="27">
        <f t="shared" si="91"/>
        <v>4</v>
      </c>
      <c r="D1214" s="27">
        <f t="shared" si="92"/>
        <v>27</v>
      </c>
      <c r="E1214" s="27">
        <f t="shared" si="93"/>
        <v>3</v>
      </c>
      <c r="F1214" s="27">
        <f>VLOOKUP(E1214,[1]t_calendarioPolitica!A:C,3,FALSE)</f>
        <v>1</v>
      </c>
      <c r="G1214" s="1">
        <v>1</v>
      </c>
      <c r="H1214" s="1">
        <v>1</v>
      </c>
      <c r="I1214" s="1">
        <f t="shared" si="94"/>
        <v>1</v>
      </c>
    </row>
    <row r="1215" spans="1:9" x14ac:dyDescent="0.3">
      <c r="A1215" s="26">
        <v>46505</v>
      </c>
      <c r="B1215" s="27">
        <f t="shared" si="90"/>
        <v>2027</v>
      </c>
      <c r="C1215" s="27">
        <f t="shared" si="91"/>
        <v>4</v>
      </c>
      <c r="D1215" s="27">
        <f t="shared" si="92"/>
        <v>28</v>
      </c>
      <c r="E1215" s="27">
        <f t="shared" si="93"/>
        <v>4</v>
      </c>
      <c r="F1215" s="27">
        <f>VLOOKUP(E1215,[1]t_calendarioPolitica!A:C,3,FALSE)</f>
        <v>1</v>
      </c>
      <c r="G1215" s="1">
        <v>1</v>
      </c>
      <c r="H1215" s="1">
        <v>1</v>
      </c>
      <c r="I1215" s="1">
        <f t="shared" si="94"/>
        <v>1</v>
      </c>
    </row>
    <row r="1216" spans="1:9" x14ac:dyDescent="0.3">
      <c r="A1216" s="26">
        <v>46506</v>
      </c>
      <c r="B1216" s="27">
        <f t="shared" si="90"/>
        <v>2027</v>
      </c>
      <c r="C1216" s="27">
        <f t="shared" si="91"/>
        <v>4</v>
      </c>
      <c r="D1216" s="27">
        <f t="shared" si="92"/>
        <v>29</v>
      </c>
      <c r="E1216" s="27">
        <f t="shared" si="93"/>
        <v>5</v>
      </c>
      <c r="F1216" s="27">
        <f>VLOOKUP(E1216,[1]t_calendarioPolitica!A:C,3,FALSE)</f>
        <v>1</v>
      </c>
      <c r="G1216" s="1">
        <v>1</v>
      </c>
      <c r="H1216" s="1">
        <v>1</v>
      </c>
      <c r="I1216" s="1">
        <f t="shared" si="94"/>
        <v>1</v>
      </c>
    </row>
    <row r="1217" spans="1:9" x14ac:dyDescent="0.3">
      <c r="A1217" s="26">
        <v>46507</v>
      </c>
      <c r="B1217" s="27">
        <f t="shared" si="90"/>
        <v>2027</v>
      </c>
      <c r="C1217" s="27">
        <f t="shared" si="91"/>
        <v>4</v>
      </c>
      <c r="D1217" s="27">
        <f t="shared" si="92"/>
        <v>30</v>
      </c>
      <c r="E1217" s="27">
        <f t="shared" si="93"/>
        <v>6</v>
      </c>
      <c r="F1217" s="27">
        <f>VLOOKUP(E1217,[1]t_calendarioPolitica!A:C,3,FALSE)</f>
        <v>1</v>
      </c>
      <c r="G1217" s="1">
        <v>1</v>
      </c>
      <c r="H1217" s="1">
        <v>1</v>
      </c>
      <c r="I1217" s="1">
        <f t="shared" si="94"/>
        <v>1</v>
      </c>
    </row>
    <row r="1218" spans="1:9" x14ac:dyDescent="0.3">
      <c r="A1218" s="26">
        <v>46508</v>
      </c>
      <c r="B1218" s="27">
        <f t="shared" si="90"/>
        <v>2027</v>
      </c>
      <c r="C1218" s="27">
        <f t="shared" si="91"/>
        <v>5</v>
      </c>
      <c r="D1218" s="27">
        <f t="shared" si="92"/>
        <v>1</v>
      </c>
      <c r="E1218" s="27">
        <f t="shared" si="93"/>
        <v>7</v>
      </c>
      <c r="F1218" s="27">
        <f>VLOOKUP(E1218,[1]t_calendarioPolitica!A:C,3,FALSE)</f>
        <v>2</v>
      </c>
      <c r="G1218" s="1">
        <v>1</v>
      </c>
      <c r="H1218" s="1">
        <v>1</v>
      </c>
      <c r="I1218" s="1">
        <f t="shared" si="94"/>
        <v>1</v>
      </c>
    </row>
    <row r="1219" spans="1:9" x14ac:dyDescent="0.3">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VLOOKUP(E1219,[1]t_calendarioPolitica!A:C,3,FALSE)</f>
        <v>0</v>
      </c>
      <c r="G1219" s="1">
        <v>1</v>
      </c>
      <c r="H1219" s="1">
        <v>1</v>
      </c>
      <c r="I1219" s="1">
        <f t="shared" ref="I1219:I1282" si="99">IF(AND(F1219&lt;&gt;0, H1219&lt;&gt;0,G1219&lt;&gt;0), 1, 0)</f>
        <v>0</v>
      </c>
    </row>
    <row r="1220" spans="1:9" x14ac:dyDescent="0.3">
      <c r="A1220" s="26">
        <v>46510</v>
      </c>
      <c r="B1220" s="27">
        <f t="shared" si="95"/>
        <v>2027</v>
      </c>
      <c r="C1220" s="27">
        <f t="shared" si="96"/>
        <v>5</v>
      </c>
      <c r="D1220" s="27">
        <f t="shared" si="97"/>
        <v>3</v>
      </c>
      <c r="E1220" s="27">
        <f t="shared" si="98"/>
        <v>2</v>
      </c>
      <c r="F1220" s="27">
        <f>VLOOKUP(E1220,[1]t_calendarioPolitica!A:C,3,FALSE)</f>
        <v>1</v>
      </c>
      <c r="G1220" s="1">
        <v>1</v>
      </c>
      <c r="H1220" s="1">
        <v>1</v>
      </c>
      <c r="I1220" s="1">
        <f t="shared" si="99"/>
        <v>1</v>
      </c>
    </row>
    <row r="1221" spans="1:9" x14ac:dyDescent="0.3">
      <c r="A1221" s="26">
        <v>46511</v>
      </c>
      <c r="B1221" s="27">
        <f t="shared" si="95"/>
        <v>2027</v>
      </c>
      <c r="C1221" s="27">
        <f t="shared" si="96"/>
        <v>5</v>
      </c>
      <c r="D1221" s="27">
        <f t="shared" si="97"/>
        <v>4</v>
      </c>
      <c r="E1221" s="27">
        <f t="shared" si="98"/>
        <v>3</v>
      </c>
      <c r="F1221" s="27">
        <f>VLOOKUP(E1221,[1]t_calendarioPolitica!A:C,3,FALSE)</f>
        <v>1</v>
      </c>
      <c r="G1221" s="1">
        <v>1</v>
      </c>
      <c r="H1221" s="1">
        <v>1</v>
      </c>
      <c r="I1221" s="1">
        <f t="shared" si="99"/>
        <v>1</v>
      </c>
    </row>
    <row r="1222" spans="1:9" x14ac:dyDescent="0.3">
      <c r="A1222" s="26">
        <v>46512</v>
      </c>
      <c r="B1222" s="27">
        <f t="shared" si="95"/>
        <v>2027</v>
      </c>
      <c r="C1222" s="27">
        <f t="shared" si="96"/>
        <v>5</v>
      </c>
      <c r="D1222" s="27">
        <f t="shared" si="97"/>
        <v>5</v>
      </c>
      <c r="E1222" s="27">
        <f t="shared" si="98"/>
        <v>4</v>
      </c>
      <c r="F1222" s="27">
        <f>VLOOKUP(E1222,[1]t_calendarioPolitica!A:C,3,FALSE)</f>
        <v>1</v>
      </c>
      <c r="G1222" s="1">
        <v>1</v>
      </c>
      <c r="H1222" s="1">
        <v>1</v>
      </c>
      <c r="I1222" s="1">
        <f t="shared" si="99"/>
        <v>1</v>
      </c>
    </row>
    <row r="1223" spans="1:9" x14ac:dyDescent="0.3">
      <c r="A1223" s="26">
        <v>46513</v>
      </c>
      <c r="B1223" s="27">
        <f t="shared" si="95"/>
        <v>2027</v>
      </c>
      <c r="C1223" s="27">
        <f t="shared" si="96"/>
        <v>5</v>
      </c>
      <c r="D1223" s="27">
        <f t="shared" si="97"/>
        <v>6</v>
      </c>
      <c r="E1223" s="27">
        <f t="shared" si="98"/>
        <v>5</v>
      </c>
      <c r="F1223" s="27">
        <f>VLOOKUP(E1223,[1]t_calendarioPolitica!A:C,3,FALSE)</f>
        <v>1</v>
      </c>
      <c r="G1223" s="1">
        <v>1</v>
      </c>
      <c r="H1223" s="1">
        <v>1</v>
      </c>
      <c r="I1223" s="1">
        <f t="shared" si="99"/>
        <v>1</v>
      </c>
    </row>
    <row r="1224" spans="1:9" x14ac:dyDescent="0.3">
      <c r="A1224" s="26">
        <v>46514</v>
      </c>
      <c r="B1224" s="27">
        <f t="shared" si="95"/>
        <v>2027</v>
      </c>
      <c r="C1224" s="27">
        <f t="shared" si="96"/>
        <v>5</v>
      </c>
      <c r="D1224" s="27">
        <f t="shared" si="97"/>
        <v>7</v>
      </c>
      <c r="E1224" s="27">
        <f t="shared" si="98"/>
        <v>6</v>
      </c>
      <c r="F1224" s="27">
        <f>VLOOKUP(E1224,[1]t_calendarioPolitica!A:C,3,FALSE)</f>
        <v>1</v>
      </c>
      <c r="G1224" s="1">
        <v>1</v>
      </c>
      <c r="H1224" s="1">
        <v>1</v>
      </c>
      <c r="I1224" s="1">
        <f t="shared" si="99"/>
        <v>1</v>
      </c>
    </row>
    <row r="1225" spans="1:9" x14ac:dyDescent="0.3">
      <c r="A1225" s="26">
        <v>46515</v>
      </c>
      <c r="B1225" s="27">
        <f t="shared" si="95"/>
        <v>2027</v>
      </c>
      <c r="C1225" s="27">
        <f t="shared" si="96"/>
        <v>5</v>
      </c>
      <c r="D1225" s="27">
        <f t="shared" si="97"/>
        <v>8</v>
      </c>
      <c r="E1225" s="27">
        <f t="shared" si="98"/>
        <v>7</v>
      </c>
      <c r="F1225" s="27">
        <f>VLOOKUP(E1225,[1]t_calendarioPolitica!A:C,3,FALSE)</f>
        <v>2</v>
      </c>
      <c r="G1225" s="1">
        <v>1</v>
      </c>
      <c r="H1225" s="1">
        <v>1</v>
      </c>
      <c r="I1225" s="1">
        <f t="shared" si="99"/>
        <v>1</v>
      </c>
    </row>
    <row r="1226" spans="1:9" x14ac:dyDescent="0.3">
      <c r="A1226" s="26">
        <v>46516</v>
      </c>
      <c r="B1226" s="27">
        <f t="shared" si="95"/>
        <v>2027</v>
      </c>
      <c r="C1226" s="27">
        <f t="shared" si="96"/>
        <v>5</v>
      </c>
      <c r="D1226" s="27">
        <f t="shared" si="97"/>
        <v>9</v>
      </c>
      <c r="E1226" s="27">
        <f t="shared" si="98"/>
        <v>1</v>
      </c>
      <c r="F1226" s="27">
        <f>VLOOKUP(E1226,[1]t_calendarioPolitica!A:C,3,FALSE)</f>
        <v>0</v>
      </c>
      <c r="G1226" s="1">
        <v>1</v>
      </c>
      <c r="H1226" s="1">
        <v>1</v>
      </c>
      <c r="I1226" s="1">
        <f t="shared" si="99"/>
        <v>0</v>
      </c>
    </row>
    <row r="1227" spans="1:9" x14ac:dyDescent="0.3">
      <c r="A1227" s="26">
        <v>46517</v>
      </c>
      <c r="B1227" s="27">
        <f t="shared" si="95"/>
        <v>2027</v>
      </c>
      <c r="C1227" s="27">
        <f t="shared" si="96"/>
        <v>5</v>
      </c>
      <c r="D1227" s="27">
        <f t="shared" si="97"/>
        <v>10</v>
      </c>
      <c r="E1227" s="27">
        <f t="shared" si="98"/>
        <v>2</v>
      </c>
      <c r="F1227" s="27">
        <f>VLOOKUP(E1227,[1]t_calendarioPolitica!A:C,3,FALSE)</f>
        <v>1</v>
      </c>
      <c r="G1227" s="1">
        <v>1</v>
      </c>
      <c r="H1227" s="1">
        <v>0</v>
      </c>
      <c r="I1227" s="1">
        <f t="shared" si="99"/>
        <v>0</v>
      </c>
    </row>
    <row r="1228" spans="1:9" x14ac:dyDescent="0.3">
      <c r="A1228" s="26">
        <v>46518</v>
      </c>
      <c r="B1228" s="27">
        <f t="shared" si="95"/>
        <v>2027</v>
      </c>
      <c r="C1228" s="27">
        <f t="shared" si="96"/>
        <v>5</v>
      </c>
      <c r="D1228" s="27">
        <f t="shared" si="97"/>
        <v>11</v>
      </c>
      <c r="E1228" s="27">
        <f t="shared" si="98"/>
        <v>3</v>
      </c>
      <c r="F1228" s="27">
        <f>VLOOKUP(E1228,[1]t_calendarioPolitica!A:C,3,FALSE)</f>
        <v>1</v>
      </c>
      <c r="G1228" s="1">
        <v>1</v>
      </c>
      <c r="H1228" s="1">
        <v>1</v>
      </c>
      <c r="I1228" s="1">
        <f t="shared" si="99"/>
        <v>1</v>
      </c>
    </row>
    <row r="1229" spans="1:9" x14ac:dyDescent="0.3">
      <c r="A1229" s="26">
        <v>46519</v>
      </c>
      <c r="B1229" s="27">
        <f t="shared" si="95"/>
        <v>2027</v>
      </c>
      <c r="C1229" s="27">
        <f t="shared" si="96"/>
        <v>5</v>
      </c>
      <c r="D1229" s="27">
        <f t="shared" si="97"/>
        <v>12</v>
      </c>
      <c r="E1229" s="27">
        <f t="shared" si="98"/>
        <v>4</v>
      </c>
      <c r="F1229" s="27">
        <f>VLOOKUP(E1229,[1]t_calendarioPolitica!A:C,3,FALSE)</f>
        <v>1</v>
      </c>
      <c r="G1229" s="1">
        <v>1</v>
      </c>
      <c r="H1229" s="1">
        <v>1</v>
      </c>
      <c r="I1229" s="1">
        <f t="shared" si="99"/>
        <v>1</v>
      </c>
    </row>
    <row r="1230" spans="1:9" x14ac:dyDescent="0.3">
      <c r="A1230" s="26">
        <v>46520</v>
      </c>
      <c r="B1230" s="27">
        <f t="shared" si="95"/>
        <v>2027</v>
      </c>
      <c r="C1230" s="27">
        <f t="shared" si="96"/>
        <v>5</v>
      </c>
      <c r="D1230" s="27">
        <f t="shared" si="97"/>
        <v>13</v>
      </c>
      <c r="E1230" s="27">
        <f t="shared" si="98"/>
        <v>5</v>
      </c>
      <c r="F1230" s="27">
        <f>VLOOKUP(E1230,[1]t_calendarioPolitica!A:C,3,FALSE)</f>
        <v>1</v>
      </c>
      <c r="G1230" s="1">
        <v>1</v>
      </c>
      <c r="H1230" s="1">
        <v>1</v>
      </c>
      <c r="I1230" s="1">
        <f t="shared" si="99"/>
        <v>1</v>
      </c>
    </row>
    <row r="1231" spans="1:9" x14ac:dyDescent="0.3">
      <c r="A1231" s="26">
        <v>46521</v>
      </c>
      <c r="B1231" s="27">
        <f t="shared" si="95"/>
        <v>2027</v>
      </c>
      <c r="C1231" s="27">
        <f t="shared" si="96"/>
        <v>5</v>
      </c>
      <c r="D1231" s="27">
        <f t="shared" si="97"/>
        <v>14</v>
      </c>
      <c r="E1231" s="27">
        <f t="shared" si="98"/>
        <v>6</v>
      </c>
      <c r="F1231" s="27">
        <f>VLOOKUP(E1231,[1]t_calendarioPolitica!A:C,3,FALSE)</f>
        <v>1</v>
      </c>
      <c r="G1231" s="1">
        <v>1</v>
      </c>
      <c r="H1231" s="1">
        <v>1</v>
      </c>
      <c r="I1231" s="1">
        <f t="shared" si="99"/>
        <v>1</v>
      </c>
    </row>
    <row r="1232" spans="1:9" x14ac:dyDescent="0.3">
      <c r="A1232" s="26">
        <v>46522</v>
      </c>
      <c r="B1232" s="27">
        <f t="shared" si="95"/>
        <v>2027</v>
      </c>
      <c r="C1232" s="27">
        <f t="shared" si="96"/>
        <v>5</v>
      </c>
      <c r="D1232" s="27">
        <f t="shared" si="97"/>
        <v>15</v>
      </c>
      <c r="E1232" s="27">
        <f t="shared" si="98"/>
        <v>7</v>
      </c>
      <c r="F1232" s="27">
        <f>VLOOKUP(E1232,[1]t_calendarioPolitica!A:C,3,FALSE)</f>
        <v>2</v>
      </c>
      <c r="G1232" s="1">
        <v>1</v>
      </c>
      <c r="H1232" s="1">
        <v>1</v>
      </c>
      <c r="I1232" s="1">
        <f t="shared" si="99"/>
        <v>1</v>
      </c>
    </row>
    <row r="1233" spans="1:9" x14ac:dyDescent="0.3">
      <c r="A1233" s="26">
        <v>46523</v>
      </c>
      <c r="B1233" s="27">
        <f t="shared" si="95"/>
        <v>2027</v>
      </c>
      <c r="C1233" s="27">
        <f t="shared" si="96"/>
        <v>5</v>
      </c>
      <c r="D1233" s="27">
        <f t="shared" si="97"/>
        <v>16</v>
      </c>
      <c r="E1233" s="27">
        <f t="shared" si="98"/>
        <v>1</v>
      </c>
      <c r="F1233" s="27">
        <f>VLOOKUP(E1233,[1]t_calendarioPolitica!A:C,3,FALSE)</f>
        <v>0</v>
      </c>
      <c r="G1233" s="1">
        <v>1</v>
      </c>
      <c r="H1233" s="1">
        <v>1</v>
      </c>
      <c r="I1233" s="1">
        <f t="shared" si="99"/>
        <v>0</v>
      </c>
    </row>
    <row r="1234" spans="1:9" x14ac:dyDescent="0.3">
      <c r="A1234" s="26">
        <v>46524</v>
      </c>
      <c r="B1234" s="27">
        <f t="shared" si="95"/>
        <v>2027</v>
      </c>
      <c r="C1234" s="27">
        <f t="shared" si="96"/>
        <v>5</v>
      </c>
      <c r="D1234" s="27">
        <f t="shared" si="97"/>
        <v>17</v>
      </c>
      <c r="E1234" s="27">
        <f t="shared" si="98"/>
        <v>2</v>
      </c>
      <c r="F1234" s="27">
        <f>VLOOKUP(E1234,[1]t_calendarioPolitica!A:C,3,FALSE)</f>
        <v>1</v>
      </c>
      <c r="G1234" s="1">
        <v>1</v>
      </c>
      <c r="H1234" s="1">
        <v>1</v>
      </c>
      <c r="I1234" s="1">
        <f t="shared" si="99"/>
        <v>1</v>
      </c>
    </row>
    <row r="1235" spans="1:9" x14ac:dyDescent="0.3">
      <c r="A1235" s="26">
        <v>46525</v>
      </c>
      <c r="B1235" s="27">
        <f t="shared" si="95"/>
        <v>2027</v>
      </c>
      <c r="C1235" s="27">
        <f t="shared" si="96"/>
        <v>5</v>
      </c>
      <c r="D1235" s="27">
        <f t="shared" si="97"/>
        <v>18</v>
      </c>
      <c r="E1235" s="27">
        <f t="shared" si="98"/>
        <v>3</v>
      </c>
      <c r="F1235" s="27">
        <f>VLOOKUP(E1235,[1]t_calendarioPolitica!A:C,3,FALSE)</f>
        <v>1</v>
      </c>
      <c r="G1235" s="1">
        <v>1</v>
      </c>
      <c r="H1235" s="1">
        <v>1</v>
      </c>
      <c r="I1235" s="1">
        <f t="shared" si="99"/>
        <v>1</v>
      </c>
    </row>
    <row r="1236" spans="1:9" x14ac:dyDescent="0.3">
      <c r="A1236" s="26">
        <v>46526</v>
      </c>
      <c r="B1236" s="27">
        <f t="shared" si="95"/>
        <v>2027</v>
      </c>
      <c r="C1236" s="27">
        <f t="shared" si="96"/>
        <v>5</v>
      </c>
      <c r="D1236" s="27">
        <f t="shared" si="97"/>
        <v>19</v>
      </c>
      <c r="E1236" s="27">
        <f t="shared" si="98"/>
        <v>4</v>
      </c>
      <c r="F1236" s="27">
        <f>VLOOKUP(E1236,[1]t_calendarioPolitica!A:C,3,FALSE)</f>
        <v>1</v>
      </c>
      <c r="G1236" s="1">
        <v>1</v>
      </c>
      <c r="H1236" s="1">
        <v>1</v>
      </c>
      <c r="I1236" s="1">
        <f t="shared" si="99"/>
        <v>1</v>
      </c>
    </row>
    <row r="1237" spans="1:9" x14ac:dyDescent="0.3">
      <c r="A1237" s="26">
        <v>46527</v>
      </c>
      <c r="B1237" s="27">
        <f t="shared" si="95"/>
        <v>2027</v>
      </c>
      <c r="C1237" s="27">
        <f t="shared" si="96"/>
        <v>5</v>
      </c>
      <c r="D1237" s="27">
        <f t="shared" si="97"/>
        <v>20</v>
      </c>
      <c r="E1237" s="27">
        <f t="shared" si="98"/>
        <v>5</v>
      </c>
      <c r="F1237" s="27">
        <f>VLOOKUP(E1237,[1]t_calendarioPolitica!A:C,3,FALSE)</f>
        <v>1</v>
      </c>
      <c r="G1237" s="1">
        <v>1</v>
      </c>
      <c r="H1237" s="1">
        <v>1</v>
      </c>
      <c r="I1237" s="1">
        <f t="shared" si="99"/>
        <v>1</v>
      </c>
    </row>
    <row r="1238" spans="1:9" x14ac:dyDescent="0.3">
      <c r="A1238" s="26">
        <v>46528</v>
      </c>
      <c r="B1238" s="27">
        <f t="shared" si="95"/>
        <v>2027</v>
      </c>
      <c r="C1238" s="27">
        <f t="shared" si="96"/>
        <v>5</v>
      </c>
      <c r="D1238" s="27">
        <f t="shared" si="97"/>
        <v>21</v>
      </c>
      <c r="E1238" s="27">
        <f t="shared" si="98"/>
        <v>6</v>
      </c>
      <c r="F1238" s="27">
        <f>VLOOKUP(E1238,[1]t_calendarioPolitica!A:C,3,FALSE)</f>
        <v>1</v>
      </c>
      <c r="G1238" s="1">
        <v>1</v>
      </c>
      <c r="H1238" s="1">
        <v>1</v>
      </c>
      <c r="I1238" s="1">
        <f t="shared" si="99"/>
        <v>1</v>
      </c>
    </row>
    <row r="1239" spans="1:9" x14ac:dyDescent="0.3">
      <c r="A1239" s="26">
        <v>46529</v>
      </c>
      <c r="B1239" s="27">
        <f t="shared" si="95"/>
        <v>2027</v>
      </c>
      <c r="C1239" s="27">
        <f t="shared" si="96"/>
        <v>5</v>
      </c>
      <c r="D1239" s="27">
        <f t="shared" si="97"/>
        <v>22</v>
      </c>
      <c r="E1239" s="27">
        <f t="shared" si="98"/>
        <v>7</v>
      </c>
      <c r="F1239" s="27">
        <f>VLOOKUP(E1239,[1]t_calendarioPolitica!A:C,3,FALSE)</f>
        <v>2</v>
      </c>
      <c r="G1239" s="1">
        <v>1</v>
      </c>
      <c r="H1239" s="1">
        <v>1</v>
      </c>
      <c r="I1239" s="1">
        <f t="shared" si="99"/>
        <v>1</v>
      </c>
    </row>
    <row r="1240" spans="1:9" x14ac:dyDescent="0.3">
      <c r="A1240" s="26">
        <v>46530</v>
      </c>
      <c r="B1240" s="27">
        <f t="shared" si="95"/>
        <v>2027</v>
      </c>
      <c r="C1240" s="27">
        <f t="shared" si="96"/>
        <v>5</v>
      </c>
      <c r="D1240" s="27">
        <f t="shared" si="97"/>
        <v>23</v>
      </c>
      <c r="E1240" s="27">
        <f t="shared" si="98"/>
        <v>1</v>
      </c>
      <c r="F1240" s="27">
        <f>VLOOKUP(E1240,[1]t_calendarioPolitica!A:C,3,FALSE)</f>
        <v>0</v>
      </c>
      <c r="G1240" s="1">
        <v>1</v>
      </c>
      <c r="H1240" s="1">
        <v>1</v>
      </c>
      <c r="I1240" s="1">
        <f t="shared" si="99"/>
        <v>0</v>
      </c>
    </row>
    <row r="1241" spans="1:9" x14ac:dyDescent="0.3">
      <c r="A1241" s="26">
        <v>46531</v>
      </c>
      <c r="B1241" s="27">
        <f t="shared" si="95"/>
        <v>2027</v>
      </c>
      <c r="C1241" s="27">
        <f t="shared" si="96"/>
        <v>5</v>
      </c>
      <c r="D1241" s="27">
        <f t="shared" si="97"/>
        <v>24</v>
      </c>
      <c r="E1241" s="27">
        <f t="shared" si="98"/>
        <v>2</v>
      </c>
      <c r="F1241" s="27">
        <f>VLOOKUP(E1241,[1]t_calendarioPolitica!A:C,3,FALSE)</f>
        <v>1</v>
      </c>
      <c r="G1241" s="1">
        <v>1</v>
      </c>
      <c r="H1241" s="1">
        <v>1</v>
      </c>
      <c r="I1241" s="1">
        <f t="shared" si="99"/>
        <v>1</v>
      </c>
    </row>
    <row r="1242" spans="1:9" x14ac:dyDescent="0.3">
      <c r="A1242" s="26">
        <v>46532</v>
      </c>
      <c r="B1242" s="27">
        <f t="shared" si="95"/>
        <v>2027</v>
      </c>
      <c r="C1242" s="27">
        <f t="shared" si="96"/>
        <v>5</v>
      </c>
      <c r="D1242" s="27">
        <f t="shared" si="97"/>
        <v>25</v>
      </c>
      <c r="E1242" s="27">
        <f t="shared" si="98"/>
        <v>3</v>
      </c>
      <c r="F1242" s="27">
        <f>VLOOKUP(E1242,[1]t_calendarioPolitica!A:C,3,FALSE)</f>
        <v>1</v>
      </c>
      <c r="G1242" s="1">
        <v>1</v>
      </c>
      <c r="H1242" s="1">
        <v>1</v>
      </c>
      <c r="I1242" s="1">
        <f t="shared" si="99"/>
        <v>1</v>
      </c>
    </row>
    <row r="1243" spans="1:9" x14ac:dyDescent="0.3">
      <c r="A1243" s="26">
        <v>46533</v>
      </c>
      <c r="B1243" s="27">
        <f t="shared" si="95"/>
        <v>2027</v>
      </c>
      <c r="C1243" s="27">
        <f t="shared" si="96"/>
        <v>5</v>
      </c>
      <c r="D1243" s="27">
        <f t="shared" si="97"/>
        <v>26</v>
      </c>
      <c r="E1243" s="27">
        <f t="shared" si="98"/>
        <v>4</v>
      </c>
      <c r="F1243" s="27">
        <f>VLOOKUP(E1243,[1]t_calendarioPolitica!A:C,3,FALSE)</f>
        <v>1</v>
      </c>
      <c r="G1243" s="1">
        <v>1</v>
      </c>
      <c r="H1243" s="1">
        <v>1</v>
      </c>
      <c r="I1243" s="1">
        <f t="shared" si="99"/>
        <v>1</v>
      </c>
    </row>
    <row r="1244" spans="1:9" x14ac:dyDescent="0.3">
      <c r="A1244" s="26">
        <v>46534</v>
      </c>
      <c r="B1244" s="27">
        <f t="shared" si="95"/>
        <v>2027</v>
      </c>
      <c r="C1244" s="27">
        <f t="shared" si="96"/>
        <v>5</v>
      </c>
      <c r="D1244" s="27">
        <f t="shared" si="97"/>
        <v>27</v>
      </c>
      <c r="E1244" s="27">
        <f t="shared" si="98"/>
        <v>5</v>
      </c>
      <c r="F1244" s="27">
        <f>VLOOKUP(E1244,[1]t_calendarioPolitica!A:C,3,FALSE)</f>
        <v>1</v>
      </c>
      <c r="G1244" s="1">
        <v>1</v>
      </c>
      <c r="H1244" s="1">
        <v>1</v>
      </c>
      <c r="I1244" s="1">
        <f t="shared" si="99"/>
        <v>1</v>
      </c>
    </row>
    <row r="1245" spans="1:9" x14ac:dyDescent="0.3">
      <c r="A1245" s="26">
        <v>46535</v>
      </c>
      <c r="B1245" s="27">
        <f t="shared" si="95"/>
        <v>2027</v>
      </c>
      <c r="C1245" s="27">
        <f t="shared" si="96"/>
        <v>5</v>
      </c>
      <c r="D1245" s="27">
        <f t="shared" si="97"/>
        <v>28</v>
      </c>
      <c r="E1245" s="27">
        <f t="shared" si="98"/>
        <v>6</v>
      </c>
      <c r="F1245" s="27">
        <f>VLOOKUP(E1245,[1]t_calendarioPolitica!A:C,3,FALSE)</f>
        <v>1</v>
      </c>
      <c r="G1245" s="1">
        <v>1</v>
      </c>
      <c r="H1245" s="1">
        <v>1</v>
      </c>
      <c r="I1245" s="1">
        <f t="shared" si="99"/>
        <v>1</v>
      </c>
    </row>
    <row r="1246" spans="1:9" x14ac:dyDescent="0.3">
      <c r="A1246" s="26">
        <v>46536</v>
      </c>
      <c r="B1246" s="27">
        <f t="shared" si="95"/>
        <v>2027</v>
      </c>
      <c r="C1246" s="27">
        <f t="shared" si="96"/>
        <v>5</v>
      </c>
      <c r="D1246" s="27">
        <f t="shared" si="97"/>
        <v>29</v>
      </c>
      <c r="E1246" s="27">
        <f t="shared" si="98"/>
        <v>7</v>
      </c>
      <c r="F1246" s="27">
        <f>VLOOKUP(E1246,[1]t_calendarioPolitica!A:C,3,FALSE)</f>
        <v>2</v>
      </c>
      <c r="G1246" s="1">
        <v>1</v>
      </c>
      <c r="H1246" s="1">
        <v>1</v>
      </c>
      <c r="I1246" s="1">
        <f t="shared" si="99"/>
        <v>1</v>
      </c>
    </row>
    <row r="1247" spans="1:9" x14ac:dyDescent="0.3">
      <c r="A1247" s="26">
        <v>46537</v>
      </c>
      <c r="B1247" s="27">
        <f t="shared" si="95"/>
        <v>2027</v>
      </c>
      <c r="C1247" s="27">
        <f t="shared" si="96"/>
        <v>5</v>
      </c>
      <c r="D1247" s="27">
        <f t="shared" si="97"/>
        <v>30</v>
      </c>
      <c r="E1247" s="27">
        <f t="shared" si="98"/>
        <v>1</v>
      </c>
      <c r="F1247" s="27">
        <f>VLOOKUP(E1247,[1]t_calendarioPolitica!A:C,3,FALSE)</f>
        <v>0</v>
      </c>
      <c r="G1247" s="1">
        <v>1</v>
      </c>
      <c r="H1247" s="1">
        <v>1</v>
      </c>
      <c r="I1247" s="1">
        <f t="shared" si="99"/>
        <v>0</v>
      </c>
    </row>
    <row r="1248" spans="1:9" x14ac:dyDescent="0.3">
      <c r="A1248" s="26">
        <v>46538</v>
      </c>
      <c r="B1248" s="27">
        <f t="shared" si="95"/>
        <v>2027</v>
      </c>
      <c r="C1248" s="27">
        <f t="shared" si="96"/>
        <v>5</v>
      </c>
      <c r="D1248" s="27">
        <f t="shared" si="97"/>
        <v>31</v>
      </c>
      <c r="E1248" s="27">
        <f t="shared" si="98"/>
        <v>2</v>
      </c>
      <c r="F1248" s="27">
        <f>VLOOKUP(E1248,[1]t_calendarioPolitica!A:C,3,FALSE)</f>
        <v>1</v>
      </c>
      <c r="G1248" s="1">
        <v>1</v>
      </c>
      <c r="H1248" s="1">
        <v>1</v>
      </c>
      <c r="I1248" s="1">
        <f t="shared" si="99"/>
        <v>1</v>
      </c>
    </row>
    <row r="1249" spans="1:9" x14ac:dyDescent="0.3">
      <c r="A1249" s="26">
        <v>46539</v>
      </c>
      <c r="B1249" s="27">
        <f t="shared" si="95"/>
        <v>2027</v>
      </c>
      <c r="C1249" s="27">
        <f t="shared" si="96"/>
        <v>6</v>
      </c>
      <c r="D1249" s="27">
        <f t="shared" si="97"/>
        <v>1</v>
      </c>
      <c r="E1249" s="27">
        <f t="shared" si="98"/>
        <v>3</v>
      </c>
      <c r="F1249" s="27">
        <f>VLOOKUP(E1249,[1]t_calendarioPolitica!A:C,3,FALSE)</f>
        <v>1</v>
      </c>
      <c r="G1249" s="1">
        <v>1</v>
      </c>
      <c r="H1249" s="1">
        <v>1</v>
      </c>
      <c r="I1249" s="1">
        <f t="shared" si="99"/>
        <v>1</v>
      </c>
    </row>
    <row r="1250" spans="1:9" x14ac:dyDescent="0.3">
      <c r="A1250" s="26">
        <v>46540</v>
      </c>
      <c r="B1250" s="27">
        <f t="shared" si="95"/>
        <v>2027</v>
      </c>
      <c r="C1250" s="27">
        <f t="shared" si="96"/>
        <v>6</v>
      </c>
      <c r="D1250" s="27">
        <f t="shared" si="97"/>
        <v>2</v>
      </c>
      <c r="E1250" s="27">
        <f t="shared" si="98"/>
        <v>4</v>
      </c>
      <c r="F1250" s="27">
        <f>VLOOKUP(E1250,[1]t_calendarioPolitica!A:C,3,FALSE)</f>
        <v>1</v>
      </c>
      <c r="G1250" s="1">
        <v>1</v>
      </c>
      <c r="H1250" s="1">
        <v>1</v>
      </c>
      <c r="I1250" s="1">
        <f t="shared" si="99"/>
        <v>1</v>
      </c>
    </row>
    <row r="1251" spans="1:9" x14ac:dyDescent="0.3">
      <c r="A1251" s="26">
        <v>46541</v>
      </c>
      <c r="B1251" s="27">
        <f t="shared" si="95"/>
        <v>2027</v>
      </c>
      <c r="C1251" s="27">
        <f t="shared" si="96"/>
        <v>6</v>
      </c>
      <c r="D1251" s="27">
        <f t="shared" si="97"/>
        <v>3</v>
      </c>
      <c r="E1251" s="27">
        <f t="shared" si="98"/>
        <v>5</v>
      </c>
      <c r="F1251" s="27">
        <f>VLOOKUP(E1251,[1]t_calendarioPolitica!A:C,3,FALSE)</f>
        <v>1</v>
      </c>
      <c r="G1251" s="1">
        <v>1</v>
      </c>
      <c r="H1251" s="1">
        <v>1</v>
      </c>
      <c r="I1251" s="1">
        <f t="shared" si="99"/>
        <v>1</v>
      </c>
    </row>
    <row r="1252" spans="1:9" x14ac:dyDescent="0.3">
      <c r="A1252" s="26">
        <v>46542</v>
      </c>
      <c r="B1252" s="27">
        <f t="shared" si="95"/>
        <v>2027</v>
      </c>
      <c r="C1252" s="27">
        <f t="shared" si="96"/>
        <v>6</v>
      </c>
      <c r="D1252" s="27">
        <f t="shared" si="97"/>
        <v>4</v>
      </c>
      <c r="E1252" s="27">
        <f t="shared" si="98"/>
        <v>6</v>
      </c>
      <c r="F1252" s="27">
        <f>VLOOKUP(E1252,[1]t_calendarioPolitica!A:C,3,FALSE)</f>
        <v>1</v>
      </c>
      <c r="G1252" s="1">
        <v>1</v>
      </c>
      <c r="H1252" s="1">
        <v>1</v>
      </c>
      <c r="I1252" s="1">
        <f t="shared" si="99"/>
        <v>1</v>
      </c>
    </row>
    <row r="1253" spans="1:9" x14ac:dyDescent="0.3">
      <c r="A1253" s="26">
        <v>46543</v>
      </c>
      <c r="B1253" s="27">
        <f t="shared" si="95"/>
        <v>2027</v>
      </c>
      <c r="C1253" s="27">
        <f t="shared" si="96"/>
        <v>6</v>
      </c>
      <c r="D1253" s="27">
        <f t="shared" si="97"/>
        <v>5</v>
      </c>
      <c r="E1253" s="27">
        <f t="shared" si="98"/>
        <v>7</v>
      </c>
      <c r="F1253" s="27">
        <f>VLOOKUP(E1253,[1]t_calendarioPolitica!A:C,3,FALSE)</f>
        <v>2</v>
      </c>
      <c r="G1253" s="1">
        <v>1</v>
      </c>
      <c r="H1253" s="1">
        <v>1</v>
      </c>
      <c r="I1253" s="1">
        <f t="shared" si="99"/>
        <v>1</v>
      </c>
    </row>
    <row r="1254" spans="1:9" x14ac:dyDescent="0.3">
      <c r="A1254" s="26">
        <v>46544</v>
      </c>
      <c r="B1254" s="27">
        <f t="shared" si="95"/>
        <v>2027</v>
      </c>
      <c r="C1254" s="27">
        <f t="shared" si="96"/>
        <v>6</v>
      </c>
      <c r="D1254" s="27">
        <f t="shared" si="97"/>
        <v>6</v>
      </c>
      <c r="E1254" s="27">
        <f t="shared" si="98"/>
        <v>1</v>
      </c>
      <c r="F1254" s="27">
        <f>VLOOKUP(E1254,[1]t_calendarioPolitica!A:C,3,FALSE)</f>
        <v>0</v>
      </c>
      <c r="G1254" s="1">
        <v>1</v>
      </c>
      <c r="H1254" s="1">
        <v>1</v>
      </c>
      <c r="I1254" s="1">
        <f t="shared" si="99"/>
        <v>0</v>
      </c>
    </row>
    <row r="1255" spans="1:9" x14ac:dyDescent="0.3">
      <c r="A1255" s="26">
        <v>46545</v>
      </c>
      <c r="B1255" s="27">
        <f t="shared" si="95"/>
        <v>2027</v>
      </c>
      <c r="C1255" s="27">
        <f t="shared" si="96"/>
        <v>6</v>
      </c>
      <c r="D1255" s="27">
        <f t="shared" si="97"/>
        <v>7</v>
      </c>
      <c r="E1255" s="27">
        <f t="shared" si="98"/>
        <v>2</v>
      </c>
      <c r="F1255" s="27">
        <f>VLOOKUP(E1255,[1]t_calendarioPolitica!A:C,3,FALSE)</f>
        <v>1</v>
      </c>
      <c r="G1255" s="1">
        <v>1</v>
      </c>
      <c r="H1255" s="1">
        <v>1</v>
      </c>
      <c r="I1255" s="1">
        <f t="shared" si="99"/>
        <v>1</v>
      </c>
    </row>
    <row r="1256" spans="1:9" x14ac:dyDescent="0.3">
      <c r="A1256" s="26">
        <v>46546</v>
      </c>
      <c r="B1256" s="27">
        <f t="shared" si="95"/>
        <v>2027</v>
      </c>
      <c r="C1256" s="27">
        <f t="shared" si="96"/>
        <v>6</v>
      </c>
      <c r="D1256" s="27">
        <f t="shared" si="97"/>
        <v>8</v>
      </c>
      <c r="E1256" s="27">
        <f t="shared" si="98"/>
        <v>3</v>
      </c>
      <c r="F1256" s="27">
        <f>VLOOKUP(E1256,[1]t_calendarioPolitica!A:C,3,FALSE)</f>
        <v>1</v>
      </c>
      <c r="G1256" s="1">
        <v>1</v>
      </c>
      <c r="H1256" s="1">
        <v>1</v>
      </c>
      <c r="I1256" s="1">
        <f t="shared" si="99"/>
        <v>1</v>
      </c>
    </row>
    <row r="1257" spans="1:9" x14ac:dyDescent="0.3">
      <c r="A1257" s="26">
        <v>46547</v>
      </c>
      <c r="B1257" s="27">
        <f t="shared" si="95"/>
        <v>2027</v>
      </c>
      <c r="C1257" s="27">
        <f t="shared" si="96"/>
        <v>6</v>
      </c>
      <c r="D1257" s="27">
        <f t="shared" si="97"/>
        <v>9</v>
      </c>
      <c r="E1257" s="27">
        <f t="shared" si="98"/>
        <v>4</v>
      </c>
      <c r="F1257" s="27">
        <f>VLOOKUP(E1257,[1]t_calendarioPolitica!A:C,3,FALSE)</f>
        <v>1</v>
      </c>
      <c r="G1257" s="1">
        <v>1</v>
      </c>
      <c r="H1257" s="1">
        <v>1</v>
      </c>
      <c r="I1257" s="1">
        <f t="shared" si="99"/>
        <v>1</v>
      </c>
    </row>
    <row r="1258" spans="1:9" x14ac:dyDescent="0.3">
      <c r="A1258" s="26">
        <v>46548</v>
      </c>
      <c r="B1258" s="27">
        <f t="shared" si="95"/>
        <v>2027</v>
      </c>
      <c r="C1258" s="27">
        <f t="shared" si="96"/>
        <v>6</v>
      </c>
      <c r="D1258" s="27">
        <f t="shared" si="97"/>
        <v>10</v>
      </c>
      <c r="E1258" s="27">
        <f t="shared" si="98"/>
        <v>5</v>
      </c>
      <c r="F1258" s="27">
        <f>VLOOKUP(E1258,[1]t_calendarioPolitica!A:C,3,FALSE)</f>
        <v>1</v>
      </c>
      <c r="G1258" s="1">
        <v>1</v>
      </c>
      <c r="H1258" s="1">
        <v>1</v>
      </c>
      <c r="I1258" s="1">
        <f t="shared" si="99"/>
        <v>1</v>
      </c>
    </row>
    <row r="1259" spans="1:9" x14ac:dyDescent="0.3">
      <c r="A1259" s="26">
        <v>46549</v>
      </c>
      <c r="B1259" s="27">
        <f t="shared" si="95"/>
        <v>2027</v>
      </c>
      <c r="C1259" s="27">
        <f t="shared" si="96"/>
        <v>6</v>
      </c>
      <c r="D1259" s="27">
        <f t="shared" si="97"/>
        <v>11</v>
      </c>
      <c r="E1259" s="27">
        <f t="shared" si="98"/>
        <v>6</v>
      </c>
      <c r="F1259" s="27">
        <f>VLOOKUP(E1259,[1]t_calendarioPolitica!A:C,3,FALSE)</f>
        <v>1</v>
      </c>
      <c r="G1259" s="1">
        <v>1</v>
      </c>
      <c r="H1259" s="1">
        <v>1</v>
      </c>
      <c r="I1259" s="1">
        <f t="shared" si="99"/>
        <v>1</v>
      </c>
    </row>
    <row r="1260" spans="1:9" x14ac:dyDescent="0.3">
      <c r="A1260" s="26">
        <v>46550</v>
      </c>
      <c r="B1260" s="27">
        <f t="shared" si="95"/>
        <v>2027</v>
      </c>
      <c r="C1260" s="27">
        <f t="shared" si="96"/>
        <v>6</v>
      </c>
      <c r="D1260" s="27">
        <f t="shared" si="97"/>
        <v>12</v>
      </c>
      <c r="E1260" s="27">
        <f t="shared" si="98"/>
        <v>7</v>
      </c>
      <c r="F1260" s="27">
        <f>VLOOKUP(E1260,[1]t_calendarioPolitica!A:C,3,FALSE)</f>
        <v>2</v>
      </c>
      <c r="G1260" s="1">
        <v>1</v>
      </c>
      <c r="H1260" s="1">
        <v>1</v>
      </c>
      <c r="I1260" s="1">
        <f t="shared" si="99"/>
        <v>1</v>
      </c>
    </row>
    <row r="1261" spans="1:9" x14ac:dyDescent="0.3">
      <c r="A1261" s="26">
        <v>46551</v>
      </c>
      <c r="B1261" s="27">
        <f t="shared" si="95"/>
        <v>2027</v>
      </c>
      <c r="C1261" s="27">
        <f t="shared" si="96"/>
        <v>6</v>
      </c>
      <c r="D1261" s="27">
        <f t="shared" si="97"/>
        <v>13</v>
      </c>
      <c r="E1261" s="27">
        <f t="shared" si="98"/>
        <v>1</v>
      </c>
      <c r="F1261" s="27">
        <f>VLOOKUP(E1261,[1]t_calendarioPolitica!A:C,3,FALSE)</f>
        <v>0</v>
      </c>
      <c r="G1261" s="1">
        <v>1</v>
      </c>
      <c r="H1261" s="1">
        <v>1</v>
      </c>
      <c r="I1261" s="1">
        <f t="shared" si="99"/>
        <v>0</v>
      </c>
    </row>
    <row r="1262" spans="1:9" x14ac:dyDescent="0.3">
      <c r="A1262" s="26">
        <v>46552</v>
      </c>
      <c r="B1262" s="27">
        <f t="shared" si="95"/>
        <v>2027</v>
      </c>
      <c r="C1262" s="27">
        <f t="shared" si="96"/>
        <v>6</v>
      </c>
      <c r="D1262" s="27">
        <f t="shared" si="97"/>
        <v>14</v>
      </c>
      <c r="E1262" s="27">
        <f t="shared" si="98"/>
        <v>2</v>
      </c>
      <c r="F1262" s="27">
        <f>VLOOKUP(E1262,[1]t_calendarioPolitica!A:C,3,FALSE)</f>
        <v>1</v>
      </c>
      <c r="G1262" s="1">
        <v>1</v>
      </c>
      <c r="H1262" s="1">
        <v>1</v>
      </c>
      <c r="I1262" s="1">
        <f t="shared" si="99"/>
        <v>1</v>
      </c>
    </row>
    <row r="1263" spans="1:9" x14ac:dyDescent="0.3">
      <c r="A1263" s="26">
        <v>46553</v>
      </c>
      <c r="B1263" s="27">
        <f t="shared" si="95"/>
        <v>2027</v>
      </c>
      <c r="C1263" s="27">
        <f t="shared" si="96"/>
        <v>6</v>
      </c>
      <c r="D1263" s="27">
        <f t="shared" si="97"/>
        <v>15</v>
      </c>
      <c r="E1263" s="27">
        <f t="shared" si="98"/>
        <v>3</v>
      </c>
      <c r="F1263" s="27">
        <f>VLOOKUP(E1263,[1]t_calendarioPolitica!A:C,3,FALSE)</f>
        <v>1</v>
      </c>
      <c r="G1263" s="1">
        <v>1</v>
      </c>
      <c r="H1263" s="1">
        <v>1</v>
      </c>
      <c r="I1263" s="1">
        <f t="shared" si="99"/>
        <v>1</v>
      </c>
    </row>
    <row r="1264" spans="1:9" x14ac:dyDescent="0.3">
      <c r="A1264" s="26">
        <v>46554</v>
      </c>
      <c r="B1264" s="27">
        <f t="shared" si="95"/>
        <v>2027</v>
      </c>
      <c r="C1264" s="27">
        <f t="shared" si="96"/>
        <v>6</v>
      </c>
      <c r="D1264" s="27">
        <f t="shared" si="97"/>
        <v>16</v>
      </c>
      <c r="E1264" s="27">
        <f t="shared" si="98"/>
        <v>4</v>
      </c>
      <c r="F1264" s="27">
        <f>VLOOKUP(E1264,[1]t_calendarioPolitica!A:C,3,FALSE)</f>
        <v>1</v>
      </c>
      <c r="G1264" s="1">
        <v>1</v>
      </c>
      <c r="H1264" s="1">
        <v>1</v>
      </c>
      <c r="I1264" s="1">
        <f t="shared" si="99"/>
        <v>1</v>
      </c>
    </row>
    <row r="1265" spans="1:9" x14ac:dyDescent="0.3">
      <c r="A1265" s="26">
        <v>46555</v>
      </c>
      <c r="B1265" s="27">
        <f t="shared" si="95"/>
        <v>2027</v>
      </c>
      <c r="C1265" s="27">
        <f t="shared" si="96"/>
        <v>6</v>
      </c>
      <c r="D1265" s="27">
        <f t="shared" si="97"/>
        <v>17</v>
      </c>
      <c r="E1265" s="27">
        <f t="shared" si="98"/>
        <v>5</v>
      </c>
      <c r="F1265" s="27">
        <f>VLOOKUP(E1265,[1]t_calendarioPolitica!A:C,3,FALSE)</f>
        <v>1</v>
      </c>
      <c r="G1265" s="1">
        <v>1</v>
      </c>
      <c r="H1265" s="1">
        <v>1</v>
      </c>
      <c r="I1265" s="1">
        <f t="shared" si="99"/>
        <v>1</v>
      </c>
    </row>
    <row r="1266" spans="1:9" x14ac:dyDescent="0.3">
      <c r="A1266" s="26">
        <v>46556</v>
      </c>
      <c r="B1266" s="27">
        <f t="shared" si="95"/>
        <v>2027</v>
      </c>
      <c r="C1266" s="27">
        <f t="shared" si="96"/>
        <v>6</v>
      </c>
      <c r="D1266" s="27">
        <f t="shared" si="97"/>
        <v>18</v>
      </c>
      <c r="E1266" s="27">
        <f t="shared" si="98"/>
        <v>6</v>
      </c>
      <c r="F1266" s="27">
        <f>VLOOKUP(E1266,[1]t_calendarioPolitica!A:C,3,FALSE)</f>
        <v>1</v>
      </c>
      <c r="G1266" s="1">
        <v>1</v>
      </c>
      <c r="H1266" s="1">
        <v>1</v>
      </c>
      <c r="I1266" s="1">
        <f t="shared" si="99"/>
        <v>1</v>
      </c>
    </row>
    <row r="1267" spans="1:9" x14ac:dyDescent="0.3">
      <c r="A1267" s="26">
        <v>46557</v>
      </c>
      <c r="B1267" s="27">
        <f t="shared" si="95"/>
        <v>2027</v>
      </c>
      <c r="C1267" s="27">
        <f t="shared" si="96"/>
        <v>6</v>
      </c>
      <c r="D1267" s="27">
        <f t="shared" si="97"/>
        <v>19</v>
      </c>
      <c r="E1267" s="27">
        <f t="shared" si="98"/>
        <v>7</v>
      </c>
      <c r="F1267" s="27">
        <f>VLOOKUP(E1267,[1]t_calendarioPolitica!A:C,3,FALSE)</f>
        <v>2</v>
      </c>
      <c r="G1267" s="1">
        <v>1</v>
      </c>
      <c r="H1267" s="1">
        <v>1</v>
      </c>
      <c r="I1267" s="1">
        <f t="shared" si="99"/>
        <v>1</v>
      </c>
    </row>
    <row r="1268" spans="1:9" x14ac:dyDescent="0.3">
      <c r="A1268" s="26">
        <v>46558</v>
      </c>
      <c r="B1268" s="27">
        <f t="shared" si="95"/>
        <v>2027</v>
      </c>
      <c r="C1268" s="27">
        <f t="shared" si="96"/>
        <v>6</v>
      </c>
      <c r="D1268" s="27">
        <f t="shared" si="97"/>
        <v>20</v>
      </c>
      <c r="E1268" s="27">
        <f t="shared" si="98"/>
        <v>1</v>
      </c>
      <c r="F1268" s="27">
        <f>VLOOKUP(E1268,[1]t_calendarioPolitica!A:C,3,FALSE)</f>
        <v>0</v>
      </c>
      <c r="G1268" s="1">
        <v>1</v>
      </c>
      <c r="H1268" s="1">
        <v>1</v>
      </c>
      <c r="I1268" s="1">
        <f t="shared" si="99"/>
        <v>0</v>
      </c>
    </row>
    <row r="1269" spans="1:9" x14ac:dyDescent="0.3">
      <c r="A1269" s="26">
        <v>46559</v>
      </c>
      <c r="B1269" s="27">
        <f t="shared" si="95"/>
        <v>2027</v>
      </c>
      <c r="C1269" s="27">
        <f t="shared" si="96"/>
        <v>6</v>
      </c>
      <c r="D1269" s="27">
        <f t="shared" si="97"/>
        <v>21</v>
      </c>
      <c r="E1269" s="27">
        <f t="shared" si="98"/>
        <v>2</v>
      </c>
      <c r="F1269" s="27">
        <f>VLOOKUP(E1269,[1]t_calendarioPolitica!A:C,3,FALSE)</f>
        <v>1</v>
      </c>
      <c r="G1269" s="1">
        <v>1</v>
      </c>
      <c r="H1269" s="1">
        <v>1</v>
      </c>
      <c r="I1269" s="1">
        <f t="shared" si="99"/>
        <v>1</v>
      </c>
    </row>
    <row r="1270" spans="1:9" x14ac:dyDescent="0.3">
      <c r="A1270" s="26">
        <v>46560</v>
      </c>
      <c r="B1270" s="27">
        <f t="shared" si="95"/>
        <v>2027</v>
      </c>
      <c r="C1270" s="27">
        <f t="shared" si="96"/>
        <v>6</v>
      </c>
      <c r="D1270" s="27">
        <f t="shared" si="97"/>
        <v>22</v>
      </c>
      <c r="E1270" s="27">
        <f t="shared" si="98"/>
        <v>3</v>
      </c>
      <c r="F1270" s="27">
        <f>VLOOKUP(E1270,[1]t_calendarioPolitica!A:C,3,FALSE)</f>
        <v>1</v>
      </c>
      <c r="G1270" s="1">
        <v>1</v>
      </c>
      <c r="H1270" s="1">
        <v>1</v>
      </c>
      <c r="I1270" s="1">
        <f t="shared" si="99"/>
        <v>1</v>
      </c>
    </row>
    <row r="1271" spans="1:9" x14ac:dyDescent="0.3">
      <c r="A1271" s="26">
        <v>46561</v>
      </c>
      <c r="B1271" s="27">
        <f t="shared" si="95"/>
        <v>2027</v>
      </c>
      <c r="C1271" s="27">
        <f t="shared" si="96"/>
        <v>6</v>
      </c>
      <c r="D1271" s="27">
        <f t="shared" si="97"/>
        <v>23</v>
      </c>
      <c r="E1271" s="27">
        <f t="shared" si="98"/>
        <v>4</v>
      </c>
      <c r="F1271" s="27">
        <f>VLOOKUP(E1271,[1]t_calendarioPolitica!A:C,3,FALSE)</f>
        <v>1</v>
      </c>
      <c r="G1271" s="1">
        <v>1</v>
      </c>
      <c r="H1271" s="1">
        <v>1</v>
      </c>
      <c r="I1271" s="1">
        <f t="shared" si="99"/>
        <v>1</v>
      </c>
    </row>
    <row r="1272" spans="1:9" x14ac:dyDescent="0.3">
      <c r="A1272" s="26">
        <v>46562</v>
      </c>
      <c r="B1272" s="27">
        <f t="shared" si="95"/>
        <v>2027</v>
      </c>
      <c r="C1272" s="27">
        <f t="shared" si="96"/>
        <v>6</v>
      </c>
      <c r="D1272" s="27">
        <f t="shared" si="97"/>
        <v>24</v>
      </c>
      <c r="E1272" s="27">
        <f t="shared" si="98"/>
        <v>5</v>
      </c>
      <c r="F1272" s="27">
        <f>VLOOKUP(E1272,[1]t_calendarioPolitica!A:C,3,FALSE)</f>
        <v>1</v>
      </c>
      <c r="G1272" s="1">
        <v>1</v>
      </c>
      <c r="H1272" s="1">
        <v>1</v>
      </c>
      <c r="I1272" s="1">
        <f t="shared" si="99"/>
        <v>1</v>
      </c>
    </row>
    <row r="1273" spans="1:9" x14ac:dyDescent="0.3">
      <c r="A1273" s="26">
        <v>46563</v>
      </c>
      <c r="B1273" s="27">
        <f t="shared" si="95"/>
        <v>2027</v>
      </c>
      <c r="C1273" s="27">
        <f t="shared" si="96"/>
        <v>6</v>
      </c>
      <c r="D1273" s="27">
        <f t="shared" si="97"/>
        <v>25</v>
      </c>
      <c r="E1273" s="27">
        <f t="shared" si="98"/>
        <v>6</v>
      </c>
      <c r="F1273" s="27">
        <f>VLOOKUP(E1273,[1]t_calendarioPolitica!A:C,3,FALSE)</f>
        <v>1</v>
      </c>
      <c r="G1273" s="1">
        <v>1</v>
      </c>
      <c r="H1273" s="1">
        <v>1</v>
      </c>
      <c r="I1273" s="1">
        <f t="shared" si="99"/>
        <v>1</v>
      </c>
    </row>
    <row r="1274" spans="1:9" x14ac:dyDescent="0.3">
      <c r="A1274" s="26">
        <v>46564</v>
      </c>
      <c r="B1274" s="27">
        <f t="shared" si="95"/>
        <v>2027</v>
      </c>
      <c r="C1274" s="27">
        <f t="shared" si="96"/>
        <v>6</v>
      </c>
      <c r="D1274" s="27">
        <f t="shared" si="97"/>
        <v>26</v>
      </c>
      <c r="E1274" s="27">
        <f t="shared" si="98"/>
        <v>7</v>
      </c>
      <c r="F1274" s="27">
        <f>VLOOKUP(E1274,[1]t_calendarioPolitica!A:C,3,FALSE)</f>
        <v>2</v>
      </c>
      <c r="G1274" s="1">
        <v>1</v>
      </c>
      <c r="H1274" s="1">
        <v>1</v>
      </c>
      <c r="I1274" s="1">
        <f t="shared" si="99"/>
        <v>1</v>
      </c>
    </row>
    <row r="1275" spans="1:9" x14ac:dyDescent="0.3">
      <c r="A1275" s="26">
        <v>46565</v>
      </c>
      <c r="B1275" s="27">
        <f t="shared" si="95"/>
        <v>2027</v>
      </c>
      <c r="C1275" s="27">
        <f t="shared" si="96"/>
        <v>6</v>
      </c>
      <c r="D1275" s="27">
        <f t="shared" si="97"/>
        <v>27</v>
      </c>
      <c r="E1275" s="27">
        <f t="shared" si="98"/>
        <v>1</v>
      </c>
      <c r="F1275" s="27">
        <f>VLOOKUP(E1275,[1]t_calendarioPolitica!A:C,3,FALSE)</f>
        <v>0</v>
      </c>
      <c r="G1275" s="1">
        <v>1</v>
      </c>
      <c r="H1275" s="1">
        <v>1</v>
      </c>
      <c r="I1275" s="1">
        <f t="shared" si="99"/>
        <v>0</v>
      </c>
    </row>
    <row r="1276" spans="1:9" x14ac:dyDescent="0.3">
      <c r="A1276" s="26">
        <v>46566</v>
      </c>
      <c r="B1276" s="27">
        <f t="shared" si="95"/>
        <v>2027</v>
      </c>
      <c r="C1276" s="27">
        <f t="shared" si="96"/>
        <v>6</v>
      </c>
      <c r="D1276" s="27">
        <f t="shared" si="97"/>
        <v>28</v>
      </c>
      <c r="E1276" s="27">
        <f t="shared" si="98"/>
        <v>2</v>
      </c>
      <c r="F1276" s="27">
        <f>VLOOKUP(E1276,[1]t_calendarioPolitica!A:C,3,FALSE)</f>
        <v>1</v>
      </c>
      <c r="G1276" s="1">
        <v>1</v>
      </c>
      <c r="H1276" s="1">
        <v>1</v>
      </c>
      <c r="I1276" s="1">
        <f t="shared" si="99"/>
        <v>1</v>
      </c>
    </row>
    <row r="1277" spans="1:9" x14ac:dyDescent="0.3">
      <c r="A1277" s="26">
        <v>46567</v>
      </c>
      <c r="B1277" s="27">
        <f t="shared" si="95"/>
        <v>2027</v>
      </c>
      <c r="C1277" s="27">
        <f t="shared" si="96"/>
        <v>6</v>
      </c>
      <c r="D1277" s="27">
        <f t="shared" si="97"/>
        <v>29</v>
      </c>
      <c r="E1277" s="27">
        <f t="shared" si="98"/>
        <v>3</v>
      </c>
      <c r="F1277" s="27">
        <f>VLOOKUP(E1277,[1]t_calendarioPolitica!A:C,3,FALSE)</f>
        <v>1</v>
      </c>
      <c r="G1277" s="1">
        <v>1</v>
      </c>
      <c r="H1277" s="1">
        <v>1</v>
      </c>
      <c r="I1277" s="1">
        <f t="shared" si="99"/>
        <v>1</v>
      </c>
    </row>
    <row r="1278" spans="1:9" x14ac:dyDescent="0.3">
      <c r="A1278" s="26">
        <v>46568</v>
      </c>
      <c r="B1278" s="27">
        <f t="shared" si="95"/>
        <v>2027</v>
      </c>
      <c r="C1278" s="27">
        <f t="shared" si="96"/>
        <v>6</v>
      </c>
      <c r="D1278" s="27">
        <f t="shared" si="97"/>
        <v>30</v>
      </c>
      <c r="E1278" s="27">
        <f t="shared" si="98"/>
        <v>4</v>
      </c>
      <c r="F1278" s="27">
        <f>VLOOKUP(E1278,[1]t_calendarioPolitica!A:C,3,FALSE)</f>
        <v>1</v>
      </c>
      <c r="G1278" s="1">
        <v>1</v>
      </c>
      <c r="H1278" s="1">
        <v>1</v>
      </c>
      <c r="I1278" s="1">
        <f t="shared" si="99"/>
        <v>1</v>
      </c>
    </row>
    <row r="1279" spans="1:9" x14ac:dyDescent="0.3">
      <c r="A1279" s="26">
        <v>46569</v>
      </c>
      <c r="B1279" s="27">
        <f t="shared" si="95"/>
        <v>2027</v>
      </c>
      <c r="C1279" s="27">
        <f t="shared" si="96"/>
        <v>7</v>
      </c>
      <c r="D1279" s="27">
        <f t="shared" si="97"/>
        <v>1</v>
      </c>
      <c r="E1279" s="27">
        <f t="shared" si="98"/>
        <v>5</v>
      </c>
      <c r="F1279" s="27">
        <f>VLOOKUP(E1279,[1]t_calendarioPolitica!A:C,3,FALSE)</f>
        <v>1</v>
      </c>
      <c r="G1279" s="1">
        <v>1</v>
      </c>
      <c r="H1279" s="1">
        <v>1</v>
      </c>
      <c r="I1279" s="1">
        <f t="shared" si="99"/>
        <v>1</v>
      </c>
    </row>
    <row r="1280" spans="1:9" x14ac:dyDescent="0.3">
      <c r="A1280" s="26">
        <v>46570</v>
      </c>
      <c r="B1280" s="27">
        <f t="shared" si="95"/>
        <v>2027</v>
      </c>
      <c r="C1280" s="27">
        <f t="shared" si="96"/>
        <v>7</v>
      </c>
      <c r="D1280" s="27">
        <f t="shared" si="97"/>
        <v>2</v>
      </c>
      <c r="E1280" s="27">
        <f t="shared" si="98"/>
        <v>6</v>
      </c>
      <c r="F1280" s="27">
        <f>VLOOKUP(E1280,[1]t_calendarioPolitica!A:C,3,FALSE)</f>
        <v>1</v>
      </c>
      <c r="G1280" s="1">
        <v>1</v>
      </c>
      <c r="H1280" s="1">
        <v>1</v>
      </c>
      <c r="I1280" s="1">
        <f t="shared" si="99"/>
        <v>1</v>
      </c>
    </row>
    <row r="1281" spans="1:9" x14ac:dyDescent="0.3">
      <c r="A1281" s="26">
        <v>46571</v>
      </c>
      <c r="B1281" s="27">
        <f t="shared" si="95"/>
        <v>2027</v>
      </c>
      <c r="C1281" s="27">
        <f t="shared" si="96"/>
        <v>7</v>
      </c>
      <c r="D1281" s="27">
        <f t="shared" si="97"/>
        <v>3</v>
      </c>
      <c r="E1281" s="27">
        <f t="shared" si="98"/>
        <v>7</v>
      </c>
      <c r="F1281" s="27">
        <f>VLOOKUP(E1281,[1]t_calendarioPolitica!A:C,3,FALSE)</f>
        <v>2</v>
      </c>
      <c r="G1281" s="1">
        <v>1</v>
      </c>
      <c r="H1281" s="1">
        <v>1</v>
      </c>
      <c r="I1281" s="1">
        <f t="shared" si="99"/>
        <v>1</v>
      </c>
    </row>
    <row r="1282" spans="1:9" x14ac:dyDescent="0.3">
      <c r="A1282" s="26">
        <v>46572</v>
      </c>
      <c r="B1282" s="27">
        <f t="shared" si="95"/>
        <v>2027</v>
      </c>
      <c r="C1282" s="27">
        <f t="shared" si="96"/>
        <v>7</v>
      </c>
      <c r="D1282" s="27">
        <f t="shared" si="97"/>
        <v>4</v>
      </c>
      <c r="E1282" s="27">
        <f t="shared" si="98"/>
        <v>1</v>
      </c>
      <c r="F1282" s="27">
        <f>VLOOKUP(E1282,[1]t_calendarioPolitica!A:C,3,FALSE)</f>
        <v>0</v>
      </c>
      <c r="G1282" s="1">
        <v>1</v>
      </c>
      <c r="H1282" s="1">
        <v>1</v>
      </c>
      <c r="I1282" s="1">
        <f t="shared" si="99"/>
        <v>0</v>
      </c>
    </row>
    <row r="1283" spans="1:9" x14ac:dyDescent="0.3">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VLOOKUP(E1283,[1]t_calendarioPolitica!A:C,3,FALSE)</f>
        <v>1</v>
      </c>
      <c r="G1283" s="1">
        <v>1</v>
      </c>
      <c r="H1283" s="1">
        <v>1</v>
      </c>
      <c r="I1283" s="1">
        <f t="shared" ref="I1283:I1346" si="104">IF(AND(F1283&lt;&gt;0, H1283&lt;&gt;0,G1283&lt;&gt;0), 1, 0)</f>
        <v>1</v>
      </c>
    </row>
    <row r="1284" spans="1:9" x14ac:dyDescent="0.3">
      <c r="A1284" s="26">
        <v>46574</v>
      </c>
      <c r="B1284" s="27">
        <f t="shared" si="100"/>
        <v>2027</v>
      </c>
      <c r="C1284" s="27">
        <f t="shared" si="101"/>
        <v>7</v>
      </c>
      <c r="D1284" s="27">
        <f t="shared" si="102"/>
        <v>6</v>
      </c>
      <c r="E1284" s="27">
        <f t="shared" si="103"/>
        <v>3</v>
      </c>
      <c r="F1284" s="27">
        <f>VLOOKUP(E1284,[1]t_calendarioPolitica!A:C,3,FALSE)</f>
        <v>1</v>
      </c>
      <c r="G1284" s="1">
        <v>1</v>
      </c>
      <c r="H1284" s="1">
        <v>1</v>
      </c>
      <c r="I1284" s="1">
        <f t="shared" si="104"/>
        <v>1</v>
      </c>
    </row>
    <row r="1285" spans="1:9" x14ac:dyDescent="0.3">
      <c r="A1285" s="26">
        <v>46575</v>
      </c>
      <c r="B1285" s="27">
        <f t="shared" si="100"/>
        <v>2027</v>
      </c>
      <c r="C1285" s="27">
        <f t="shared" si="101"/>
        <v>7</v>
      </c>
      <c r="D1285" s="27">
        <f t="shared" si="102"/>
        <v>7</v>
      </c>
      <c r="E1285" s="27">
        <f t="shared" si="103"/>
        <v>4</v>
      </c>
      <c r="F1285" s="27">
        <f>VLOOKUP(E1285,[1]t_calendarioPolitica!A:C,3,FALSE)</f>
        <v>1</v>
      </c>
      <c r="G1285" s="1">
        <v>1</v>
      </c>
      <c r="H1285" s="1">
        <v>1</v>
      </c>
      <c r="I1285" s="1">
        <f t="shared" si="104"/>
        <v>1</v>
      </c>
    </row>
    <row r="1286" spans="1:9" x14ac:dyDescent="0.3">
      <c r="A1286" s="26">
        <v>46576</v>
      </c>
      <c r="B1286" s="27">
        <f t="shared" si="100"/>
        <v>2027</v>
      </c>
      <c r="C1286" s="27">
        <f t="shared" si="101"/>
        <v>7</v>
      </c>
      <c r="D1286" s="27">
        <f t="shared" si="102"/>
        <v>8</v>
      </c>
      <c r="E1286" s="27">
        <f t="shared" si="103"/>
        <v>5</v>
      </c>
      <c r="F1286" s="27">
        <f>VLOOKUP(E1286,[1]t_calendarioPolitica!A:C,3,FALSE)</f>
        <v>1</v>
      </c>
      <c r="G1286" s="1">
        <v>1</v>
      </c>
      <c r="H1286" s="1">
        <v>1</v>
      </c>
      <c r="I1286" s="1">
        <f t="shared" si="104"/>
        <v>1</v>
      </c>
    </row>
    <row r="1287" spans="1:9" x14ac:dyDescent="0.3">
      <c r="A1287" s="26">
        <v>46577</v>
      </c>
      <c r="B1287" s="27">
        <f t="shared" si="100"/>
        <v>2027</v>
      </c>
      <c r="C1287" s="27">
        <f t="shared" si="101"/>
        <v>7</v>
      </c>
      <c r="D1287" s="27">
        <f t="shared" si="102"/>
        <v>9</v>
      </c>
      <c r="E1287" s="27">
        <f t="shared" si="103"/>
        <v>6</v>
      </c>
      <c r="F1287" s="27">
        <f>VLOOKUP(E1287,[1]t_calendarioPolitica!A:C,3,FALSE)</f>
        <v>1</v>
      </c>
      <c r="G1287" s="1">
        <v>1</v>
      </c>
      <c r="H1287" s="1">
        <v>1</v>
      </c>
      <c r="I1287" s="1">
        <f t="shared" si="104"/>
        <v>1</v>
      </c>
    </row>
    <row r="1288" spans="1:9" x14ac:dyDescent="0.3">
      <c r="A1288" s="26">
        <v>46578</v>
      </c>
      <c r="B1288" s="27">
        <f t="shared" si="100"/>
        <v>2027</v>
      </c>
      <c r="C1288" s="27">
        <f t="shared" si="101"/>
        <v>7</v>
      </c>
      <c r="D1288" s="27">
        <f t="shared" si="102"/>
        <v>10</v>
      </c>
      <c r="E1288" s="27">
        <f t="shared" si="103"/>
        <v>7</v>
      </c>
      <c r="F1288" s="27">
        <f>VLOOKUP(E1288,[1]t_calendarioPolitica!A:C,3,FALSE)</f>
        <v>2</v>
      </c>
      <c r="G1288" s="1">
        <v>1</v>
      </c>
      <c r="H1288" s="1">
        <v>1</v>
      </c>
      <c r="I1288" s="1">
        <f t="shared" si="104"/>
        <v>1</v>
      </c>
    </row>
    <row r="1289" spans="1:9" x14ac:dyDescent="0.3">
      <c r="A1289" s="26">
        <v>46579</v>
      </c>
      <c r="B1289" s="27">
        <f t="shared" si="100"/>
        <v>2027</v>
      </c>
      <c r="C1289" s="27">
        <f t="shared" si="101"/>
        <v>7</v>
      </c>
      <c r="D1289" s="27">
        <f t="shared" si="102"/>
        <v>11</v>
      </c>
      <c r="E1289" s="27">
        <f t="shared" si="103"/>
        <v>1</v>
      </c>
      <c r="F1289" s="27">
        <f>VLOOKUP(E1289,[1]t_calendarioPolitica!A:C,3,FALSE)</f>
        <v>0</v>
      </c>
      <c r="G1289" s="1">
        <v>1</v>
      </c>
      <c r="H1289" s="1">
        <v>1</v>
      </c>
      <c r="I1289" s="1">
        <f t="shared" si="104"/>
        <v>0</v>
      </c>
    </row>
    <row r="1290" spans="1:9" x14ac:dyDescent="0.3">
      <c r="A1290" s="26">
        <v>46580</v>
      </c>
      <c r="B1290" s="27">
        <f t="shared" si="100"/>
        <v>2027</v>
      </c>
      <c r="C1290" s="27">
        <f t="shared" si="101"/>
        <v>7</v>
      </c>
      <c r="D1290" s="27">
        <f t="shared" si="102"/>
        <v>12</v>
      </c>
      <c r="E1290" s="27">
        <f t="shared" si="103"/>
        <v>2</v>
      </c>
      <c r="F1290" s="27">
        <f>VLOOKUP(E1290,[1]t_calendarioPolitica!A:C,3,FALSE)</f>
        <v>1</v>
      </c>
      <c r="G1290" s="1">
        <v>1</v>
      </c>
      <c r="H1290" s="1">
        <v>1</v>
      </c>
      <c r="I1290" s="1">
        <f t="shared" si="104"/>
        <v>1</v>
      </c>
    </row>
    <row r="1291" spans="1:9" x14ac:dyDescent="0.3">
      <c r="A1291" s="26">
        <v>46581</v>
      </c>
      <c r="B1291" s="27">
        <f t="shared" si="100"/>
        <v>2027</v>
      </c>
      <c r="C1291" s="27">
        <f t="shared" si="101"/>
        <v>7</v>
      </c>
      <c r="D1291" s="27">
        <f t="shared" si="102"/>
        <v>13</v>
      </c>
      <c r="E1291" s="27">
        <f t="shared" si="103"/>
        <v>3</v>
      </c>
      <c r="F1291" s="27">
        <f>VLOOKUP(E1291,[1]t_calendarioPolitica!A:C,3,FALSE)</f>
        <v>1</v>
      </c>
      <c r="G1291" s="1">
        <v>1</v>
      </c>
      <c r="H1291" s="1">
        <v>1</v>
      </c>
      <c r="I1291" s="1">
        <f t="shared" si="104"/>
        <v>1</v>
      </c>
    </row>
    <row r="1292" spans="1:9" x14ac:dyDescent="0.3">
      <c r="A1292" s="26">
        <v>46582</v>
      </c>
      <c r="B1292" s="27">
        <f t="shared" si="100"/>
        <v>2027</v>
      </c>
      <c r="C1292" s="27">
        <f t="shared" si="101"/>
        <v>7</v>
      </c>
      <c r="D1292" s="27">
        <f t="shared" si="102"/>
        <v>14</v>
      </c>
      <c r="E1292" s="27">
        <f t="shared" si="103"/>
        <v>4</v>
      </c>
      <c r="F1292" s="27">
        <f>VLOOKUP(E1292,[1]t_calendarioPolitica!A:C,3,FALSE)</f>
        <v>1</v>
      </c>
      <c r="G1292" s="1">
        <v>1</v>
      </c>
      <c r="H1292" s="1">
        <v>1</v>
      </c>
      <c r="I1292" s="1">
        <f t="shared" si="104"/>
        <v>1</v>
      </c>
    </row>
    <row r="1293" spans="1:9" x14ac:dyDescent="0.3">
      <c r="A1293" s="26">
        <v>46583</v>
      </c>
      <c r="B1293" s="27">
        <f t="shared" si="100"/>
        <v>2027</v>
      </c>
      <c r="C1293" s="27">
        <f t="shared" si="101"/>
        <v>7</v>
      </c>
      <c r="D1293" s="27">
        <f t="shared" si="102"/>
        <v>15</v>
      </c>
      <c r="E1293" s="27">
        <f t="shared" si="103"/>
        <v>5</v>
      </c>
      <c r="F1293" s="27">
        <f>VLOOKUP(E1293,[1]t_calendarioPolitica!A:C,3,FALSE)</f>
        <v>1</v>
      </c>
      <c r="G1293" s="1">
        <v>1</v>
      </c>
      <c r="H1293" s="1">
        <v>1</v>
      </c>
      <c r="I1293" s="1">
        <f t="shared" si="104"/>
        <v>1</v>
      </c>
    </row>
    <row r="1294" spans="1:9" x14ac:dyDescent="0.3">
      <c r="A1294" s="26">
        <v>46584</v>
      </c>
      <c r="B1294" s="27">
        <f t="shared" si="100"/>
        <v>2027</v>
      </c>
      <c r="C1294" s="27">
        <f t="shared" si="101"/>
        <v>7</v>
      </c>
      <c r="D1294" s="27">
        <f t="shared" si="102"/>
        <v>16</v>
      </c>
      <c r="E1294" s="27">
        <f t="shared" si="103"/>
        <v>6</v>
      </c>
      <c r="F1294" s="27">
        <f>VLOOKUP(E1294,[1]t_calendarioPolitica!A:C,3,FALSE)</f>
        <v>1</v>
      </c>
      <c r="G1294" s="1">
        <v>1</v>
      </c>
      <c r="H1294" s="1">
        <v>1</v>
      </c>
      <c r="I1294" s="1">
        <f t="shared" si="104"/>
        <v>1</v>
      </c>
    </row>
    <row r="1295" spans="1:9" x14ac:dyDescent="0.3">
      <c r="A1295" s="26">
        <v>46585</v>
      </c>
      <c r="B1295" s="27">
        <f t="shared" si="100"/>
        <v>2027</v>
      </c>
      <c r="C1295" s="27">
        <f t="shared" si="101"/>
        <v>7</v>
      </c>
      <c r="D1295" s="27">
        <f t="shared" si="102"/>
        <v>17</v>
      </c>
      <c r="E1295" s="27">
        <f t="shared" si="103"/>
        <v>7</v>
      </c>
      <c r="F1295" s="27">
        <f>VLOOKUP(E1295,[1]t_calendarioPolitica!A:C,3,FALSE)</f>
        <v>2</v>
      </c>
      <c r="G1295" s="1">
        <v>1</v>
      </c>
      <c r="H1295" s="1">
        <v>1</v>
      </c>
      <c r="I1295" s="1">
        <f t="shared" si="104"/>
        <v>1</v>
      </c>
    </row>
    <row r="1296" spans="1:9" x14ac:dyDescent="0.3">
      <c r="A1296" s="26">
        <v>46586</v>
      </c>
      <c r="B1296" s="27">
        <f t="shared" si="100"/>
        <v>2027</v>
      </c>
      <c r="C1296" s="27">
        <f t="shared" si="101"/>
        <v>7</v>
      </c>
      <c r="D1296" s="27">
        <f t="shared" si="102"/>
        <v>18</v>
      </c>
      <c r="E1296" s="27">
        <f t="shared" si="103"/>
        <v>1</v>
      </c>
      <c r="F1296" s="27">
        <f>VLOOKUP(E1296,[1]t_calendarioPolitica!A:C,3,FALSE)</f>
        <v>0</v>
      </c>
      <c r="G1296" s="1">
        <v>1</v>
      </c>
      <c r="H1296" s="1">
        <v>1</v>
      </c>
      <c r="I1296" s="1">
        <f t="shared" si="104"/>
        <v>0</v>
      </c>
    </row>
    <row r="1297" spans="1:9" x14ac:dyDescent="0.3">
      <c r="A1297" s="26">
        <v>46587</v>
      </c>
      <c r="B1297" s="27">
        <f t="shared" si="100"/>
        <v>2027</v>
      </c>
      <c r="C1297" s="27">
        <f t="shared" si="101"/>
        <v>7</v>
      </c>
      <c r="D1297" s="27">
        <f t="shared" si="102"/>
        <v>19</v>
      </c>
      <c r="E1297" s="27">
        <f t="shared" si="103"/>
        <v>2</v>
      </c>
      <c r="F1297" s="27">
        <f>VLOOKUP(E1297,[1]t_calendarioPolitica!A:C,3,FALSE)</f>
        <v>1</v>
      </c>
      <c r="G1297" s="1">
        <v>1</v>
      </c>
      <c r="H1297" s="1">
        <v>1</v>
      </c>
      <c r="I1297" s="1">
        <f t="shared" si="104"/>
        <v>1</v>
      </c>
    </row>
    <row r="1298" spans="1:9" x14ac:dyDescent="0.3">
      <c r="A1298" s="26">
        <v>46588</v>
      </c>
      <c r="B1298" s="27">
        <f t="shared" si="100"/>
        <v>2027</v>
      </c>
      <c r="C1298" s="27">
        <f t="shared" si="101"/>
        <v>7</v>
      </c>
      <c r="D1298" s="27">
        <f t="shared" si="102"/>
        <v>20</v>
      </c>
      <c r="E1298" s="27">
        <f t="shared" si="103"/>
        <v>3</v>
      </c>
      <c r="F1298" s="27">
        <f>VLOOKUP(E1298,[1]t_calendarioPolitica!A:C,3,FALSE)</f>
        <v>1</v>
      </c>
      <c r="G1298" s="1">
        <v>1</v>
      </c>
      <c r="H1298" s="1">
        <v>1</v>
      </c>
      <c r="I1298" s="1">
        <f t="shared" si="104"/>
        <v>1</v>
      </c>
    </row>
    <row r="1299" spans="1:9" x14ac:dyDescent="0.3">
      <c r="A1299" s="26">
        <v>46589</v>
      </c>
      <c r="B1299" s="27">
        <f t="shared" si="100"/>
        <v>2027</v>
      </c>
      <c r="C1299" s="27">
        <f t="shared" si="101"/>
        <v>7</v>
      </c>
      <c r="D1299" s="27">
        <f t="shared" si="102"/>
        <v>21</v>
      </c>
      <c r="E1299" s="27">
        <f t="shared" si="103"/>
        <v>4</v>
      </c>
      <c r="F1299" s="27">
        <f>VLOOKUP(E1299,[1]t_calendarioPolitica!A:C,3,FALSE)</f>
        <v>1</v>
      </c>
      <c r="G1299" s="1">
        <v>1</v>
      </c>
      <c r="H1299" s="1">
        <v>1</v>
      </c>
      <c r="I1299" s="1">
        <f t="shared" si="104"/>
        <v>1</v>
      </c>
    </row>
    <row r="1300" spans="1:9" x14ac:dyDescent="0.3">
      <c r="A1300" s="26">
        <v>46590</v>
      </c>
      <c r="B1300" s="27">
        <f t="shared" si="100"/>
        <v>2027</v>
      </c>
      <c r="C1300" s="27">
        <f t="shared" si="101"/>
        <v>7</v>
      </c>
      <c r="D1300" s="27">
        <f t="shared" si="102"/>
        <v>22</v>
      </c>
      <c r="E1300" s="27">
        <f t="shared" si="103"/>
        <v>5</v>
      </c>
      <c r="F1300" s="27">
        <f>VLOOKUP(E1300,[1]t_calendarioPolitica!A:C,3,FALSE)</f>
        <v>1</v>
      </c>
      <c r="G1300" s="1">
        <v>1</v>
      </c>
      <c r="H1300" s="1">
        <v>1</v>
      </c>
      <c r="I1300" s="1">
        <f t="shared" si="104"/>
        <v>1</v>
      </c>
    </row>
    <row r="1301" spans="1:9" x14ac:dyDescent="0.3">
      <c r="A1301" s="26">
        <v>46591</v>
      </c>
      <c r="B1301" s="27">
        <f t="shared" si="100"/>
        <v>2027</v>
      </c>
      <c r="C1301" s="27">
        <f t="shared" si="101"/>
        <v>7</v>
      </c>
      <c r="D1301" s="27">
        <f t="shared" si="102"/>
        <v>23</v>
      </c>
      <c r="E1301" s="27">
        <f t="shared" si="103"/>
        <v>6</v>
      </c>
      <c r="F1301" s="27">
        <f>VLOOKUP(E1301,[1]t_calendarioPolitica!A:C,3,FALSE)</f>
        <v>1</v>
      </c>
      <c r="G1301" s="1">
        <v>1</v>
      </c>
      <c r="H1301" s="1">
        <v>1</v>
      </c>
      <c r="I1301" s="1">
        <f t="shared" si="104"/>
        <v>1</v>
      </c>
    </row>
    <row r="1302" spans="1:9" x14ac:dyDescent="0.3">
      <c r="A1302" s="26">
        <v>46592</v>
      </c>
      <c r="B1302" s="27">
        <f t="shared" si="100"/>
        <v>2027</v>
      </c>
      <c r="C1302" s="27">
        <f t="shared" si="101"/>
        <v>7</v>
      </c>
      <c r="D1302" s="27">
        <f t="shared" si="102"/>
        <v>24</v>
      </c>
      <c r="E1302" s="27">
        <f t="shared" si="103"/>
        <v>7</v>
      </c>
      <c r="F1302" s="27">
        <f>VLOOKUP(E1302,[1]t_calendarioPolitica!A:C,3,FALSE)</f>
        <v>2</v>
      </c>
      <c r="G1302" s="1">
        <v>1</v>
      </c>
      <c r="H1302" s="1">
        <v>1</v>
      </c>
      <c r="I1302" s="1">
        <f t="shared" si="104"/>
        <v>1</v>
      </c>
    </row>
    <row r="1303" spans="1:9" x14ac:dyDescent="0.3">
      <c r="A1303" s="26">
        <v>46593</v>
      </c>
      <c r="B1303" s="27">
        <f t="shared" si="100"/>
        <v>2027</v>
      </c>
      <c r="C1303" s="27">
        <f t="shared" si="101"/>
        <v>7</v>
      </c>
      <c r="D1303" s="27">
        <f t="shared" si="102"/>
        <v>25</v>
      </c>
      <c r="E1303" s="27">
        <f t="shared" si="103"/>
        <v>1</v>
      </c>
      <c r="F1303" s="27">
        <f>VLOOKUP(E1303,[1]t_calendarioPolitica!A:C,3,FALSE)</f>
        <v>0</v>
      </c>
      <c r="G1303" s="1">
        <v>1</v>
      </c>
      <c r="H1303" s="1">
        <v>1</v>
      </c>
      <c r="I1303" s="1">
        <f t="shared" si="104"/>
        <v>0</v>
      </c>
    </row>
    <row r="1304" spans="1:9" x14ac:dyDescent="0.3">
      <c r="A1304" s="26">
        <v>46594</v>
      </c>
      <c r="B1304" s="27">
        <f t="shared" si="100"/>
        <v>2027</v>
      </c>
      <c r="C1304" s="27">
        <f t="shared" si="101"/>
        <v>7</v>
      </c>
      <c r="D1304" s="27">
        <f t="shared" si="102"/>
        <v>26</v>
      </c>
      <c r="E1304" s="27">
        <f t="shared" si="103"/>
        <v>2</v>
      </c>
      <c r="F1304" s="27">
        <f>VLOOKUP(E1304,[1]t_calendarioPolitica!A:C,3,FALSE)</f>
        <v>1</v>
      </c>
      <c r="G1304" s="1">
        <v>1</v>
      </c>
      <c r="H1304" s="1">
        <v>1</v>
      </c>
      <c r="I1304" s="1">
        <f t="shared" si="104"/>
        <v>1</v>
      </c>
    </row>
    <row r="1305" spans="1:9" x14ac:dyDescent="0.3">
      <c r="A1305" s="26">
        <v>46595</v>
      </c>
      <c r="B1305" s="27">
        <f t="shared" si="100"/>
        <v>2027</v>
      </c>
      <c r="C1305" s="27">
        <f t="shared" si="101"/>
        <v>7</v>
      </c>
      <c r="D1305" s="27">
        <f t="shared" si="102"/>
        <v>27</v>
      </c>
      <c r="E1305" s="27">
        <f t="shared" si="103"/>
        <v>3</v>
      </c>
      <c r="F1305" s="27">
        <f>VLOOKUP(E1305,[1]t_calendarioPolitica!A:C,3,FALSE)</f>
        <v>1</v>
      </c>
      <c r="G1305" s="1">
        <v>1</v>
      </c>
      <c r="H1305" s="1">
        <v>1</v>
      </c>
      <c r="I1305" s="1">
        <f t="shared" si="104"/>
        <v>1</v>
      </c>
    </row>
    <row r="1306" spans="1:9" x14ac:dyDescent="0.3">
      <c r="A1306" s="26">
        <v>46596</v>
      </c>
      <c r="B1306" s="27">
        <f t="shared" si="100"/>
        <v>2027</v>
      </c>
      <c r="C1306" s="27">
        <f t="shared" si="101"/>
        <v>7</v>
      </c>
      <c r="D1306" s="27">
        <f t="shared" si="102"/>
        <v>28</v>
      </c>
      <c r="E1306" s="27">
        <f t="shared" si="103"/>
        <v>4</v>
      </c>
      <c r="F1306" s="27">
        <f>VLOOKUP(E1306,[1]t_calendarioPolitica!A:C,3,FALSE)</f>
        <v>1</v>
      </c>
      <c r="G1306" s="1">
        <v>1</v>
      </c>
      <c r="H1306" s="1">
        <v>1</v>
      </c>
      <c r="I1306" s="1">
        <f t="shared" si="104"/>
        <v>1</v>
      </c>
    </row>
    <row r="1307" spans="1:9" x14ac:dyDescent="0.3">
      <c r="A1307" s="26">
        <v>46597</v>
      </c>
      <c r="B1307" s="27">
        <f t="shared" si="100"/>
        <v>2027</v>
      </c>
      <c r="C1307" s="27">
        <f t="shared" si="101"/>
        <v>7</v>
      </c>
      <c r="D1307" s="27">
        <f t="shared" si="102"/>
        <v>29</v>
      </c>
      <c r="E1307" s="27">
        <f t="shared" si="103"/>
        <v>5</v>
      </c>
      <c r="F1307" s="27">
        <f>VLOOKUP(E1307,[1]t_calendarioPolitica!A:C,3,FALSE)</f>
        <v>1</v>
      </c>
      <c r="G1307" s="1">
        <v>1</v>
      </c>
      <c r="H1307" s="1">
        <v>1</v>
      </c>
      <c r="I1307" s="1">
        <f t="shared" si="104"/>
        <v>1</v>
      </c>
    </row>
    <row r="1308" spans="1:9" x14ac:dyDescent="0.3">
      <c r="A1308" s="26">
        <v>46598</v>
      </c>
      <c r="B1308" s="27">
        <f t="shared" si="100"/>
        <v>2027</v>
      </c>
      <c r="C1308" s="27">
        <f t="shared" si="101"/>
        <v>7</v>
      </c>
      <c r="D1308" s="27">
        <f t="shared" si="102"/>
        <v>30</v>
      </c>
      <c r="E1308" s="27">
        <f t="shared" si="103"/>
        <v>6</v>
      </c>
      <c r="F1308" s="27">
        <f>VLOOKUP(E1308,[1]t_calendarioPolitica!A:C,3,FALSE)</f>
        <v>1</v>
      </c>
      <c r="G1308" s="1">
        <v>1</v>
      </c>
      <c r="H1308" s="1">
        <v>1</v>
      </c>
      <c r="I1308" s="1">
        <f t="shared" si="104"/>
        <v>1</v>
      </c>
    </row>
    <row r="1309" spans="1:9" x14ac:dyDescent="0.3">
      <c r="A1309" s="26">
        <v>46599</v>
      </c>
      <c r="B1309" s="27">
        <f t="shared" si="100"/>
        <v>2027</v>
      </c>
      <c r="C1309" s="27">
        <f t="shared" si="101"/>
        <v>7</v>
      </c>
      <c r="D1309" s="27">
        <f t="shared" si="102"/>
        <v>31</v>
      </c>
      <c r="E1309" s="27">
        <f t="shared" si="103"/>
        <v>7</v>
      </c>
      <c r="F1309" s="27">
        <f>VLOOKUP(E1309,[1]t_calendarioPolitica!A:C,3,FALSE)</f>
        <v>2</v>
      </c>
      <c r="G1309" s="1">
        <v>1</v>
      </c>
      <c r="H1309" s="1">
        <v>1</v>
      </c>
      <c r="I1309" s="1">
        <f t="shared" si="104"/>
        <v>1</v>
      </c>
    </row>
    <row r="1310" spans="1:9" x14ac:dyDescent="0.3">
      <c r="A1310" s="26">
        <v>46600</v>
      </c>
      <c r="B1310" s="27">
        <f t="shared" si="100"/>
        <v>2027</v>
      </c>
      <c r="C1310" s="27">
        <f t="shared" si="101"/>
        <v>8</v>
      </c>
      <c r="D1310" s="27">
        <f t="shared" si="102"/>
        <v>1</v>
      </c>
      <c r="E1310" s="27">
        <f t="shared" si="103"/>
        <v>1</v>
      </c>
      <c r="F1310" s="27">
        <f>VLOOKUP(E1310,[1]t_calendarioPolitica!A:C,3,FALSE)</f>
        <v>0</v>
      </c>
      <c r="G1310" s="1">
        <v>1</v>
      </c>
      <c r="H1310" s="1">
        <v>1</v>
      </c>
      <c r="I1310" s="1">
        <f t="shared" si="104"/>
        <v>0</v>
      </c>
    </row>
    <row r="1311" spans="1:9" x14ac:dyDescent="0.3">
      <c r="A1311" s="26">
        <v>46601</v>
      </c>
      <c r="B1311" s="27">
        <f t="shared" si="100"/>
        <v>2027</v>
      </c>
      <c r="C1311" s="27">
        <f t="shared" si="101"/>
        <v>8</v>
      </c>
      <c r="D1311" s="27">
        <f t="shared" si="102"/>
        <v>2</v>
      </c>
      <c r="E1311" s="27">
        <f t="shared" si="103"/>
        <v>2</v>
      </c>
      <c r="F1311" s="27">
        <f>VLOOKUP(E1311,[1]t_calendarioPolitica!A:C,3,FALSE)</f>
        <v>1</v>
      </c>
      <c r="G1311" s="1">
        <v>1</v>
      </c>
      <c r="H1311" s="1">
        <v>1</v>
      </c>
      <c r="I1311" s="1">
        <f t="shared" si="104"/>
        <v>1</v>
      </c>
    </row>
    <row r="1312" spans="1:9" x14ac:dyDescent="0.3">
      <c r="A1312" s="26">
        <v>46602</v>
      </c>
      <c r="B1312" s="27">
        <f t="shared" si="100"/>
        <v>2027</v>
      </c>
      <c r="C1312" s="27">
        <f t="shared" si="101"/>
        <v>8</v>
      </c>
      <c r="D1312" s="27">
        <f t="shared" si="102"/>
        <v>3</v>
      </c>
      <c r="E1312" s="27">
        <f t="shared" si="103"/>
        <v>3</v>
      </c>
      <c r="F1312" s="27">
        <f>VLOOKUP(E1312,[1]t_calendarioPolitica!A:C,3,FALSE)</f>
        <v>1</v>
      </c>
      <c r="G1312" s="1">
        <v>1</v>
      </c>
      <c r="H1312" s="1">
        <v>1</v>
      </c>
      <c r="I1312" s="1">
        <f t="shared" si="104"/>
        <v>1</v>
      </c>
    </row>
    <row r="1313" spans="1:9" x14ac:dyDescent="0.3">
      <c r="A1313" s="26">
        <v>46603</v>
      </c>
      <c r="B1313" s="27">
        <f t="shared" si="100"/>
        <v>2027</v>
      </c>
      <c r="C1313" s="27">
        <f t="shared" si="101"/>
        <v>8</v>
      </c>
      <c r="D1313" s="27">
        <f t="shared" si="102"/>
        <v>4</v>
      </c>
      <c r="E1313" s="27">
        <f t="shared" si="103"/>
        <v>4</v>
      </c>
      <c r="F1313" s="27">
        <f>VLOOKUP(E1313,[1]t_calendarioPolitica!A:C,3,FALSE)</f>
        <v>1</v>
      </c>
      <c r="G1313" s="1">
        <v>1</v>
      </c>
      <c r="H1313" s="1">
        <v>1</v>
      </c>
      <c r="I1313" s="1">
        <f t="shared" si="104"/>
        <v>1</v>
      </c>
    </row>
    <row r="1314" spans="1:9" x14ac:dyDescent="0.3">
      <c r="A1314" s="26">
        <v>46604</v>
      </c>
      <c r="B1314" s="27">
        <f t="shared" si="100"/>
        <v>2027</v>
      </c>
      <c r="C1314" s="27">
        <f t="shared" si="101"/>
        <v>8</v>
      </c>
      <c r="D1314" s="27">
        <f t="shared" si="102"/>
        <v>5</v>
      </c>
      <c r="E1314" s="27">
        <f t="shared" si="103"/>
        <v>5</v>
      </c>
      <c r="F1314" s="27">
        <f>VLOOKUP(E1314,[1]t_calendarioPolitica!A:C,3,FALSE)</f>
        <v>1</v>
      </c>
      <c r="G1314" s="1">
        <v>1</v>
      </c>
      <c r="H1314" s="1">
        <v>1</v>
      </c>
      <c r="I1314" s="1">
        <f t="shared" si="104"/>
        <v>1</v>
      </c>
    </row>
    <row r="1315" spans="1:9" x14ac:dyDescent="0.3">
      <c r="A1315" s="26">
        <v>46605</v>
      </c>
      <c r="B1315" s="27">
        <f t="shared" si="100"/>
        <v>2027</v>
      </c>
      <c r="C1315" s="27">
        <f t="shared" si="101"/>
        <v>8</v>
      </c>
      <c r="D1315" s="27">
        <f t="shared" si="102"/>
        <v>6</v>
      </c>
      <c r="E1315" s="27">
        <f t="shared" si="103"/>
        <v>6</v>
      </c>
      <c r="F1315" s="27">
        <f>VLOOKUP(E1315,[1]t_calendarioPolitica!A:C,3,FALSE)</f>
        <v>1</v>
      </c>
      <c r="G1315" s="1">
        <v>1</v>
      </c>
      <c r="H1315" s="1">
        <v>1</v>
      </c>
      <c r="I1315" s="1">
        <f t="shared" si="104"/>
        <v>1</v>
      </c>
    </row>
    <row r="1316" spans="1:9" x14ac:dyDescent="0.3">
      <c r="A1316" s="26">
        <v>46606</v>
      </c>
      <c r="B1316" s="27">
        <f t="shared" si="100"/>
        <v>2027</v>
      </c>
      <c r="C1316" s="27">
        <f t="shared" si="101"/>
        <v>8</v>
      </c>
      <c r="D1316" s="27">
        <f t="shared" si="102"/>
        <v>7</v>
      </c>
      <c r="E1316" s="27">
        <f t="shared" si="103"/>
        <v>7</v>
      </c>
      <c r="F1316" s="27">
        <f>VLOOKUP(E1316,[1]t_calendarioPolitica!A:C,3,FALSE)</f>
        <v>2</v>
      </c>
      <c r="G1316" s="1">
        <v>1</v>
      </c>
      <c r="H1316" s="1">
        <v>1</v>
      </c>
      <c r="I1316" s="1">
        <f t="shared" si="104"/>
        <v>1</v>
      </c>
    </row>
    <row r="1317" spans="1:9" x14ac:dyDescent="0.3">
      <c r="A1317" s="26">
        <v>46607</v>
      </c>
      <c r="B1317" s="27">
        <f t="shared" si="100"/>
        <v>2027</v>
      </c>
      <c r="C1317" s="27">
        <f t="shared" si="101"/>
        <v>8</v>
      </c>
      <c r="D1317" s="27">
        <f t="shared" si="102"/>
        <v>8</v>
      </c>
      <c r="E1317" s="27">
        <f t="shared" si="103"/>
        <v>1</v>
      </c>
      <c r="F1317" s="27">
        <f>VLOOKUP(E1317,[1]t_calendarioPolitica!A:C,3,FALSE)</f>
        <v>0</v>
      </c>
      <c r="G1317" s="1">
        <v>1</v>
      </c>
      <c r="H1317" s="1">
        <v>1</v>
      </c>
      <c r="I1317" s="1">
        <f t="shared" si="104"/>
        <v>0</v>
      </c>
    </row>
    <row r="1318" spans="1:9" x14ac:dyDescent="0.3">
      <c r="A1318" s="26">
        <v>46608</v>
      </c>
      <c r="B1318" s="27">
        <f t="shared" si="100"/>
        <v>2027</v>
      </c>
      <c r="C1318" s="27">
        <f t="shared" si="101"/>
        <v>8</v>
      </c>
      <c r="D1318" s="27">
        <f t="shared" si="102"/>
        <v>9</v>
      </c>
      <c r="E1318" s="27">
        <f t="shared" si="103"/>
        <v>2</v>
      </c>
      <c r="F1318" s="27">
        <f>VLOOKUP(E1318,[1]t_calendarioPolitica!A:C,3,FALSE)</f>
        <v>1</v>
      </c>
      <c r="G1318" s="1">
        <v>1</v>
      </c>
      <c r="H1318" s="1">
        <v>1</v>
      </c>
      <c r="I1318" s="1">
        <f t="shared" si="104"/>
        <v>1</v>
      </c>
    </row>
    <row r="1319" spans="1:9" x14ac:dyDescent="0.3">
      <c r="A1319" s="26">
        <v>46609</v>
      </c>
      <c r="B1319" s="27">
        <f t="shared" si="100"/>
        <v>2027</v>
      </c>
      <c r="C1319" s="27">
        <f t="shared" si="101"/>
        <v>8</v>
      </c>
      <c r="D1319" s="27">
        <f t="shared" si="102"/>
        <v>10</v>
      </c>
      <c r="E1319" s="27">
        <f t="shared" si="103"/>
        <v>3</v>
      </c>
      <c r="F1319" s="27">
        <f>VLOOKUP(E1319,[1]t_calendarioPolitica!A:C,3,FALSE)</f>
        <v>1</v>
      </c>
      <c r="G1319" s="1">
        <v>1</v>
      </c>
      <c r="H1319" s="1">
        <v>1</v>
      </c>
      <c r="I1319" s="1">
        <f t="shared" si="104"/>
        <v>1</v>
      </c>
    </row>
    <row r="1320" spans="1:9" x14ac:dyDescent="0.3">
      <c r="A1320" s="26">
        <v>46610</v>
      </c>
      <c r="B1320" s="27">
        <f t="shared" si="100"/>
        <v>2027</v>
      </c>
      <c r="C1320" s="27">
        <f t="shared" si="101"/>
        <v>8</v>
      </c>
      <c r="D1320" s="27">
        <f t="shared" si="102"/>
        <v>11</v>
      </c>
      <c r="E1320" s="27">
        <f t="shared" si="103"/>
        <v>4</v>
      </c>
      <c r="F1320" s="27">
        <f>VLOOKUP(E1320,[1]t_calendarioPolitica!A:C,3,FALSE)</f>
        <v>1</v>
      </c>
      <c r="G1320" s="1">
        <v>1</v>
      </c>
      <c r="H1320" s="1">
        <v>1</v>
      </c>
      <c r="I1320" s="1">
        <f t="shared" si="104"/>
        <v>1</v>
      </c>
    </row>
    <row r="1321" spans="1:9" x14ac:dyDescent="0.3">
      <c r="A1321" s="26">
        <v>46611</v>
      </c>
      <c r="B1321" s="27">
        <f t="shared" si="100"/>
        <v>2027</v>
      </c>
      <c r="C1321" s="27">
        <f t="shared" si="101"/>
        <v>8</v>
      </c>
      <c r="D1321" s="27">
        <f t="shared" si="102"/>
        <v>12</v>
      </c>
      <c r="E1321" s="27">
        <f t="shared" si="103"/>
        <v>5</v>
      </c>
      <c r="F1321" s="27">
        <f>VLOOKUP(E1321,[1]t_calendarioPolitica!A:C,3,FALSE)</f>
        <v>1</v>
      </c>
      <c r="G1321" s="1">
        <v>1</v>
      </c>
      <c r="H1321" s="1">
        <v>1</v>
      </c>
      <c r="I1321" s="1">
        <f t="shared" si="104"/>
        <v>1</v>
      </c>
    </row>
    <row r="1322" spans="1:9" x14ac:dyDescent="0.3">
      <c r="A1322" s="26">
        <v>46612</v>
      </c>
      <c r="B1322" s="27">
        <f t="shared" si="100"/>
        <v>2027</v>
      </c>
      <c r="C1322" s="27">
        <f t="shared" si="101"/>
        <v>8</v>
      </c>
      <c r="D1322" s="27">
        <f t="shared" si="102"/>
        <v>13</v>
      </c>
      <c r="E1322" s="27">
        <f t="shared" si="103"/>
        <v>6</v>
      </c>
      <c r="F1322" s="27">
        <f>VLOOKUP(E1322,[1]t_calendarioPolitica!A:C,3,FALSE)</f>
        <v>1</v>
      </c>
      <c r="G1322" s="1">
        <v>1</v>
      </c>
      <c r="H1322" s="1">
        <v>1</v>
      </c>
      <c r="I1322" s="1">
        <f t="shared" si="104"/>
        <v>1</v>
      </c>
    </row>
    <row r="1323" spans="1:9" x14ac:dyDescent="0.3">
      <c r="A1323" s="26">
        <v>46613</v>
      </c>
      <c r="B1323" s="27">
        <f t="shared" si="100"/>
        <v>2027</v>
      </c>
      <c r="C1323" s="27">
        <f t="shared" si="101"/>
        <v>8</v>
      </c>
      <c r="D1323" s="27">
        <f t="shared" si="102"/>
        <v>14</v>
      </c>
      <c r="E1323" s="27">
        <f t="shared" si="103"/>
        <v>7</v>
      </c>
      <c r="F1323" s="27">
        <f>VLOOKUP(E1323,[1]t_calendarioPolitica!A:C,3,FALSE)</f>
        <v>2</v>
      </c>
      <c r="G1323" s="1">
        <v>1</v>
      </c>
      <c r="H1323" s="1">
        <v>1</v>
      </c>
      <c r="I1323" s="1">
        <f t="shared" si="104"/>
        <v>1</v>
      </c>
    </row>
    <row r="1324" spans="1:9" x14ac:dyDescent="0.3">
      <c r="A1324" s="26">
        <v>46614</v>
      </c>
      <c r="B1324" s="27">
        <f t="shared" si="100"/>
        <v>2027</v>
      </c>
      <c r="C1324" s="27">
        <f t="shared" si="101"/>
        <v>8</v>
      </c>
      <c r="D1324" s="27">
        <f t="shared" si="102"/>
        <v>15</v>
      </c>
      <c r="E1324" s="27">
        <f t="shared" si="103"/>
        <v>1</v>
      </c>
      <c r="F1324" s="27">
        <f>VLOOKUP(E1324,[1]t_calendarioPolitica!A:C,3,FALSE)</f>
        <v>0</v>
      </c>
      <c r="G1324" s="1">
        <v>1</v>
      </c>
      <c r="H1324" s="1">
        <v>1</v>
      </c>
      <c r="I1324" s="1">
        <f t="shared" si="104"/>
        <v>0</v>
      </c>
    </row>
    <row r="1325" spans="1:9" x14ac:dyDescent="0.3">
      <c r="A1325" s="26">
        <v>46615</v>
      </c>
      <c r="B1325" s="27">
        <f t="shared" si="100"/>
        <v>2027</v>
      </c>
      <c r="C1325" s="27">
        <f t="shared" si="101"/>
        <v>8</v>
      </c>
      <c r="D1325" s="27">
        <f t="shared" si="102"/>
        <v>16</v>
      </c>
      <c r="E1325" s="27">
        <f t="shared" si="103"/>
        <v>2</v>
      </c>
      <c r="F1325" s="27">
        <f>VLOOKUP(E1325,[1]t_calendarioPolitica!A:C,3,FALSE)</f>
        <v>1</v>
      </c>
      <c r="G1325" s="1">
        <v>1</v>
      </c>
      <c r="H1325" s="1">
        <v>1</v>
      </c>
      <c r="I1325" s="1">
        <f t="shared" si="104"/>
        <v>1</v>
      </c>
    </row>
    <row r="1326" spans="1:9" x14ac:dyDescent="0.3">
      <c r="A1326" s="26">
        <v>46616</v>
      </c>
      <c r="B1326" s="27">
        <f t="shared" si="100"/>
        <v>2027</v>
      </c>
      <c r="C1326" s="27">
        <f t="shared" si="101"/>
        <v>8</v>
      </c>
      <c r="D1326" s="27">
        <f t="shared" si="102"/>
        <v>17</v>
      </c>
      <c r="E1326" s="27">
        <f t="shared" si="103"/>
        <v>3</v>
      </c>
      <c r="F1326" s="27">
        <f>VLOOKUP(E1326,[1]t_calendarioPolitica!A:C,3,FALSE)</f>
        <v>1</v>
      </c>
      <c r="G1326" s="1">
        <v>1</v>
      </c>
      <c r="H1326" s="1">
        <v>1</v>
      </c>
      <c r="I1326" s="1">
        <f t="shared" si="104"/>
        <v>1</v>
      </c>
    </row>
    <row r="1327" spans="1:9" x14ac:dyDescent="0.3">
      <c r="A1327" s="26">
        <v>46617</v>
      </c>
      <c r="B1327" s="27">
        <f t="shared" si="100"/>
        <v>2027</v>
      </c>
      <c r="C1327" s="27">
        <f t="shared" si="101"/>
        <v>8</v>
      </c>
      <c r="D1327" s="27">
        <f t="shared" si="102"/>
        <v>18</v>
      </c>
      <c r="E1327" s="27">
        <f t="shared" si="103"/>
        <v>4</v>
      </c>
      <c r="F1327" s="27">
        <f>VLOOKUP(E1327,[1]t_calendarioPolitica!A:C,3,FALSE)</f>
        <v>1</v>
      </c>
      <c r="G1327" s="1">
        <v>1</v>
      </c>
      <c r="H1327" s="1">
        <v>1</v>
      </c>
      <c r="I1327" s="1">
        <f t="shared" si="104"/>
        <v>1</v>
      </c>
    </row>
    <row r="1328" spans="1:9" x14ac:dyDescent="0.3">
      <c r="A1328" s="26">
        <v>46618</v>
      </c>
      <c r="B1328" s="27">
        <f t="shared" si="100"/>
        <v>2027</v>
      </c>
      <c r="C1328" s="27">
        <f t="shared" si="101"/>
        <v>8</v>
      </c>
      <c r="D1328" s="27">
        <f t="shared" si="102"/>
        <v>19</v>
      </c>
      <c r="E1328" s="27">
        <f t="shared" si="103"/>
        <v>5</v>
      </c>
      <c r="F1328" s="27">
        <f>VLOOKUP(E1328,[1]t_calendarioPolitica!A:C,3,FALSE)</f>
        <v>1</v>
      </c>
      <c r="G1328" s="1">
        <v>1</v>
      </c>
      <c r="H1328" s="1">
        <v>1</v>
      </c>
      <c r="I1328" s="1">
        <f t="shared" si="104"/>
        <v>1</v>
      </c>
    </row>
    <row r="1329" spans="1:9" x14ac:dyDescent="0.3">
      <c r="A1329" s="26">
        <v>46619</v>
      </c>
      <c r="B1329" s="27">
        <f t="shared" si="100"/>
        <v>2027</v>
      </c>
      <c r="C1329" s="27">
        <f t="shared" si="101"/>
        <v>8</v>
      </c>
      <c r="D1329" s="27">
        <f t="shared" si="102"/>
        <v>20</v>
      </c>
      <c r="E1329" s="27">
        <f t="shared" si="103"/>
        <v>6</v>
      </c>
      <c r="F1329" s="27">
        <f>VLOOKUP(E1329,[1]t_calendarioPolitica!A:C,3,FALSE)</f>
        <v>1</v>
      </c>
      <c r="G1329" s="1">
        <v>1</v>
      </c>
      <c r="H1329" s="1">
        <v>1</v>
      </c>
      <c r="I1329" s="1">
        <f t="shared" si="104"/>
        <v>1</v>
      </c>
    </row>
    <row r="1330" spans="1:9" x14ac:dyDescent="0.3">
      <c r="A1330" s="26">
        <v>46620</v>
      </c>
      <c r="B1330" s="27">
        <f t="shared" si="100"/>
        <v>2027</v>
      </c>
      <c r="C1330" s="27">
        <f t="shared" si="101"/>
        <v>8</v>
      </c>
      <c r="D1330" s="27">
        <f t="shared" si="102"/>
        <v>21</v>
      </c>
      <c r="E1330" s="27">
        <f t="shared" si="103"/>
        <v>7</v>
      </c>
      <c r="F1330" s="27">
        <f>VLOOKUP(E1330,[1]t_calendarioPolitica!A:C,3,FALSE)</f>
        <v>2</v>
      </c>
      <c r="G1330" s="1">
        <v>1</v>
      </c>
      <c r="H1330" s="1">
        <v>1</v>
      </c>
      <c r="I1330" s="1">
        <f t="shared" si="104"/>
        <v>1</v>
      </c>
    </row>
    <row r="1331" spans="1:9" x14ac:dyDescent="0.3">
      <c r="A1331" s="26">
        <v>46621</v>
      </c>
      <c r="B1331" s="27">
        <f t="shared" si="100"/>
        <v>2027</v>
      </c>
      <c r="C1331" s="27">
        <f t="shared" si="101"/>
        <v>8</v>
      </c>
      <c r="D1331" s="27">
        <f t="shared" si="102"/>
        <v>22</v>
      </c>
      <c r="E1331" s="27">
        <f t="shared" si="103"/>
        <v>1</v>
      </c>
      <c r="F1331" s="27">
        <f>VLOOKUP(E1331,[1]t_calendarioPolitica!A:C,3,FALSE)</f>
        <v>0</v>
      </c>
      <c r="G1331" s="1">
        <v>1</v>
      </c>
      <c r="H1331" s="1">
        <v>1</v>
      </c>
      <c r="I1331" s="1">
        <f t="shared" si="104"/>
        <v>0</v>
      </c>
    </row>
    <row r="1332" spans="1:9" x14ac:dyDescent="0.3">
      <c r="A1332" s="26">
        <v>46622</v>
      </c>
      <c r="B1332" s="27">
        <f t="shared" si="100"/>
        <v>2027</v>
      </c>
      <c r="C1332" s="27">
        <f t="shared" si="101"/>
        <v>8</v>
      </c>
      <c r="D1332" s="27">
        <f t="shared" si="102"/>
        <v>23</v>
      </c>
      <c r="E1332" s="27">
        <f t="shared" si="103"/>
        <v>2</v>
      </c>
      <c r="F1332" s="27">
        <f>VLOOKUP(E1332,[1]t_calendarioPolitica!A:C,3,FALSE)</f>
        <v>1</v>
      </c>
      <c r="G1332" s="1">
        <v>1</v>
      </c>
      <c r="H1332" s="1">
        <v>1</v>
      </c>
      <c r="I1332" s="1">
        <f t="shared" si="104"/>
        <v>1</v>
      </c>
    </row>
    <row r="1333" spans="1:9" x14ac:dyDescent="0.3">
      <c r="A1333" s="26">
        <v>46623</v>
      </c>
      <c r="B1333" s="27">
        <f t="shared" si="100"/>
        <v>2027</v>
      </c>
      <c r="C1333" s="27">
        <f t="shared" si="101"/>
        <v>8</v>
      </c>
      <c r="D1333" s="27">
        <f t="shared" si="102"/>
        <v>24</v>
      </c>
      <c r="E1333" s="27">
        <f t="shared" si="103"/>
        <v>3</v>
      </c>
      <c r="F1333" s="27">
        <f>VLOOKUP(E1333,[1]t_calendarioPolitica!A:C,3,FALSE)</f>
        <v>1</v>
      </c>
      <c r="G1333" s="1">
        <v>1</v>
      </c>
      <c r="H1333" s="1">
        <v>1</v>
      </c>
      <c r="I1333" s="1">
        <f t="shared" si="104"/>
        <v>1</v>
      </c>
    </row>
    <row r="1334" spans="1:9" x14ac:dyDescent="0.3">
      <c r="A1334" s="26">
        <v>46624</v>
      </c>
      <c r="B1334" s="27">
        <f t="shared" si="100"/>
        <v>2027</v>
      </c>
      <c r="C1334" s="27">
        <f t="shared" si="101"/>
        <v>8</v>
      </c>
      <c r="D1334" s="27">
        <f t="shared" si="102"/>
        <v>25</v>
      </c>
      <c r="E1334" s="27">
        <f t="shared" si="103"/>
        <v>4</v>
      </c>
      <c r="F1334" s="27">
        <f>VLOOKUP(E1334,[1]t_calendarioPolitica!A:C,3,FALSE)</f>
        <v>1</v>
      </c>
      <c r="G1334" s="1">
        <v>1</v>
      </c>
      <c r="H1334" s="1">
        <v>1</v>
      </c>
      <c r="I1334" s="1">
        <f t="shared" si="104"/>
        <v>1</v>
      </c>
    </row>
    <row r="1335" spans="1:9" x14ac:dyDescent="0.3">
      <c r="A1335" s="26">
        <v>46625</v>
      </c>
      <c r="B1335" s="27">
        <f t="shared" si="100"/>
        <v>2027</v>
      </c>
      <c r="C1335" s="27">
        <f t="shared" si="101"/>
        <v>8</v>
      </c>
      <c r="D1335" s="27">
        <f t="shared" si="102"/>
        <v>26</v>
      </c>
      <c r="E1335" s="27">
        <f t="shared" si="103"/>
        <v>5</v>
      </c>
      <c r="F1335" s="27">
        <f>VLOOKUP(E1335,[1]t_calendarioPolitica!A:C,3,FALSE)</f>
        <v>1</v>
      </c>
      <c r="G1335" s="1">
        <v>1</v>
      </c>
      <c r="H1335" s="1">
        <v>1</v>
      </c>
      <c r="I1335" s="1">
        <f t="shared" si="104"/>
        <v>1</v>
      </c>
    </row>
    <row r="1336" spans="1:9" x14ac:dyDescent="0.3">
      <c r="A1336" s="26">
        <v>46626</v>
      </c>
      <c r="B1336" s="27">
        <f t="shared" si="100"/>
        <v>2027</v>
      </c>
      <c r="C1336" s="27">
        <f t="shared" si="101"/>
        <v>8</v>
      </c>
      <c r="D1336" s="27">
        <f t="shared" si="102"/>
        <v>27</v>
      </c>
      <c r="E1336" s="27">
        <f t="shared" si="103"/>
        <v>6</v>
      </c>
      <c r="F1336" s="27">
        <f>VLOOKUP(E1336,[1]t_calendarioPolitica!A:C,3,FALSE)</f>
        <v>1</v>
      </c>
      <c r="G1336" s="1">
        <v>1</v>
      </c>
      <c r="H1336" s="1">
        <v>1</v>
      </c>
      <c r="I1336" s="1">
        <f t="shared" si="104"/>
        <v>1</v>
      </c>
    </row>
    <row r="1337" spans="1:9" x14ac:dyDescent="0.3">
      <c r="A1337" s="26">
        <v>46627</v>
      </c>
      <c r="B1337" s="27">
        <f t="shared" si="100"/>
        <v>2027</v>
      </c>
      <c r="C1337" s="27">
        <f t="shared" si="101"/>
        <v>8</v>
      </c>
      <c r="D1337" s="27">
        <f t="shared" si="102"/>
        <v>28</v>
      </c>
      <c r="E1337" s="27">
        <f t="shared" si="103"/>
        <v>7</v>
      </c>
      <c r="F1337" s="27">
        <f>VLOOKUP(E1337,[1]t_calendarioPolitica!A:C,3,FALSE)</f>
        <v>2</v>
      </c>
      <c r="G1337" s="1">
        <v>1</v>
      </c>
      <c r="H1337" s="1">
        <v>1</v>
      </c>
      <c r="I1337" s="1">
        <f t="shared" si="104"/>
        <v>1</v>
      </c>
    </row>
    <row r="1338" spans="1:9" x14ac:dyDescent="0.3">
      <c r="A1338" s="26">
        <v>46628</v>
      </c>
      <c r="B1338" s="27">
        <f t="shared" si="100"/>
        <v>2027</v>
      </c>
      <c r="C1338" s="27">
        <f t="shared" si="101"/>
        <v>8</v>
      </c>
      <c r="D1338" s="27">
        <f t="shared" si="102"/>
        <v>29</v>
      </c>
      <c r="E1338" s="27">
        <f t="shared" si="103"/>
        <v>1</v>
      </c>
      <c r="F1338" s="27">
        <f>VLOOKUP(E1338,[1]t_calendarioPolitica!A:C,3,FALSE)</f>
        <v>0</v>
      </c>
      <c r="G1338" s="1">
        <v>1</v>
      </c>
      <c r="H1338" s="1">
        <v>1</v>
      </c>
      <c r="I1338" s="1">
        <f t="shared" si="104"/>
        <v>0</v>
      </c>
    </row>
    <row r="1339" spans="1:9" x14ac:dyDescent="0.3">
      <c r="A1339" s="26">
        <v>46629</v>
      </c>
      <c r="B1339" s="27">
        <f t="shared" si="100"/>
        <v>2027</v>
      </c>
      <c r="C1339" s="27">
        <f t="shared" si="101"/>
        <v>8</v>
      </c>
      <c r="D1339" s="27">
        <f t="shared" si="102"/>
        <v>30</v>
      </c>
      <c r="E1339" s="27">
        <f t="shared" si="103"/>
        <v>2</v>
      </c>
      <c r="F1339" s="27">
        <f>VLOOKUP(E1339,[1]t_calendarioPolitica!A:C,3,FALSE)</f>
        <v>1</v>
      </c>
      <c r="G1339" s="1">
        <v>1</v>
      </c>
      <c r="H1339" s="1">
        <v>1</v>
      </c>
      <c r="I1339" s="1">
        <f t="shared" si="104"/>
        <v>1</v>
      </c>
    </row>
    <row r="1340" spans="1:9" x14ac:dyDescent="0.3">
      <c r="A1340" s="26">
        <v>46630</v>
      </c>
      <c r="B1340" s="27">
        <f t="shared" si="100"/>
        <v>2027</v>
      </c>
      <c r="C1340" s="27">
        <f t="shared" si="101"/>
        <v>8</v>
      </c>
      <c r="D1340" s="27">
        <f t="shared" si="102"/>
        <v>31</v>
      </c>
      <c r="E1340" s="27">
        <f t="shared" si="103"/>
        <v>3</v>
      </c>
      <c r="F1340" s="27">
        <f>VLOOKUP(E1340,[1]t_calendarioPolitica!A:C,3,FALSE)</f>
        <v>1</v>
      </c>
      <c r="G1340" s="1">
        <v>1</v>
      </c>
      <c r="H1340" s="1">
        <v>1</v>
      </c>
      <c r="I1340" s="1">
        <f t="shared" si="104"/>
        <v>1</v>
      </c>
    </row>
    <row r="1341" spans="1:9" x14ac:dyDescent="0.3">
      <c r="A1341" s="26">
        <v>46631</v>
      </c>
      <c r="B1341" s="27">
        <f t="shared" si="100"/>
        <v>2027</v>
      </c>
      <c r="C1341" s="27">
        <f t="shared" si="101"/>
        <v>9</v>
      </c>
      <c r="D1341" s="27">
        <f t="shared" si="102"/>
        <v>1</v>
      </c>
      <c r="E1341" s="27">
        <f t="shared" si="103"/>
        <v>4</v>
      </c>
      <c r="F1341" s="27">
        <f>VLOOKUP(E1341,[1]t_calendarioPolitica!A:C,3,FALSE)</f>
        <v>1</v>
      </c>
      <c r="G1341" s="1">
        <v>1</v>
      </c>
      <c r="H1341" s="1">
        <v>1</v>
      </c>
      <c r="I1341" s="1">
        <f t="shared" si="104"/>
        <v>1</v>
      </c>
    </row>
    <row r="1342" spans="1:9" x14ac:dyDescent="0.3">
      <c r="A1342" s="26">
        <v>46632</v>
      </c>
      <c r="B1342" s="27">
        <f t="shared" si="100"/>
        <v>2027</v>
      </c>
      <c r="C1342" s="27">
        <f t="shared" si="101"/>
        <v>9</v>
      </c>
      <c r="D1342" s="27">
        <f t="shared" si="102"/>
        <v>2</v>
      </c>
      <c r="E1342" s="27">
        <f t="shared" si="103"/>
        <v>5</v>
      </c>
      <c r="F1342" s="27">
        <f>VLOOKUP(E1342,[1]t_calendarioPolitica!A:C,3,FALSE)</f>
        <v>1</v>
      </c>
      <c r="G1342" s="1">
        <v>1</v>
      </c>
      <c r="H1342" s="1">
        <v>1</v>
      </c>
      <c r="I1342" s="1">
        <f t="shared" si="104"/>
        <v>1</v>
      </c>
    </row>
    <row r="1343" spans="1:9" x14ac:dyDescent="0.3">
      <c r="A1343" s="26">
        <v>46633</v>
      </c>
      <c r="B1343" s="27">
        <f t="shared" si="100"/>
        <v>2027</v>
      </c>
      <c r="C1343" s="27">
        <f t="shared" si="101"/>
        <v>9</v>
      </c>
      <c r="D1343" s="27">
        <f t="shared" si="102"/>
        <v>3</v>
      </c>
      <c r="E1343" s="27">
        <f t="shared" si="103"/>
        <v>6</v>
      </c>
      <c r="F1343" s="27">
        <f>VLOOKUP(E1343,[1]t_calendarioPolitica!A:C,3,FALSE)</f>
        <v>1</v>
      </c>
      <c r="G1343" s="1">
        <v>1</v>
      </c>
      <c r="H1343" s="1">
        <v>1</v>
      </c>
      <c r="I1343" s="1">
        <f t="shared" si="104"/>
        <v>1</v>
      </c>
    </row>
    <row r="1344" spans="1:9" x14ac:dyDescent="0.3">
      <c r="A1344" s="26">
        <v>46634</v>
      </c>
      <c r="B1344" s="27">
        <f t="shared" si="100"/>
        <v>2027</v>
      </c>
      <c r="C1344" s="27">
        <f t="shared" si="101"/>
        <v>9</v>
      </c>
      <c r="D1344" s="27">
        <f t="shared" si="102"/>
        <v>4</v>
      </c>
      <c r="E1344" s="27">
        <f t="shared" si="103"/>
        <v>7</v>
      </c>
      <c r="F1344" s="27">
        <f>VLOOKUP(E1344,[1]t_calendarioPolitica!A:C,3,FALSE)</f>
        <v>2</v>
      </c>
      <c r="G1344" s="1">
        <v>1</v>
      </c>
      <c r="H1344" s="1">
        <v>1</v>
      </c>
      <c r="I1344" s="1">
        <f t="shared" si="104"/>
        <v>1</v>
      </c>
    </row>
    <row r="1345" spans="1:9" x14ac:dyDescent="0.3">
      <c r="A1345" s="26">
        <v>46635</v>
      </c>
      <c r="B1345" s="27">
        <f t="shared" si="100"/>
        <v>2027</v>
      </c>
      <c r="C1345" s="27">
        <f t="shared" si="101"/>
        <v>9</v>
      </c>
      <c r="D1345" s="27">
        <f t="shared" si="102"/>
        <v>5</v>
      </c>
      <c r="E1345" s="27">
        <f t="shared" si="103"/>
        <v>1</v>
      </c>
      <c r="F1345" s="27">
        <f>VLOOKUP(E1345,[1]t_calendarioPolitica!A:C,3,FALSE)</f>
        <v>0</v>
      </c>
      <c r="G1345" s="1">
        <v>1</v>
      </c>
      <c r="H1345" s="1">
        <v>1</v>
      </c>
      <c r="I1345" s="1">
        <f t="shared" si="104"/>
        <v>0</v>
      </c>
    </row>
    <row r="1346" spans="1:9" x14ac:dyDescent="0.3">
      <c r="A1346" s="26">
        <v>46636</v>
      </c>
      <c r="B1346" s="27">
        <f t="shared" si="100"/>
        <v>2027</v>
      </c>
      <c r="C1346" s="27">
        <f t="shared" si="101"/>
        <v>9</v>
      </c>
      <c r="D1346" s="27">
        <f t="shared" si="102"/>
        <v>6</v>
      </c>
      <c r="E1346" s="27">
        <f t="shared" si="103"/>
        <v>2</v>
      </c>
      <c r="F1346" s="27">
        <f>VLOOKUP(E1346,[1]t_calendarioPolitica!A:C,3,FALSE)</f>
        <v>1</v>
      </c>
      <c r="G1346" s="1">
        <v>1</v>
      </c>
      <c r="H1346" s="1">
        <v>1</v>
      </c>
      <c r="I1346" s="1">
        <f t="shared" si="104"/>
        <v>1</v>
      </c>
    </row>
    <row r="1347" spans="1:9" x14ac:dyDescent="0.3">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VLOOKUP(E1347,[1]t_calendarioPolitica!A:C,3,FALSE)</f>
        <v>1</v>
      </c>
      <c r="G1347" s="1">
        <v>1</v>
      </c>
      <c r="H1347" s="1">
        <v>1</v>
      </c>
      <c r="I1347" s="1">
        <f t="shared" ref="I1347:I1410" si="109">IF(AND(F1347&lt;&gt;0, H1347&lt;&gt;0,G1347&lt;&gt;0), 1, 0)</f>
        <v>1</v>
      </c>
    </row>
    <row r="1348" spans="1:9" x14ac:dyDescent="0.3">
      <c r="A1348" s="26">
        <v>46638</v>
      </c>
      <c r="B1348" s="27">
        <f t="shared" si="105"/>
        <v>2027</v>
      </c>
      <c r="C1348" s="27">
        <f t="shared" si="106"/>
        <v>9</v>
      </c>
      <c r="D1348" s="27">
        <f t="shared" si="107"/>
        <v>8</v>
      </c>
      <c r="E1348" s="27">
        <f t="shared" si="108"/>
        <v>4</v>
      </c>
      <c r="F1348" s="27">
        <f>VLOOKUP(E1348,[1]t_calendarioPolitica!A:C,3,FALSE)</f>
        <v>1</v>
      </c>
      <c r="G1348" s="1">
        <v>1</v>
      </c>
      <c r="H1348" s="1">
        <v>1</v>
      </c>
      <c r="I1348" s="1">
        <f t="shared" si="109"/>
        <v>1</v>
      </c>
    </row>
    <row r="1349" spans="1:9" x14ac:dyDescent="0.3">
      <c r="A1349" s="26">
        <v>46639</v>
      </c>
      <c r="B1349" s="27">
        <f t="shared" si="105"/>
        <v>2027</v>
      </c>
      <c r="C1349" s="27">
        <f t="shared" si="106"/>
        <v>9</v>
      </c>
      <c r="D1349" s="27">
        <f t="shared" si="107"/>
        <v>9</v>
      </c>
      <c r="E1349" s="27">
        <f t="shared" si="108"/>
        <v>5</v>
      </c>
      <c r="F1349" s="27">
        <f>VLOOKUP(E1349,[1]t_calendarioPolitica!A:C,3,FALSE)</f>
        <v>1</v>
      </c>
      <c r="G1349" s="1">
        <v>1</v>
      </c>
      <c r="H1349" s="1">
        <v>1</v>
      </c>
      <c r="I1349" s="1">
        <f t="shared" si="109"/>
        <v>1</v>
      </c>
    </row>
    <row r="1350" spans="1:9" x14ac:dyDescent="0.3">
      <c r="A1350" s="26">
        <v>46640</v>
      </c>
      <c r="B1350" s="27">
        <f t="shared" si="105"/>
        <v>2027</v>
      </c>
      <c r="C1350" s="27">
        <f t="shared" si="106"/>
        <v>9</v>
      </c>
      <c r="D1350" s="27">
        <f t="shared" si="107"/>
        <v>10</v>
      </c>
      <c r="E1350" s="27">
        <f t="shared" si="108"/>
        <v>6</v>
      </c>
      <c r="F1350" s="27">
        <f>VLOOKUP(E1350,[1]t_calendarioPolitica!A:C,3,FALSE)</f>
        <v>1</v>
      </c>
      <c r="G1350" s="1">
        <v>1</v>
      </c>
      <c r="H1350" s="1">
        <v>1</v>
      </c>
      <c r="I1350" s="1">
        <f t="shared" si="109"/>
        <v>1</v>
      </c>
    </row>
    <row r="1351" spans="1:9" x14ac:dyDescent="0.3">
      <c r="A1351" s="26">
        <v>46641</v>
      </c>
      <c r="B1351" s="27">
        <f t="shared" si="105"/>
        <v>2027</v>
      </c>
      <c r="C1351" s="27">
        <f t="shared" si="106"/>
        <v>9</v>
      </c>
      <c r="D1351" s="27">
        <f t="shared" si="107"/>
        <v>11</v>
      </c>
      <c r="E1351" s="27">
        <f t="shared" si="108"/>
        <v>7</v>
      </c>
      <c r="F1351" s="27">
        <f>VLOOKUP(E1351,[1]t_calendarioPolitica!A:C,3,FALSE)</f>
        <v>2</v>
      </c>
      <c r="G1351" s="1">
        <v>1</v>
      </c>
      <c r="H1351" s="1">
        <v>1</v>
      </c>
      <c r="I1351" s="1">
        <f t="shared" si="109"/>
        <v>1</v>
      </c>
    </row>
    <row r="1352" spans="1:9" x14ac:dyDescent="0.3">
      <c r="A1352" s="26">
        <v>46642</v>
      </c>
      <c r="B1352" s="27">
        <f t="shared" si="105"/>
        <v>2027</v>
      </c>
      <c r="C1352" s="27">
        <f t="shared" si="106"/>
        <v>9</v>
      </c>
      <c r="D1352" s="27">
        <f t="shared" si="107"/>
        <v>12</v>
      </c>
      <c r="E1352" s="27">
        <f t="shared" si="108"/>
        <v>1</v>
      </c>
      <c r="F1352" s="27">
        <f>VLOOKUP(E1352,[1]t_calendarioPolitica!A:C,3,FALSE)</f>
        <v>0</v>
      </c>
      <c r="G1352" s="1">
        <v>1</v>
      </c>
      <c r="H1352" s="1">
        <v>1</v>
      </c>
      <c r="I1352" s="1">
        <f t="shared" si="109"/>
        <v>0</v>
      </c>
    </row>
    <row r="1353" spans="1:9" x14ac:dyDescent="0.3">
      <c r="A1353" s="26">
        <v>46643</v>
      </c>
      <c r="B1353" s="27">
        <f t="shared" si="105"/>
        <v>2027</v>
      </c>
      <c r="C1353" s="27">
        <f t="shared" si="106"/>
        <v>9</v>
      </c>
      <c r="D1353" s="27">
        <f t="shared" si="107"/>
        <v>13</v>
      </c>
      <c r="E1353" s="27">
        <f t="shared" si="108"/>
        <v>2</v>
      </c>
      <c r="F1353" s="27">
        <f>VLOOKUP(E1353,[1]t_calendarioPolitica!A:C,3,FALSE)</f>
        <v>1</v>
      </c>
      <c r="G1353" s="1">
        <v>1</v>
      </c>
      <c r="H1353" s="1">
        <v>1</v>
      </c>
      <c r="I1353" s="1">
        <f t="shared" si="109"/>
        <v>1</v>
      </c>
    </row>
    <row r="1354" spans="1:9" x14ac:dyDescent="0.3">
      <c r="A1354" s="26">
        <v>46644</v>
      </c>
      <c r="B1354" s="27">
        <f t="shared" si="105"/>
        <v>2027</v>
      </c>
      <c r="C1354" s="27">
        <f t="shared" si="106"/>
        <v>9</v>
      </c>
      <c r="D1354" s="27">
        <f t="shared" si="107"/>
        <v>14</v>
      </c>
      <c r="E1354" s="27">
        <f t="shared" si="108"/>
        <v>3</v>
      </c>
      <c r="F1354" s="27">
        <f>VLOOKUP(E1354,[1]t_calendarioPolitica!A:C,3,FALSE)</f>
        <v>1</v>
      </c>
      <c r="G1354" s="1">
        <v>1</v>
      </c>
      <c r="H1354" s="1">
        <v>1</v>
      </c>
      <c r="I1354" s="1">
        <f t="shared" si="109"/>
        <v>1</v>
      </c>
    </row>
    <row r="1355" spans="1:9" x14ac:dyDescent="0.3">
      <c r="A1355" s="26">
        <v>46645</v>
      </c>
      <c r="B1355" s="27">
        <f t="shared" si="105"/>
        <v>2027</v>
      </c>
      <c r="C1355" s="27">
        <f t="shared" si="106"/>
        <v>9</v>
      </c>
      <c r="D1355" s="27">
        <f t="shared" si="107"/>
        <v>15</v>
      </c>
      <c r="E1355" s="27">
        <f t="shared" si="108"/>
        <v>4</v>
      </c>
      <c r="F1355" s="27">
        <f>VLOOKUP(E1355,[1]t_calendarioPolitica!A:C,3,FALSE)</f>
        <v>1</v>
      </c>
      <c r="G1355" s="1">
        <v>1</v>
      </c>
      <c r="H1355" s="1">
        <v>0</v>
      </c>
      <c r="I1355" s="1">
        <f t="shared" si="109"/>
        <v>0</v>
      </c>
    </row>
    <row r="1356" spans="1:9" x14ac:dyDescent="0.3">
      <c r="A1356" s="26">
        <v>46646</v>
      </c>
      <c r="B1356" s="27">
        <f t="shared" si="105"/>
        <v>2027</v>
      </c>
      <c r="C1356" s="27">
        <f t="shared" si="106"/>
        <v>9</v>
      </c>
      <c r="D1356" s="27">
        <f t="shared" si="107"/>
        <v>16</v>
      </c>
      <c r="E1356" s="27">
        <f t="shared" si="108"/>
        <v>5</v>
      </c>
      <c r="F1356" s="27">
        <f>VLOOKUP(E1356,[1]t_calendarioPolitica!A:C,3,FALSE)</f>
        <v>1</v>
      </c>
      <c r="G1356" s="1">
        <v>0</v>
      </c>
      <c r="H1356" s="1">
        <v>1</v>
      </c>
      <c r="I1356" s="1">
        <f t="shared" si="109"/>
        <v>0</v>
      </c>
    </row>
    <row r="1357" spans="1:9" x14ac:dyDescent="0.3">
      <c r="A1357" s="26">
        <v>46647</v>
      </c>
      <c r="B1357" s="27">
        <f t="shared" si="105"/>
        <v>2027</v>
      </c>
      <c r="C1357" s="27">
        <f t="shared" si="106"/>
        <v>9</v>
      </c>
      <c r="D1357" s="27">
        <f t="shared" si="107"/>
        <v>17</v>
      </c>
      <c r="E1357" s="27">
        <f t="shared" si="108"/>
        <v>6</v>
      </c>
      <c r="F1357" s="27">
        <f>VLOOKUP(E1357,[1]t_calendarioPolitica!A:C,3,FALSE)</f>
        <v>1</v>
      </c>
      <c r="G1357" s="1">
        <v>1</v>
      </c>
      <c r="H1357" s="1">
        <v>1</v>
      </c>
      <c r="I1357" s="1">
        <f t="shared" si="109"/>
        <v>1</v>
      </c>
    </row>
    <row r="1358" spans="1:9" x14ac:dyDescent="0.3">
      <c r="A1358" s="26">
        <v>46648</v>
      </c>
      <c r="B1358" s="27">
        <f t="shared" si="105"/>
        <v>2027</v>
      </c>
      <c r="C1358" s="27">
        <f t="shared" si="106"/>
        <v>9</v>
      </c>
      <c r="D1358" s="27">
        <f t="shared" si="107"/>
        <v>18</v>
      </c>
      <c r="E1358" s="27">
        <f t="shared" si="108"/>
        <v>7</v>
      </c>
      <c r="F1358" s="27">
        <f>VLOOKUP(E1358,[1]t_calendarioPolitica!A:C,3,FALSE)</f>
        <v>2</v>
      </c>
      <c r="G1358" s="1">
        <v>1</v>
      </c>
      <c r="H1358" s="1">
        <v>1</v>
      </c>
      <c r="I1358" s="1">
        <f t="shared" si="109"/>
        <v>1</v>
      </c>
    </row>
    <row r="1359" spans="1:9" x14ac:dyDescent="0.3">
      <c r="A1359" s="26">
        <v>46649</v>
      </c>
      <c r="B1359" s="27">
        <f t="shared" si="105"/>
        <v>2027</v>
      </c>
      <c r="C1359" s="27">
        <f t="shared" si="106"/>
        <v>9</v>
      </c>
      <c r="D1359" s="27">
        <f t="shared" si="107"/>
        <v>19</v>
      </c>
      <c r="E1359" s="27">
        <f t="shared" si="108"/>
        <v>1</v>
      </c>
      <c r="F1359" s="27">
        <f>VLOOKUP(E1359,[1]t_calendarioPolitica!A:C,3,FALSE)</f>
        <v>0</v>
      </c>
      <c r="G1359" s="1">
        <v>1</v>
      </c>
      <c r="H1359" s="1">
        <v>1</v>
      </c>
      <c r="I1359" s="1">
        <f t="shared" si="109"/>
        <v>0</v>
      </c>
    </row>
    <row r="1360" spans="1:9" x14ac:dyDescent="0.3">
      <c r="A1360" s="26">
        <v>46650</v>
      </c>
      <c r="B1360" s="27">
        <f t="shared" si="105"/>
        <v>2027</v>
      </c>
      <c r="C1360" s="27">
        <f t="shared" si="106"/>
        <v>9</v>
      </c>
      <c r="D1360" s="27">
        <f t="shared" si="107"/>
        <v>20</v>
      </c>
      <c r="E1360" s="27">
        <f t="shared" si="108"/>
        <v>2</v>
      </c>
      <c r="F1360" s="27">
        <f>VLOOKUP(E1360,[1]t_calendarioPolitica!A:C,3,FALSE)</f>
        <v>1</v>
      </c>
      <c r="G1360" s="1">
        <v>1</v>
      </c>
      <c r="H1360" s="1">
        <v>1</v>
      </c>
      <c r="I1360" s="1">
        <f t="shared" si="109"/>
        <v>1</v>
      </c>
    </row>
    <row r="1361" spans="1:9" x14ac:dyDescent="0.3">
      <c r="A1361" s="26">
        <v>46651</v>
      </c>
      <c r="B1361" s="27">
        <f t="shared" si="105"/>
        <v>2027</v>
      </c>
      <c r="C1361" s="27">
        <f t="shared" si="106"/>
        <v>9</v>
      </c>
      <c r="D1361" s="27">
        <f t="shared" si="107"/>
        <v>21</v>
      </c>
      <c r="E1361" s="27">
        <f t="shared" si="108"/>
        <v>3</v>
      </c>
      <c r="F1361" s="27">
        <f>VLOOKUP(E1361,[1]t_calendarioPolitica!A:C,3,FALSE)</f>
        <v>1</v>
      </c>
      <c r="G1361" s="1">
        <v>1</v>
      </c>
      <c r="H1361" s="1">
        <v>1</v>
      </c>
      <c r="I1361" s="1">
        <f t="shared" si="109"/>
        <v>1</v>
      </c>
    </row>
    <row r="1362" spans="1:9" x14ac:dyDescent="0.3">
      <c r="A1362" s="26">
        <v>46652</v>
      </c>
      <c r="B1362" s="27">
        <f t="shared" si="105"/>
        <v>2027</v>
      </c>
      <c r="C1362" s="27">
        <f t="shared" si="106"/>
        <v>9</v>
      </c>
      <c r="D1362" s="27">
        <f t="shared" si="107"/>
        <v>22</v>
      </c>
      <c r="E1362" s="27">
        <f t="shared" si="108"/>
        <v>4</v>
      </c>
      <c r="F1362" s="27">
        <f>VLOOKUP(E1362,[1]t_calendarioPolitica!A:C,3,FALSE)</f>
        <v>1</v>
      </c>
      <c r="G1362" s="1">
        <v>1</v>
      </c>
      <c r="H1362" s="1">
        <v>1</v>
      </c>
      <c r="I1362" s="1">
        <f t="shared" si="109"/>
        <v>1</v>
      </c>
    </row>
    <row r="1363" spans="1:9" x14ac:dyDescent="0.3">
      <c r="A1363" s="26">
        <v>46653</v>
      </c>
      <c r="B1363" s="27">
        <f t="shared" si="105"/>
        <v>2027</v>
      </c>
      <c r="C1363" s="27">
        <f t="shared" si="106"/>
        <v>9</v>
      </c>
      <c r="D1363" s="27">
        <f t="shared" si="107"/>
        <v>23</v>
      </c>
      <c r="E1363" s="27">
        <f t="shared" si="108"/>
        <v>5</v>
      </c>
      <c r="F1363" s="27">
        <f>VLOOKUP(E1363,[1]t_calendarioPolitica!A:C,3,FALSE)</f>
        <v>1</v>
      </c>
      <c r="G1363" s="1">
        <v>1</v>
      </c>
      <c r="H1363" s="1">
        <v>1</v>
      </c>
      <c r="I1363" s="1">
        <f t="shared" si="109"/>
        <v>1</v>
      </c>
    </row>
    <row r="1364" spans="1:9" x14ac:dyDescent="0.3">
      <c r="A1364" s="26">
        <v>46654</v>
      </c>
      <c r="B1364" s="27">
        <f t="shared" si="105"/>
        <v>2027</v>
      </c>
      <c r="C1364" s="27">
        <f t="shared" si="106"/>
        <v>9</v>
      </c>
      <c r="D1364" s="27">
        <f t="shared" si="107"/>
        <v>24</v>
      </c>
      <c r="E1364" s="27">
        <f t="shared" si="108"/>
        <v>6</v>
      </c>
      <c r="F1364" s="27">
        <f>VLOOKUP(E1364,[1]t_calendarioPolitica!A:C,3,FALSE)</f>
        <v>1</v>
      </c>
      <c r="G1364" s="1">
        <v>1</v>
      </c>
      <c r="H1364" s="1">
        <v>1</v>
      </c>
      <c r="I1364" s="1">
        <f t="shared" si="109"/>
        <v>1</v>
      </c>
    </row>
    <row r="1365" spans="1:9" x14ac:dyDescent="0.3">
      <c r="A1365" s="26">
        <v>46655</v>
      </c>
      <c r="B1365" s="27">
        <f t="shared" si="105"/>
        <v>2027</v>
      </c>
      <c r="C1365" s="27">
        <f t="shared" si="106"/>
        <v>9</v>
      </c>
      <c r="D1365" s="27">
        <f t="shared" si="107"/>
        <v>25</v>
      </c>
      <c r="E1365" s="27">
        <f t="shared" si="108"/>
        <v>7</v>
      </c>
      <c r="F1365" s="27">
        <f>VLOOKUP(E1365,[1]t_calendarioPolitica!A:C,3,FALSE)</f>
        <v>2</v>
      </c>
      <c r="G1365" s="1">
        <v>1</v>
      </c>
      <c r="H1365" s="1">
        <v>1</v>
      </c>
      <c r="I1365" s="1">
        <f t="shared" si="109"/>
        <v>1</v>
      </c>
    </row>
    <row r="1366" spans="1:9" x14ac:dyDescent="0.3">
      <c r="A1366" s="26">
        <v>46656</v>
      </c>
      <c r="B1366" s="27">
        <f t="shared" si="105"/>
        <v>2027</v>
      </c>
      <c r="C1366" s="27">
        <f t="shared" si="106"/>
        <v>9</v>
      </c>
      <c r="D1366" s="27">
        <f t="shared" si="107"/>
        <v>26</v>
      </c>
      <c r="E1366" s="27">
        <f t="shared" si="108"/>
        <v>1</v>
      </c>
      <c r="F1366" s="27">
        <f>VLOOKUP(E1366,[1]t_calendarioPolitica!A:C,3,FALSE)</f>
        <v>0</v>
      </c>
      <c r="G1366" s="1">
        <v>1</v>
      </c>
      <c r="H1366" s="1">
        <v>1</v>
      </c>
      <c r="I1366" s="1">
        <f t="shared" si="109"/>
        <v>0</v>
      </c>
    </row>
    <row r="1367" spans="1:9" x14ac:dyDescent="0.3">
      <c r="A1367" s="26">
        <v>46657</v>
      </c>
      <c r="B1367" s="27">
        <f t="shared" si="105"/>
        <v>2027</v>
      </c>
      <c r="C1367" s="27">
        <f t="shared" si="106"/>
        <v>9</v>
      </c>
      <c r="D1367" s="27">
        <f t="shared" si="107"/>
        <v>27</v>
      </c>
      <c r="E1367" s="27">
        <f t="shared" si="108"/>
        <v>2</v>
      </c>
      <c r="F1367" s="27">
        <f>VLOOKUP(E1367,[1]t_calendarioPolitica!A:C,3,FALSE)</f>
        <v>1</v>
      </c>
      <c r="G1367" s="1">
        <v>1</v>
      </c>
      <c r="H1367" s="1">
        <v>1</v>
      </c>
      <c r="I1367" s="1">
        <f t="shared" si="109"/>
        <v>1</v>
      </c>
    </row>
    <row r="1368" spans="1:9" x14ac:dyDescent="0.3">
      <c r="A1368" s="26">
        <v>46658</v>
      </c>
      <c r="B1368" s="27">
        <f t="shared" si="105"/>
        <v>2027</v>
      </c>
      <c r="C1368" s="27">
        <f t="shared" si="106"/>
        <v>9</v>
      </c>
      <c r="D1368" s="27">
        <f t="shared" si="107"/>
        <v>28</v>
      </c>
      <c r="E1368" s="27">
        <f t="shared" si="108"/>
        <v>3</v>
      </c>
      <c r="F1368" s="27">
        <f>VLOOKUP(E1368,[1]t_calendarioPolitica!A:C,3,FALSE)</f>
        <v>1</v>
      </c>
      <c r="G1368" s="1">
        <v>1</v>
      </c>
      <c r="H1368" s="1">
        <v>1</v>
      </c>
      <c r="I1368" s="1">
        <f t="shared" si="109"/>
        <v>1</v>
      </c>
    </row>
    <row r="1369" spans="1:9" x14ac:dyDescent="0.3">
      <c r="A1369" s="26">
        <v>46659</v>
      </c>
      <c r="B1369" s="27">
        <f t="shared" si="105"/>
        <v>2027</v>
      </c>
      <c r="C1369" s="27">
        <f t="shared" si="106"/>
        <v>9</v>
      </c>
      <c r="D1369" s="27">
        <f t="shared" si="107"/>
        <v>29</v>
      </c>
      <c r="E1369" s="27">
        <f t="shared" si="108"/>
        <v>4</v>
      </c>
      <c r="F1369" s="27">
        <f>VLOOKUP(E1369,[1]t_calendarioPolitica!A:C,3,FALSE)</f>
        <v>1</v>
      </c>
      <c r="G1369" s="1">
        <v>1</v>
      </c>
      <c r="H1369" s="1">
        <v>1</v>
      </c>
      <c r="I1369" s="1">
        <f t="shared" si="109"/>
        <v>1</v>
      </c>
    </row>
    <row r="1370" spans="1:9" x14ac:dyDescent="0.3">
      <c r="A1370" s="26">
        <v>46660</v>
      </c>
      <c r="B1370" s="27">
        <f t="shared" si="105"/>
        <v>2027</v>
      </c>
      <c r="C1370" s="27">
        <f t="shared" si="106"/>
        <v>9</v>
      </c>
      <c r="D1370" s="27">
        <f t="shared" si="107"/>
        <v>30</v>
      </c>
      <c r="E1370" s="27">
        <f t="shared" si="108"/>
        <v>5</v>
      </c>
      <c r="F1370" s="27">
        <f>VLOOKUP(E1370,[1]t_calendarioPolitica!A:C,3,FALSE)</f>
        <v>1</v>
      </c>
      <c r="G1370" s="1">
        <v>1</v>
      </c>
      <c r="H1370" s="1">
        <v>1</v>
      </c>
      <c r="I1370" s="1">
        <f t="shared" si="109"/>
        <v>1</v>
      </c>
    </row>
    <row r="1371" spans="1:9" x14ac:dyDescent="0.3">
      <c r="A1371" s="26">
        <v>46661</v>
      </c>
      <c r="B1371" s="27">
        <f t="shared" si="105"/>
        <v>2027</v>
      </c>
      <c r="C1371" s="27">
        <f t="shared" si="106"/>
        <v>10</v>
      </c>
      <c r="D1371" s="27">
        <f t="shared" si="107"/>
        <v>1</v>
      </c>
      <c r="E1371" s="27">
        <f t="shared" si="108"/>
        <v>6</v>
      </c>
      <c r="F1371" s="27">
        <f>VLOOKUP(E1371,[1]t_calendarioPolitica!A:C,3,FALSE)</f>
        <v>1</v>
      </c>
      <c r="G1371" s="1">
        <v>1</v>
      </c>
      <c r="H1371" s="1">
        <v>1</v>
      </c>
      <c r="I1371" s="1">
        <f t="shared" si="109"/>
        <v>1</v>
      </c>
    </row>
    <row r="1372" spans="1:9" x14ac:dyDescent="0.3">
      <c r="A1372" s="26">
        <v>46662</v>
      </c>
      <c r="B1372" s="27">
        <f t="shared" si="105"/>
        <v>2027</v>
      </c>
      <c r="C1372" s="27">
        <f t="shared" si="106"/>
        <v>10</v>
      </c>
      <c r="D1372" s="27">
        <f t="shared" si="107"/>
        <v>2</v>
      </c>
      <c r="E1372" s="27">
        <f t="shared" si="108"/>
        <v>7</v>
      </c>
      <c r="F1372" s="27">
        <f>VLOOKUP(E1372,[1]t_calendarioPolitica!A:C,3,FALSE)</f>
        <v>2</v>
      </c>
      <c r="G1372" s="1">
        <v>1</v>
      </c>
      <c r="H1372" s="1">
        <v>1</v>
      </c>
      <c r="I1372" s="1">
        <f t="shared" si="109"/>
        <v>1</v>
      </c>
    </row>
    <row r="1373" spans="1:9" x14ac:dyDescent="0.3">
      <c r="A1373" s="26">
        <v>46663</v>
      </c>
      <c r="B1373" s="27">
        <f t="shared" si="105"/>
        <v>2027</v>
      </c>
      <c r="C1373" s="27">
        <f t="shared" si="106"/>
        <v>10</v>
      </c>
      <c r="D1373" s="27">
        <f t="shared" si="107"/>
        <v>3</v>
      </c>
      <c r="E1373" s="27">
        <f t="shared" si="108"/>
        <v>1</v>
      </c>
      <c r="F1373" s="27">
        <f>VLOOKUP(E1373,[1]t_calendarioPolitica!A:C,3,FALSE)</f>
        <v>0</v>
      </c>
      <c r="G1373" s="1">
        <v>1</v>
      </c>
      <c r="H1373" s="1">
        <v>1</v>
      </c>
      <c r="I1373" s="1">
        <f t="shared" si="109"/>
        <v>0</v>
      </c>
    </row>
    <row r="1374" spans="1:9" x14ac:dyDescent="0.3">
      <c r="A1374" s="26">
        <v>46664</v>
      </c>
      <c r="B1374" s="27">
        <f t="shared" si="105"/>
        <v>2027</v>
      </c>
      <c r="C1374" s="27">
        <f t="shared" si="106"/>
        <v>10</v>
      </c>
      <c r="D1374" s="27">
        <f t="shared" si="107"/>
        <v>4</v>
      </c>
      <c r="E1374" s="27">
        <f t="shared" si="108"/>
        <v>2</v>
      </c>
      <c r="F1374" s="27">
        <f>VLOOKUP(E1374,[1]t_calendarioPolitica!A:C,3,FALSE)</f>
        <v>1</v>
      </c>
      <c r="G1374" s="1">
        <v>1</v>
      </c>
      <c r="H1374" s="1">
        <v>1</v>
      </c>
      <c r="I1374" s="1">
        <f t="shared" si="109"/>
        <v>1</v>
      </c>
    </row>
    <row r="1375" spans="1:9" x14ac:dyDescent="0.3">
      <c r="A1375" s="26">
        <v>46665</v>
      </c>
      <c r="B1375" s="27">
        <f t="shared" si="105"/>
        <v>2027</v>
      </c>
      <c r="C1375" s="27">
        <f t="shared" si="106"/>
        <v>10</v>
      </c>
      <c r="D1375" s="27">
        <f t="shared" si="107"/>
        <v>5</v>
      </c>
      <c r="E1375" s="27">
        <f t="shared" si="108"/>
        <v>3</v>
      </c>
      <c r="F1375" s="27">
        <f>VLOOKUP(E1375,[1]t_calendarioPolitica!A:C,3,FALSE)</f>
        <v>1</v>
      </c>
      <c r="G1375" s="1">
        <v>1</v>
      </c>
      <c r="H1375" s="1">
        <v>1</v>
      </c>
      <c r="I1375" s="1">
        <f t="shared" si="109"/>
        <v>1</v>
      </c>
    </row>
    <row r="1376" spans="1:9" x14ac:dyDescent="0.3">
      <c r="A1376" s="26">
        <v>46666</v>
      </c>
      <c r="B1376" s="27">
        <f t="shared" si="105"/>
        <v>2027</v>
      </c>
      <c r="C1376" s="27">
        <f t="shared" si="106"/>
        <v>10</v>
      </c>
      <c r="D1376" s="27">
        <f t="shared" si="107"/>
        <v>6</v>
      </c>
      <c r="E1376" s="27">
        <f t="shared" si="108"/>
        <v>4</v>
      </c>
      <c r="F1376" s="27">
        <f>VLOOKUP(E1376,[1]t_calendarioPolitica!A:C,3,FALSE)</f>
        <v>1</v>
      </c>
      <c r="G1376" s="1">
        <v>1</v>
      </c>
      <c r="H1376" s="1">
        <v>1</v>
      </c>
      <c r="I1376" s="1">
        <f t="shared" si="109"/>
        <v>1</v>
      </c>
    </row>
    <row r="1377" spans="1:9" x14ac:dyDescent="0.3">
      <c r="A1377" s="26">
        <v>46667</v>
      </c>
      <c r="B1377" s="27">
        <f t="shared" si="105"/>
        <v>2027</v>
      </c>
      <c r="C1377" s="27">
        <f t="shared" si="106"/>
        <v>10</v>
      </c>
      <c r="D1377" s="27">
        <f t="shared" si="107"/>
        <v>7</v>
      </c>
      <c r="E1377" s="27">
        <f t="shared" si="108"/>
        <v>5</v>
      </c>
      <c r="F1377" s="27">
        <f>VLOOKUP(E1377,[1]t_calendarioPolitica!A:C,3,FALSE)</f>
        <v>1</v>
      </c>
      <c r="G1377" s="1">
        <v>1</v>
      </c>
      <c r="H1377" s="1">
        <v>1</v>
      </c>
      <c r="I1377" s="1">
        <f t="shared" si="109"/>
        <v>1</v>
      </c>
    </row>
    <row r="1378" spans="1:9" x14ac:dyDescent="0.3">
      <c r="A1378" s="26">
        <v>46668</v>
      </c>
      <c r="B1378" s="27">
        <f t="shared" si="105"/>
        <v>2027</v>
      </c>
      <c r="C1378" s="27">
        <f t="shared" si="106"/>
        <v>10</v>
      </c>
      <c r="D1378" s="27">
        <f t="shared" si="107"/>
        <v>8</v>
      </c>
      <c r="E1378" s="27">
        <f t="shared" si="108"/>
        <v>6</v>
      </c>
      <c r="F1378" s="27">
        <f>VLOOKUP(E1378,[1]t_calendarioPolitica!A:C,3,FALSE)</f>
        <v>1</v>
      </c>
      <c r="G1378" s="1">
        <v>1</v>
      </c>
      <c r="H1378" s="1">
        <v>1</v>
      </c>
      <c r="I1378" s="1">
        <f t="shared" si="109"/>
        <v>1</v>
      </c>
    </row>
    <row r="1379" spans="1:9" x14ac:dyDescent="0.3">
      <c r="A1379" s="26">
        <v>46669</v>
      </c>
      <c r="B1379" s="27">
        <f t="shared" si="105"/>
        <v>2027</v>
      </c>
      <c r="C1379" s="27">
        <f t="shared" si="106"/>
        <v>10</v>
      </c>
      <c r="D1379" s="27">
        <f t="shared" si="107"/>
        <v>9</v>
      </c>
      <c r="E1379" s="27">
        <f t="shared" si="108"/>
        <v>7</v>
      </c>
      <c r="F1379" s="27">
        <f>VLOOKUP(E1379,[1]t_calendarioPolitica!A:C,3,FALSE)</f>
        <v>2</v>
      </c>
      <c r="G1379" s="1">
        <v>1</v>
      </c>
      <c r="H1379" s="1">
        <v>1</v>
      </c>
      <c r="I1379" s="1">
        <f t="shared" si="109"/>
        <v>1</v>
      </c>
    </row>
    <row r="1380" spans="1:9" x14ac:dyDescent="0.3">
      <c r="A1380" s="26">
        <v>46670</v>
      </c>
      <c r="B1380" s="27">
        <f t="shared" si="105"/>
        <v>2027</v>
      </c>
      <c r="C1380" s="27">
        <f t="shared" si="106"/>
        <v>10</v>
      </c>
      <c r="D1380" s="27">
        <f t="shared" si="107"/>
        <v>10</v>
      </c>
      <c r="E1380" s="27">
        <f t="shared" si="108"/>
        <v>1</v>
      </c>
      <c r="F1380" s="27">
        <f>VLOOKUP(E1380,[1]t_calendarioPolitica!A:C,3,FALSE)</f>
        <v>0</v>
      </c>
      <c r="G1380" s="1">
        <v>1</v>
      </c>
      <c r="H1380" s="1">
        <v>1</v>
      </c>
      <c r="I1380" s="1">
        <f t="shared" si="109"/>
        <v>0</v>
      </c>
    </row>
    <row r="1381" spans="1:9" x14ac:dyDescent="0.3">
      <c r="A1381" s="26">
        <v>46671</v>
      </c>
      <c r="B1381" s="27">
        <f t="shared" si="105"/>
        <v>2027</v>
      </c>
      <c r="C1381" s="27">
        <f t="shared" si="106"/>
        <v>10</v>
      </c>
      <c r="D1381" s="27">
        <f t="shared" si="107"/>
        <v>11</v>
      </c>
      <c r="E1381" s="27">
        <f t="shared" si="108"/>
        <v>2</v>
      </c>
      <c r="F1381" s="27">
        <f>VLOOKUP(E1381,[1]t_calendarioPolitica!A:C,3,FALSE)</f>
        <v>1</v>
      </c>
      <c r="G1381" s="1">
        <v>1</v>
      </c>
      <c r="H1381" s="1">
        <v>1</v>
      </c>
      <c r="I1381" s="1">
        <f t="shared" si="109"/>
        <v>1</v>
      </c>
    </row>
    <row r="1382" spans="1:9" x14ac:dyDescent="0.3">
      <c r="A1382" s="26">
        <v>46672</v>
      </c>
      <c r="B1382" s="27">
        <f t="shared" si="105"/>
        <v>2027</v>
      </c>
      <c r="C1382" s="27">
        <f t="shared" si="106"/>
        <v>10</v>
      </c>
      <c r="D1382" s="27">
        <f t="shared" si="107"/>
        <v>12</v>
      </c>
      <c r="E1382" s="27">
        <f t="shared" si="108"/>
        <v>3</v>
      </c>
      <c r="F1382" s="27">
        <f>VLOOKUP(E1382,[1]t_calendarioPolitica!A:C,3,FALSE)</f>
        <v>1</v>
      </c>
      <c r="G1382" s="1">
        <v>1</v>
      </c>
      <c r="H1382" s="1">
        <v>1</v>
      </c>
      <c r="I1382" s="1">
        <f t="shared" si="109"/>
        <v>1</v>
      </c>
    </row>
    <row r="1383" spans="1:9" x14ac:dyDescent="0.3">
      <c r="A1383" s="26">
        <v>46673</v>
      </c>
      <c r="B1383" s="27">
        <f t="shared" si="105"/>
        <v>2027</v>
      </c>
      <c r="C1383" s="27">
        <f t="shared" si="106"/>
        <v>10</v>
      </c>
      <c r="D1383" s="27">
        <f t="shared" si="107"/>
        <v>13</v>
      </c>
      <c r="E1383" s="27">
        <f t="shared" si="108"/>
        <v>4</v>
      </c>
      <c r="F1383" s="27">
        <f>VLOOKUP(E1383,[1]t_calendarioPolitica!A:C,3,FALSE)</f>
        <v>1</v>
      </c>
      <c r="G1383" s="1">
        <v>1</v>
      </c>
      <c r="H1383" s="1">
        <v>1</v>
      </c>
      <c r="I1383" s="1">
        <f t="shared" si="109"/>
        <v>1</v>
      </c>
    </row>
    <row r="1384" spans="1:9" x14ac:dyDescent="0.3">
      <c r="A1384" s="26">
        <v>46674</v>
      </c>
      <c r="B1384" s="27">
        <f t="shared" si="105"/>
        <v>2027</v>
      </c>
      <c r="C1384" s="27">
        <f t="shared" si="106"/>
        <v>10</v>
      </c>
      <c r="D1384" s="27">
        <f t="shared" si="107"/>
        <v>14</v>
      </c>
      <c r="E1384" s="27">
        <f t="shared" si="108"/>
        <v>5</v>
      </c>
      <c r="F1384" s="27">
        <f>VLOOKUP(E1384,[1]t_calendarioPolitica!A:C,3,FALSE)</f>
        <v>1</v>
      </c>
      <c r="G1384" s="1">
        <v>1</v>
      </c>
      <c r="H1384" s="1">
        <v>1</v>
      </c>
      <c r="I1384" s="1">
        <f t="shared" si="109"/>
        <v>1</v>
      </c>
    </row>
    <row r="1385" spans="1:9" x14ac:dyDescent="0.3">
      <c r="A1385" s="26">
        <v>46675</v>
      </c>
      <c r="B1385" s="27">
        <f t="shared" si="105"/>
        <v>2027</v>
      </c>
      <c r="C1385" s="27">
        <f t="shared" si="106"/>
        <v>10</v>
      </c>
      <c r="D1385" s="27">
        <f t="shared" si="107"/>
        <v>15</v>
      </c>
      <c r="E1385" s="27">
        <f t="shared" si="108"/>
        <v>6</v>
      </c>
      <c r="F1385" s="27">
        <f>VLOOKUP(E1385,[1]t_calendarioPolitica!A:C,3,FALSE)</f>
        <v>1</v>
      </c>
      <c r="G1385" s="1">
        <v>1</v>
      </c>
      <c r="H1385" s="1">
        <v>1</v>
      </c>
      <c r="I1385" s="1">
        <f t="shared" si="109"/>
        <v>1</v>
      </c>
    </row>
    <row r="1386" spans="1:9" x14ac:dyDescent="0.3">
      <c r="A1386" s="26">
        <v>46676</v>
      </c>
      <c r="B1386" s="27">
        <f t="shared" si="105"/>
        <v>2027</v>
      </c>
      <c r="C1386" s="27">
        <f t="shared" si="106"/>
        <v>10</v>
      </c>
      <c r="D1386" s="27">
        <f t="shared" si="107"/>
        <v>16</v>
      </c>
      <c r="E1386" s="27">
        <f t="shared" si="108"/>
        <v>7</v>
      </c>
      <c r="F1386" s="27">
        <f>VLOOKUP(E1386,[1]t_calendarioPolitica!A:C,3,FALSE)</f>
        <v>2</v>
      </c>
      <c r="G1386" s="1">
        <v>1</v>
      </c>
      <c r="H1386" s="1">
        <v>1</v>
      </c>
      <c r="I1386" s="1">
        <f t="shared" si="109"/>
        <v>1</v>
      </c>
    </row>
    <row r="1387" spans="1:9" x14ac:dyDescent="0.3">
      <c r="A1387" s="26">
        <v>46677</v>
      </c>
      <c r="B1387" s="27">
        <f t="shared" si="105"/>
        <v>2027</v>
      </c>
      <c r="C1387" s="27">
        <f t="shared" si="106"/>
        <v>10</v>
      </c>
      <c r="D1387" s="27">
        <f t="shared" si="107"/>
        <v>17</v>
      </c>
      <c r="E1387" s="27">
        <f t="shared" si="108"/>
        <v>1</v>
      </c>
      <c r="F1387" s="27">
        <f>VLOOKUP(E1387,[1]t_calendarioPolitica!A:C,3,FALSE)</f>
        <v>0</v>
      </c>
      <c r="G1387" s="1">
        <v>1</v>
      </c>
      <c r="H1387" s="1">
        <v>1</v>
      </c>
      <c r="I1387" s="1">
        <f t="shared" si="109"/>
        <v>0</v>
      </c>
    </row>
    <row r="1388" spans="1:9" x14ac:dyDescent="0.3">
      <c r="A1388" s="26">
        <v>46678</v>
      </c>
      <c r="B1388" s="27">
        <f t="shared" si="105"/>
        <v>2027</v>
      </c>
      <c r="C1388" s="27">
        <f t="shared" si="106"/>
        <v>10</v>
      </c>
      <c r="D1388" s="27">
        <f t="shared" si="107"/>
        <v>18</v>
      </c>
      <c r="E1388" s="27">
        <f t="shared" si="108"/>
        <v>2</v>
      </c>
      <c r="F1388" s="27">
        <f>VLOOKUP(E1388,[1]t_calendarioPolitica!A:C,3,FALSE)</f>
        <v>1</v>
      </c>
      <c r="G1388" s="1">
        <v>1</v>
      </c>
      <c r="H1388" s="1">
        <v>1</v>
      </c>
      <c r="I1388" s="1">
        <f t="shared" si="109"/>
        <v>1</v>
      </c>
    </row>
    <row r="1389" spans="1:9" x14ac:dyDescent="0.3">
      <c r="A1389" s="26">
        <v>46679</v>
      </c>
      <c r="B1389" s="27">
        <f t="shared" si="105"/>
        <v>2027</v>
      </c>
      <c r="C1389" s="27">
        <f t="shared" si="106"/>
        <v>10</v>
      </c>
      <c r="D1389" s="27">
        <f t="shared" si="107"/>
        <v>19</v>
      </c>
      <c r="E1389" s="27">
        <f t="shared" si="108"/>
        <v>3</v>
      </c>
      <c r="F1389" s="27">
        <f>VLOOKUP(E1389,[1]t_calendarioPolitica!A:C,3,FALSE)</f>
        <v>1</v>
      </c>
      <c r="G1389" s="1">
        <v>1</v>
      </c>
      <c r="H1389" s="1">
        <v>1</v>
      </c>
      <c r="I1389" s="1">
        <f t="shared" si="109"/>
        <v>1</v>
      </c>
    </row>
    <row r="1390" spans="1:9" x14ac:dyDescent="0.3">
      <c r="A1390" s="26">
        <v>46680</v>
      </c>
      <c r="B1390" s="27">
        <f t="shared" si="105"/>
        <v>2027</v>
      </c>
      <c r="C1390" s="27">
        <f t="shared" si="106"/>
        <v>10</v>
      </c>
      <c r="D1390" s="27">
        <f t="shared" si="107"/>
        <v>20</v>
      </c>
      <c r="E1390" s="27">
        <f t="shared" si="108"/>
        <v>4</v>
      </c>
      <c r="F1390" s="27">
        <f>VLOOKUP(E1390,[1]t_calendarioPolitica!A:C,3,FALSE)</f>
        <v>1</v>
      </c>
      <c r="G1390" s="1">
        <v>1</v>
      </c>
      <c r="H1390" s="1">
        <v>1</v>
      </c>
      <c r="I1390" s="1">
        <f t="shared" si="109"/>
        <v>1</v>
      </c>
    </row>
    <row r="1391" spans="1:9" x14ac:dyDescent="0.3">
      <c r="A1391" s="26">
        <v>46681</v>
      </c>
      <c r="B1391" s="27">
        <f t="shared" si="105"/>
        <v>2027</v>
      </c>
      <c r="C1391" s="27">
        <f t="shared" si="106"/>
        <v>10</v>
      </c>
      <c r="D1391" s="27">
        <f t="shared" si="107"/>
        <v>21</v>
      </c>
      <c r="E1391" s="27">
        <f t="shared" si="108"/>
        <v>5</v>
      </c>
      <c r="F1391" s="27">
        <f>VLOOKUP(E1391,[1]t_calendarioPolitica!A:C,3,FALSE)</f>
        <v>1</v>
      </c>
      <c r="G1391" s="1">
        <v>1</v>
      </c>
      <c r="H1391" s="1">
        <v>1</v>
      </c>
      <c r="I1391" s="1">
        <f t="shared" si="109"/>
        <v>1</v>
      </c>
    </row>
    <row r="1392" spans="1:9" x14ac:dyDescent="0.3">
      <c r="A1392" s="26">
        <v>46682</v>
      </c>
      <c r="B1392" s="27">
        <f t="shared" si="105"/>
        <v>2027</v>
      </c>
      <c r="C1392" s="27">
        <f t="shared" si="106"/>
        <v>10</v>
      </c>
      <c r="D1392" s="27">
        <f t="shared" si="107"/>
        <v>22</v>
      </c>
      <c r="E1392" s="27">
        <f t="shared" si="108"/>
        <v>6</v>
      </c>
      <c r="F1392" s="27">
        <f>VLOOKUP(E1392,[1]t_calendarioPolitica!A:C,3,FALSE)</f>
        <v>1</v>
      </c>
      <c r="G1392" s="1">
        <v>1</v>
      </c>
      <c r="H1392" s="1">
        <v>1</v>
      </c>
      <c r="I1392" s="1">
        <f t="shared" si="109"/>
        <v>1</v>
      </c>
    </row>
    <row r="1393" spans="1:9" x14ac:dyDescent="0.3">
      <c r="A1393" s="26">
        <v>46683</v>
      </c>
      <c r="B1393" s="27">
        <f t="shared" si="105"/>
        <v>2027</v>
      </c>
      <c r="C1393" s="27">
        <f t="shared" si="106"/>
        <v>10</v>
      </c>
      <c r="D1393" s="27">
        <f t="shared" si="107"/>
        <v>23</v>
      </c>
      <c r="E1393" s="27">
        <f t="shared" si="108"/>
        <v>7</v>
      </c>
      <c r="F1393" s="27">
        <f>VLOOKUP(E1393,[1]t_calendarioPolitica!A:C,3,FALSE)</f>
        <v>2</v>
      </c>
      <c r="G1393" s="1">
        <v>1</v>
      </c>
      <c r="H1393" s="1">
        <v>1</v>
      </c>
      <c r="I1393" s="1">
        <f t="shared" si="109"/>
        <v>1</v>
      </c>
    </row>
    <row r="1394" spans="1:9" x14ac:dyDescent="0.3">
      <c r="A1394" s="26">
        <v>46684</v>
      </c>
      <c r="B1394" s="27">
        <f t="shared" si="105"/>
        <v>2027</v>
      </c>
      <c r="C1394" s="27">
        <f t="shared" si="106"/>
        <v>10</v>
      </c>
      <c r="D1394" s="27">
        <f t="shared" si="107"/>
        <v>24</v>
      </c>
      <c r="E1394" s="27">
        <f t="shared" si="108"/>
        <v>1</v>
      </c>
      <c r="F1394" s="27">
        <f>VLOOKUP(E1394,[1]t_calendarioPolitica!A:C,3,FALSE)</f>
        <v>0</v>
      </c>
      <c r="G1394" s="1">
        <v>1</v>
      </c>
      <c r="H1394" s="1">
        <v>1</v>
      </c>
      <c r="I1394" s="1">
        <f t="shared" si="109"/>
        <v>0</v>
      </c>
    </row>
    <row r="1395" spans="1:9" x14ac:dyDescent="0.3">
      <c r="A1395" s="26">
        <v>46685</v>
      </c>
      <c r="B1395" s="27">
        <f t="shared" si="105"/>
        <v>2027</v>
      </c>
      <c r="C1395" s="27">
        <f t="shared" si="106"/>
        <v>10</v>
      </c>
      <c r="D1395" s="27">
        <f t="shared" si="107"/>
        <v>25</v>
      </c>
      <c r="E1395" s="27">
        <f t="shared" si="108"/>
        <v>2</v>
      </c>
      <c r="F1395" s="27">
        <f>VLOOKUP(E1395,[1]t_calendarioPolitica!A:C,3,FALSE)</f>
        <v>1</v>
      </c>
      <c r="G1395" s="1">
        <v>1</v>
      </c>
      <c r="H1395" s="1">
        <v>1</v>
      </c>
      <c r="I1395" s="1">
        <f t="shared" si="109"/>
        <v>1</v>
      </c>
    </row>
    <row r="1396" spans="1:9" x14ac:dyDescent="0.3">
      <c r="A1396" s="26">
        <v>46686</v>
      </c>
      <c r="B1396" s="27">
        <f t="shared" si="105"/>
        <v>2027</v>
      </c>
      <c r="C1396" s="27">
        <f t="shared" si="106"/>
        <v>10</v>
      </c>
      <c r="D1396" s="27">
        <f t="shared" si="107"/>
        <v>26</v>
      </c>
      <c r="E1396" s="27">
        <f t="shared" si="108"/>
        <v>3</v>
      </c>
      <c r="F1396" s="27">
        <f>VLOOKUP(E1396,[1]t_calendarioPolitica!A:C,3,FALSE)</f>
        <v>1</v>
      </c>
      <c r="G1396" s="1">
        <v>1</v>
      </c>
      <c r="H1396" s="1">
        <v>1</v>
      </c>
      <c r="I1396" s="1">
        <f t="shared" si="109"/>
        <v>1</v>
      </c>
    </row>
    <row r="1397" spans="1:9" x14ac:dyDescent="0.3">
      <c r="A1397" s="26">
        <v>46687</v>
      </c>
      <c r="B1397" s="27">
        <f t="shared" si="105"/>
        <v>2027</v>
      </c>
      <c r="C1397" s="27">
        <f t="shared" si="106"/>
        <v>10</v>
      </c>
      <c r="D1397" s="27">
        <f t="shared" si="107"/>
        <v>27</v>
      </c>
      <c r="E1397" s="27">
        <f t="shared" si="108"/>
        <v>4</v>
      </c>
      <c r="F1397" s="27">
        <f>VLOOKUP(E1397,[1]t_calendarioPolitica!A:C,3,FALSE)</f>
        <v>1</v>
      </c>
      <c r="G1397" s="1">
        <v>1</v>
      </c>
      <c r="H1397" s="1">
        <v>1</v>
      </c>
      <c r="I1397" s="1">
        <f t="shared" si="109"/>
        <v>1</v>
      </c>
    </row>
    <row r="1398" spans="1:9" x14ac:dyDescent="0.3">
      <c r="A1398" s="26">
        <v>46688</v>
      </c>
      <c r="B1398" s="27">
        <f t="shared" si="105"/>
        <v>2027</v>
      </c>
      <c r="C1398" s="27">
        <f t="shared" si="106"/>
        <v>10</v>
      </c>
      <c r="D1398" s="27">
        <f t="shared" si="107"/>
        <v>28</v>
      </c>
      <c r="E1398" s="27">
        <f t="shared" si="108"/>
        <v>5</v>
      </c>
      <c r="F1398" s="27">
        <f>VLOOKUP(E1398,[1]t_calendarioPolitica!A:C,3,FALSE)</f>
        <v>1</v>
      </c>
      <c r="G1398" s="1">
        <v>1</v>
      </c>
      <c r="H1398" s="1">
        <v>1</v>
      </c>
      <c r="I1398" s="1">
        <f t="shared" si="109"/>
        <v>1</v>
      </c>
    </row>
    <row r="1399" spans="1:9" x14ac:dyDescent="0.3">
      <c r="A1399" s="26">
        <v>46689</v>
      </c>
      <c r="B1399" s="27">
        <f t="shared" si="105"/>
        <v>2027</v>
      </c>
      <c r="C1399" s="27">
        <f t="shared" si="106"/>
        <v>10</v>
      </c>
      <c r="D1399" s="27">
        <f t="shared" si="107"/>
        <v>29</v>
      </c>
      <c r="E1399" s="27">
        <f t="shared" si="108"/>
        <v>6</v>
      </c>
      <c r="F1399" s="27">
        <f>VLOOKUP(E1399,[1]t_calendarioPolitica!A:C,3,FALSE)</f>
        <v>1</v>
      </c>
      <c r="G1399" s="1">
        <v>1</v>
      </c>
      <c r="H1399" s="1">
        <v>1</v>
      </c>
      <c r="I1399" s="1">
        <f t="shared" si="109"/>
        <v>1</v>
      </c>
    </row>
    <row r="1400" spans="1:9" x14ac:dyDescent="0.3">
      <c r="A1400" s="26">
        <v>46690</v>
      </c>
      <c r="B1400" s="27">
        <f t="shared" si="105"/>
        <v>2027</v>
      </c>
      <c r="C1400" s="27">
        <f t="shared" si="106"/>
        <v>10</v>
      </c>
      <c r="D1400" s="27">
        <f t="shared" si="107"/>
        <v>30</v>
      </c>
      <c r="E1400" s="27">
        <f t="shared" si="108"/>
        <v>7</v>
      </c>
      <c r="F1400" s="27">
        <f>VLOOKUP(E1400,[1]t_calendarioPolitica!A:C,3,FALSE)</f>
        <v>2</v>
      </c>
      <c r="G1400" s="1">
        <v>1</v>
      </c>
      <c r="H1400" s="1">
        <v>1</v>
      </c>
      <c r="I1400" s="1">
        <f t="shared" si="109"/>
        <v>1</v>
      </c>
    </row>
    <row r="1401" spans="1:9" x14ac:dyDescent="0.3">
      <c r="A1401" s="26">
        <v>46691</v>
      </c>
      <c r="B1401" s="27">
        <f t="shared" si="105"/>
        <v>2027</v>
      </c>
      <c r="C1401" s="27">
        <f t="shared" si="106"/>
        <v>10</v>
      </c>
      <c r="D1401" s="27">
        <f t="shared" si="107"/>
        <v>31</v>
      </c>
      <c r="E1401" s="27">
        <f t="shared" si="108"/>
        <v>1</v>
      </c>
      <c r="F1401" s="27">
        <f>VLOOKUP(E1401,[1]t_calendarioPolitica!A:C,3,FALSE)</f>
        <v>0</v>
      </c>
      <c r="G1401" s="1">
        <v>1</v>
      </c>
      <c r="H1401" s="1">
        <v>1</v>
      </c>
      <c r="I1401" s="1">
        <f t="shared" si="109"/>
        <v>0</v>
      </c>
    </row>
    <row r="1402" spans="1:9" x14ac:dyDescent="0.3">
      <c r="A1402" s="26">
        <v>46692</v>
      </c>
      <c r="B1402" s="27">
        <f t="shared" si="105"/>
        <v>2027</v>
      </c>
      <c r="C1402" s="27">
        <f t="shared" si="106"/>
        <v>11</v>
      </c>
      <c r="D1402" s="27">
        <f t="shared" si="107"/>
        <v>1</v>
      </c>
      <c r="E1402" s="27">
        <f t="shared" si="108"/>
        <v>2</v>
      </c>
      <c r="F1402" s="27">
        <f>VLOOKUP(E1402,[1]t_calendarioPolitica!A:C,3,FALSE)</f>
        <v>1</v>
      </c>
      <c r="G1402" s="1">
        <v>1</v>
      </c>
      <c r="H1402" s="1">
        <v>1</v>
      </c>
      <c r="I1402" s="1">
        <f t="shared" si="109"/>
        <v>1</v>
      </c>
    </row>
    <row r="1403" spans="1:9" x14ac:dyDescent="0.3">
      <c r="A1403" s="26">
        <v>46693</v>
      </c>
      <c r="B1403" s="27">
        <f t="shared" si="105"/>
        <v>2027</v>
      </c>
      <c r="C1403" s="27">
        <f t="shared" si="106"/>
        <v>11</v>
      </c>
      <c r="D1403" s="27">
        <f t="shared" si="107"/>
        <v>2</v>
      </c>
      <c r="E1403" s="27">
        <f t="shared" si="108"/>
        <v>3</v>
      </c>
      <c r="F1403" s="27">
        <f>VLOOKUP(E1403,[1]t_calendarioPolitica!A:C,3,FALSE)</f>
        <v>1</v>
      </c>
      <c r="G1403" s="1">
        <v>1</v>
      </c>
      <c r="H1403" s="1">
        <v>0</v>
      </c>
      <c r="I1403" s="1">
        <f t="shared" si="109"/>
        <v>0</v>
      </c>
    </row>
    <row r="1404" spans="1:9" x14ac:dyDescent="0.3">
      <c r="A1404" s="26">
        <v>46694</v>
      </c>
      <c r="B1404" s="27">
        <f t="shared" si="105"/>
        <v>2027</v>
      </c>
      <c r="C1404" s="27">
        <f t="shared" si="106"/>
        <v>11</v>
      </c>
      <c r="D1404" s="27">
        <f t="shared" si="107"/>
        <v>3</v>
      </c>
      <c r="E1404" s="27">
        <f t="shared" si="108"/>
        <v>4</v>
      </c>
      <c r="F1404" s="27">
        <f>VLOOKUP(E1404,[1]t_calendarioPolitica!A:C,3,FALSE)</f>
        <v>1</v>
      </c>
      <c r="G1404" s="1">
        <v>1</v>
      </c>
      <c r="H1404" s="1">
        <v>1</v>
      </c>
      <c r="I1404" s="1">
        <f t="shared" si="109"/>
        <v>1</v>
      </c>
    </row>
    <row r="1405" spans="1:9" x14ac:dyDescent="0.3">
      <c r="A1405" s="26">
        <v>46695</v>
      </c>
      <c r="B1405" s="27">
        <f t="shared" si="105"/>
        <v>2027</v>
      </c>
      <c r="C1405" s="27">
        <f t="shared" si="106"/>
        <v>11</v>
      </c>
      <c r="D1405" s="27">
        <f t="shared" si="107"/>
        <v>4</v>
      </c>
      <c r="E1405" s="27">
        <f t="shared" si="108"/>
        <v>5</v>
      </c>
      <c r="F1405" s="27">
        <f>VLOOKUP(E1405,[1]t_calendarioPolitica!A:C,3,FALSE)</f>
        <v>1</v>
      </c>
      <c r="G1405" s="1">
        <v>1</v>
      </c>
      <c r="H1405" s="1">
        <v>1</v>
      </c>
      <c r="I1405" s="1">
        <f t="shared" si="109"/>
        <v>1</v>
      </c>
    </row>
    <row r="1406" spans="1:9" x14ac:dyDescent="0.3">
      <c r="A1406" s="26">
        <v>46696</v>
      </c>
      <c r="B1406" s="27">
        <f t="shared" si="105"/>
        <v>2027</v>
      </c>
      <c r="C1406" s="27">
        <f t="shared" si="106"/>
        <v>11</v>
      </c>
      <c r="D1406" s="27">
        <f t="shared" si="107"/>
        <v>5</v>
      </c>
      <c r="E1406" s="27">
        <f t="shared" si="108"/>
        <v>6</v>
      </c>
      <c r="F1406" s="27">
        <f>VLOOKUP(E1406,[1]t_calendarioPolitica!A:C,3,FALSE)</f>
        <v>1</v>
      </c>
      <c r="G1406" s="1">
        <v>1</v>
      </c>
      <c r="H1406" s="1">
        <v>1</v>
      </c>
      <c r="I1406" s="1">
        <f t="shared" si="109"/>
        <v>1</v>
      </c>
    </row>
    <row r="1407" spans="1:9" x14ac:dyDescent="0.3">
      <c r="A1407" s="26">
        <v>46697</v>
      </c>
      <c r="B1407" s="27">
        <f t="shared" si="105"/>
        <v>2027</v>
      </c>
      <c r="C1407" s="27">
        <f t="shared" si="106"/>
        <v>11</v>
      </c>
      <c r="D1407" s="27">
        <f t="shared" si="107"/>
        <v>6</v>
      </c>
      <c r="E1407" s="27">
        <f t="shared" si="108"/>
        <v>7</v>
      </c>
      <c r="F1407" s="27">
        <f>VLOOKUP(E1407,[1]t_calendarioPolitica!A:C,3,FALSE)</f>
        <v>2</v>
      </c>
      <c r="G1407" s="1">
        <v>1</v>
      </c>
      <c r="H1407" s="1">
        <v>1</v>
      </c>
      <c r="I1407" s="1">
        <f t="shared" si="109"/>
        <v>1</v>
      </c>
    </row>
    <row r="1408" spans="1:9" x14ac:dyDescent="0.3">
      <c r="A1408" s="26">
        <v>46698</v>
      </c>
      <c r="B1408" s="27">
        <f t="shared" si="105"/>
        <v>2027</v>
      </c>
      <c r="C1408" s="27">
        <f t="shared" si="106"/>
        <v>11</v>
      </c>
      <c r="D1408" s="27">
        <f t="shared" si="107"/>
        <v>7</v>
      </c>
      <c r="E1408" s="27">
        <f t="shared" si="108"/>
        <v>1</v>
      </c>
      <c r="F1408" s="27">
        <f>VLOOKUP(E1408,[1]t_calendarioPolitica!A:C,3,FALSE)</f>
        <v>0</v>
      </c>
      <c r="G1408" s="1">
        <v>1</v>
      </c>
      <c r="H1408" s="1">
        <v>1</v>
      </c>
      <c r="I1408" s="1">
        <f t="shared" si="109"/>
        <v>0</v>
      </c>
    </row>
    <row r="1409" spans="1:9" x14ac:dyDescent="0.3">
      <c r="A1409" s="26">
        <v>46699</v>
      </c>
      <c r="B1409" s="27">
        <f t="shared" si="105"/>
        <v>2027</v>
      </c>
      <c r="C1409" s="27">
        <f t="shared" si="106"/>
        <v>11</v>
      </c>
      <c r="D1409" s="27">
        <f t="shared" si="107"/>
        <v>8</v>
      </c>
      <c r="E1409" s="27">
        <f t="shared" si="108"/>
        <v>2</v>
      </c>
      <c r="F1409" s="27">
        <f>VLOOKUP(E1409,[1]t_calendarioPolitica!A:C,3,FALSE)</f>
        <v>1</v>
      </c>
      <c r="G1409" s="1">
        <v>1</v>
      </c>
      <c r="H1409" s="1">
        <v>1</v>
      </c>
      <c r="I1409" s="1">
        <f t="shared" si="109"/>
        <v>1</v>
      </c>
    </row>
    <row r="1410" spans="1:9" x14ac:dyDescent="0.3">
      <c r="A1410" s="26">
        <v>46700</v>
      </c>
      <c r="B1410" s="27">
        <f t="shared" si="105"/>
        <v>2027</v>
      </c>
      <c r="C1410" s="27">
        <f t="shared" si="106"/>
        <v>11</v>
      </c>
      <c r="D1410" s="27">
        <f t="shared" si="107"/>
        <v>9</v>
      </c>
      <c r="E1410" s="27">
        <f t="shared" si="108"/>
        <v>3</v>
      </c>
      <c r="F1410" s="27">
        <f>VLOOKUP(E1410,[1]t_calendarioPolitica!A:C,3,FALSE)</f>
        <v>1</v>
      </c>
      <c r="G1410" s="1">
        <v>1</v>
      </c>
      <c r="H1410" s="1">
        <v>1</v>
      </c>
      <c r="I1410" s="1">
        <f t="shared" si="109"/>
        <v>1</v>
      </c>
    </row>
    <row r="1411" spans="1:9" x14ac:dyDescent="0.3">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VLOOKUP(E1411,[1]t_calendarioPolitica!A:C,3,FALSE)</f>
        <v>1</v>
      </c>
      <c r="G1411" s="1">
        <v>1</v>
      </c>
      <c r="H1411" s="1">
        <v>1</v>
      </c>
      <c r="I1411" s="1">
        <f t="shared" ref="I1411:I1474" si="114">IF(AND(F1411&lt;&gt;0, H1411&lt;&gt;0,G1411&lt;&gt;0), 1, 0)</f>
        <v>1</v>
      </c>
    </row>
    <row r="1412" spans="1:9" x14ac:dyDescent="0.3">
      <c r="A1412" s="26">
        <v>46702</v>
      </c>
      <c r="B1412" s="27">
        <f t="shared" si="110"/>
        <v>2027</v>
      </c>
      <c r="C1412" s="27">
        <f t="shared" si="111"/>
        <v>11</v>
      </c>
      <c r="D1412" s="27">
        <f t="shared" si="112"/>
        <v>11</v>
      </c>
      <c r="E1412" s="27">
        <f t="shared" si="113"/>
        <v>5</v>
      </c>
      <c r="F1412" s="27">
        <f>VLOOKUP(E1412,[1]t_calendarioPolitica!A:C,3,FALSE)</f>
        <v>1</v>
      </c>
      <c r="G1412" s="1">
        <v>1</v>
      </c>
      <c r="H1412" s="1">
        <v>1</v>
      </c>
      <c r="I1412" s="1">
        <f t="shared" si="114"/>
        <v>1</v>
      </c>
    </row>
    <row r="1413" spans="1:9" x14ac:dyDescent="0.3">
      <c r="A1413" s="26">
        <v>46703</v>
      </c>
      <c r="B1413" s="27">
        <f t="shared" si="110"/>
        <v>2027</v>
      </c>
      <c r="C1413" s="27">
        <f t="shared" si="111"/>
        <v>11</v>
      </c>
      <c r="D1413" s="27">
        <f t="shared" si="112"/>
        <v>12</v>
      </c>
      <c r="E1413" s="27">
        <f t="shared" si="113"/>
        <v>6</v>
      </c>
      <c r="F1413" s="27">
        <f>VLOOKUP(E1413,[1]t_calendarioPolitica!A:C,3,FALSE)</f>
        <v>1</v>
      </c>
      <c r="G1413" s="1">
        <v>1</v>
      </c>
      <c r="H1413" s="1">
        <v>1</v>
      </c>
      <c r="I1413" s="1">
        <f t="shared" si="114"/>
        <v>1</v>
      </c>
    </row>
    <row r="1414" spans="1:9" x14ac:dyDescent="0.3">
      <c r="A1414" s="26">
        <v>46704</v>
      </c>
      <c r="B1414" s="27">
        <f t="shared" si="110"/>
        <v>2027</v>
      </c>
      <c r="C1414" s="27">
        <f t="shared" si="111"/>
        <v>11</v>
      </c>
      <c r="D1414" s="27">
        <f t="shared" si="112"/>
        <v>13</v>
      </c>
      <c r="E1414" s="27">
        <f t="shared" si="113"/>
        <v>7</v>
      </c>
      <c r="F1414" s="27">
        <f>VLOOKUP(E1414,[1]t_calendarioPolitica!A:C,3,FALSE)</f>
        <v>2</v>
      </c>
      <c r="G1414" s="1">
        <v>1</v>
      </c>
      <c r="H1414" s="1">
        <v>1</v>
      </c>
      <c r="I1414" s="1">
        <f t="shared" si="114"/>
        <v>1</v>
      </c>
    </row>
    <row r="1415" spans="1:9" x14ac:dyDescent="0.3">
      <c r="A1415" s="26">
        <v>46705</v>
      </c>
      <c r="B1415" s="27">
        <f t="shared" si="110"/>
        <v>2027</v>
      </c>
      <c r="C1415" s="27">
        <f t="shared" si="111"/>
        <v>11</v>
      </c>
      <c r="D1415" s="27">
        <f t="shared" si="112"/>
        <v>14</v>
      </c>
      <c r="E1415" s="27">
        <f t="shared" si="113"/>
        <v>1</v>
      </c>
      <c r="F1415" s="27">
        <f>VLOOKUP(E1415,[1]t_calendarioPolitica!A:C,3,FALSE)</f>
        <v>0</v>
      </c>
      <c r="G1415" s="1">
        <v>1</v>
      </c>
      <c r="H1415" s="1">
        <v>1</v>
      </c>
      <c r="I1415" s="1">
        <f t="shared" si="114"/>
        <v>0</v>
      </c>
    </row>
    <row r="1416" spans="1:9" x14ac:dyDescent="0.3">
      <c r="A1416" s="26">
        <v>46706</v>
      </c>
      <c r="B1416" s="27">
        <f t="shared" si="110"/>
        <v>2027</v>
      </c>
      <c r="C1416" s="27">
        <f t="shared" si="111"/>
        <v>11</v>
      </c>
      <c r="D1416" s="27">
        <f t="shared" si="112"/>
        <v>15</v>
      </c>
      <c r="E1416" s="27">
        <f t="shared" si="113"/>
        <v>2</v>
      </c>
      <c r="F1416" s="27">
        <f>VLOOKUP(E1416,[1]t_calendarioPolitica!A:C,3,FALSE)</f>
        <v>1</v>
      </c>
      <c r="G1416" s="1">
        <v>1</v>
      </c>
      <c r="H1416" s="1">
        <v>1</v>
      </c>
      <c r="I1416" s="1">
        <f t="shared" si="114"/>
        <v>1</v>
      </c>
    </row>
    <row r="1417" spans="1:9" x14ac:dyDescent="0.3">
      <c r="A1417" s="26">
        <v>46707</v>
      </c>
      <c r="B1417" s="27">
        <f t="shared" si="110"/>
        <v>2027</v>
      </c>
      <c r="C1417" s="27">
        <f t="shared" si="111"/>
        <v>11</v>
      </c>
      <c r="D1417" s="27">
        <f t="shared" si="112"/>
        <v>16</v>
      </c>
      <c r="E1417" s="27">
        <f t="shared" si="113"/>
        <v>3</v>
      </c>
      <c r="F1417" s="27">
        <f>VLOOKUP(E1417,[1]t_calendarioPolitica!A:C,3,FALSE)</f>
        <v>1</v>
      </c>
      <c r="G1417" s="1">
        <v>1</v>
      </c>
      <c r="H1417" s="1">
        <v>1</v>
      </c>
      <c r="I1417" s="1">
        <f t="shared" si="114"/>
        <v>1</v>
      </c>
    </row>
    <row r="1418" spans="1:9" x14ac:dyDescent="0.3">
      <c r="A1418" s="26">
        <v>46708</v>
      </c>
      <c r="B1418" s="27">
        <f t="shared" si="110"/>
        <v>2027</v>
      </c>
      <c r="C1418" s="27">
        <f t="shared" si="111"/>
        <v>11</v>
      </c>
      <c r="D1418" s="27">
        <f t="shared" si="112"/>
        <v>17</v>
      </c>
      <c r="E1418" s="27">
        <f t="shared" si="113"/>
        <v>4</v>
      </c>
      <c r="F1418" s="27">
        <f>VLOOKUP(E1418,[1]t_calendarioPolitica!A:C,3,FALSE)</f>
        <v>1</v>
      </c>
      <c r="G1418" s="1">
        <v>1</v>
      </c>
      <c r="H1418" s="1">
        <v>1</v>
      </c>
      <c r="I1418" s="1">
        <f t="shared" si="114"/>
        <v>1</v>
      </c>
    </row>
    <row r="1419" spans="1:9" x14ac:dyDescent="0.3">
      <c r="A1419" s="26">
        <v>46709</v>
      </c>
      <c r="B1419" s="27">
        <f t="shared" si="110"/>
        <v>2027</v>
      </c>
      <c r="C1419" s="27">
        <f t="shared" si="111"/>
        <v>11</v>
      </c>
      <c r="D1419" s="27">
        <f t="shared" si="112"/>
        <v>18</v>
      </c>
      <c r="E1419" s="27">
        <f t="shared" si="113"/>
        <v>5</v>
      </c>
      <c r="F1419" s="27">
        <f>VLOOKUP(E1419,[1]t_calendarioPolitica!A:C,3,FALSE)</f>
        <v>1</v>
      </c>
      <c r="G1419" s="1">
        <v>1</v>
      </c>
      <c r="H1419" s="1">
        <v>1</v>
      </c>
      <c r="I1419" s="1">
        <f t="shared" si="114"/>
        <v>1</v>
      </c>
    </row>
    <row r="1420" spans="1:9" x14ac:dyDescent="0.3">
      <c r="A1420" s="26">
        <v>46710</v>
      </c>
      <c r="B1420" s="27">
        <f t="shared" si="110"/>
        <v>2027</v>
      </c>
      <c r="C1420" s="27">
        <f t="shared" si="111"/>
        <v>11</v>
      </c>
      <c r="D1420" s="27">
        <f t="shared" si="112"/>
        <v>19</v>
      </c>
      <c r="E1420" s="27">
        <f t="shared" si="113"/>
        <v>6</v>
      </c>
      <c r="F1420" s="27">
        <f>VLOOKUP(E1420,[1]t_calendarioPolitica!A:C,3,FALSE)</f>
        <v>1</v>
      </c>
      <c r="G1420" s="1">
        <v>1</v>
      </c>
      <c r="H1420" s="1">
        <v>1</v>
      </c>
      <c r="I1420" s="1">
        <f t="shared" si="114"/>
        <v>1</v>
      </c>
    </row>
    <row r="1421" spans="1:9" x14ac:dyDescent="0.3">
      <c r="A1421" s="26">
        <v>46711</v>
      </c>
      <c r="B1421" s="27">
        <f t="shared" si="110"/>
        <v>2027</v>
      </c>
      <c r="C1421" s="27">
        <f t="shared" si="111"/>
        <v>11</v>
      </c>
      <c r="D1421" s="27">
        <f t="shared" si="112"/>
        <v>20</v>
      </c>
      <c r="E1421" s="27">
        <f t="shared" si="113"/>
        <v>7</v>
      </c>
      <c r="F1421" s="27">
        <f>VLOOKUP(E1421,[1]t_calendarioPolitica!A:C,3,FALSE)</f>
        <v>2</v>
      </c>
      <c r="G1421" s="1">
        <v>1</v>
      </c>
      <c r="H1421" s="1">
        <v>1</v>
      </c>
      <c r="I1421" s="1">
        <f t="shared" si="114"/>
        <v>1</v>
      </c>
    </row>
    <row r="1422" spans="1:9" x14ac:dyDescent="0.3">
      <c r="A1422" s="26">
        <v>46712</v>
      </c>
      <c r="B1422" s="27">
        <f t="shared" si="110"/>
        <v>2027</v>
      </c>
      <c r="C1422" s="27">
        <f t="shared" si="111"/>
        <v>11</v>
      </c>
      <c r="D1422" s="27">
        <f t="shared" si="112"/>
        <v>21</v>
      </c>
      <c r="E1422" s="27">
        <f t="shared" si="113"/>
        <v>1</v>
      </c>
      <c r="F1422" s="27">
        <f>VLOOKUP(E1422,[1]t_calendarioPolitica!A:C,3,FALSE)</f>
        <v>0</v>
      </c>
      <c r="G1422" s="1">
        <v>1</v>
      </c>
      <c r="H1422" s="1">
        <v>1</v>
      </c>
      <c r="I1422" s="1">
        <f t="shared" si="114"/>
        <v>0</v>
      </c>
    </row>
    <row r="1423" spans="1:9" x14ac:dyDescent="0.3">
      <c r="A1423" s="26">
        <v>46713</v>
      </c>
      <c r="B1423" s="27">
        <f t="shared" si="110"/>
        <v>2027</v>
      </c>
      <c r="C1423" s="27">
        <f t="shared" si="111"/>
        <v>11</v>
      </c>
      <c r="D1423" s="27">
        <f t="shared" si="112"/>
        <v>22</v>
      </c>
      <c r="E1423" s="27">
        <f t="shared" si="113"/>
        <v>2</v>
      </c>
      <c r="F1423" s="27">
        <f>VLOOKUP(E1423,[1]t_calendarioPolitica!A:C,3,FALSE)</f>
        <v>1</v>
      </c>
      <c r="G1423" s="1">
        <v>1</v>
      </c>
      <c r="H1423" s="1">
        <v>1</v>
      </c>
      <c r="I1423" s="1">
        <f t="shared" si="114"/>
        <v>1</v>
      </c>
    </row>
    <row r="1424" spans="1:9" x14ac:dyDescent="0.3">
      <c r="A1424" s="26">
        <v>46714</v>
      </c>
      <c r="B1424" s="27">
        <f t="shared" si="110"/>
        <v>2027</v>
      </c>
      <c r="C1424" s="27">
        <f t="shared" si="111"/>
        <v>11</v>
      </c>
      <c r="D1424" s="27">
        <f t="shared" si="112"/>
        <v>23</v>
      </c>
      <c r="E1424" s="27">
        <f t="shared" si="113"/>
        <v>3</v>
      </c>
      <c r="F1424" s="27">
        <f>VLOOKUP(E1424,[1]t_calendarioPolitica!A:C,3,FALSE)</f>
        <v>1</v>
      </c>
      <c r="G1424" s="1">
        <v>1</v>
      </c>
      <c r="H1424" s="1">
        <v>1</v>
      </c>
      <c r="I1424" s="1">
        <f t="shared" si="114"/>
        <v>1</v>
      </c>
    </row>
    <row r="1425" spans="1:9" x14ac:dyDescent="0.3">
      <c r="A1425" s="26">
        <v>46715</v>
      </c>
      <c r="B1425" s="27">
        <f t="shared" si="110"/>
        <v>2027</v>
      </c>
      <c r="C1425" s="27">
        <f t="shared" si="111"/>
        <v>11</v>
      </c>
      <c r="D1425" s="27">
        <f t="shared" si="112"/>
        <v>24</v>
      </c>
      <c r="E1425" s="27">
        <f t="shared" si="113"/>
        <v>4</v>
      </c>
      <c r="F1425" s="27">
        <f>VLOOKUP(E1425,[1]t_calendarioPolitica!A:C,3,FALSE)</f>
        <v>1</v>
      </c>
      <c r="G1425" s="1">
        <v>1</v>
      </c>
      <c r="H1425" s="1">
        <v>1</v>
      </c>
      <c r="I1425" s="1">
        <f t="shared" si="114"/>
        <v>1</v>
      </c>
    </row>
    <row r="1426" spans="1:9" x14ac:dyDescent="0.3">
      <c r="A1426" s="26">
        <v>46716</v>
      </c>
      <c r="B1426" s="27">
        <f t="shared" si="110"/>
        <v>2027</v>
      </c>
      <c r="C1426" s="27">
        <f t="shared" si="111"/>
        <v>11</v>
      </c>
      <c r="D1426" s="27">
        <f t="shared" si="112"/>
        <v>25</v>
      </c>
      <c r="E1426" s="27">
        <f t="shared" si="113"/>
        <v>5</v>
      </c>
      <c r="F1426" s="27">
        <f>VLOOKUP(E1426,[1]t_calendarioPolitica!A:C,3,FALSE)</f>
        <v>1</v>
      </c>
      <c r="G1426" s="1">
        <v>1</v>
      </c>
      <c r="H1426" s="1">
        <v>1</v>
      </c>
      <c r="I1426" s="1">
        <f t="shared" si="114"/>
        <v>1</v>
      </c>
    </row>
    <row r="1427" spans="1:9" x14ac:dyDescent="0.3">
      <c r="A1427" s="26">
        <v>46717</v>
      </c>
      <c r="B1427" s="27">
        <f t="shared" si="110"/>
        <v>2027</v>
      </c>
      <c r="C1427" s="27">
        <f t="shared" si="111"/>
        <v>11</v>
      </c>
      <c r="D1427" s="27">
        <f t="shared" si="112"/>
        <v>26</v>
      </c>
      <c r="E1427" s="27">
        <f t="shared" si="113"/>
        <v>6</v>
      </c>
      <c r="F1427" s="27">
        <f>VLOOKUP(E1427,[1]t_calendarioPolitica!A:C,3,FALSE)</f>
        <v>1</v>
      </c>
      <c r="G1427" s="1">
        <v>1</v>
      </c>
      <c r="H1427" s="1">
        <v>1</v>
      </c>
      <c r="I1427" s="1">
        <f t="shared" si="114"/>
        <v>1</v>
      </c>
    </row>
    <row r="1428" spans="1:9" x14ac:dyDescent="0.3">
      <c r="A1428" s="26">
        <v>46718</v>
      </c>
      <c r="B1428" s="27">
        <f t="shared" si="110"/>
        <v>2027</v>
      </c>
      <c r="C1428" s="27">
        <f t="shared" si="111"/>
        <v>11</v>
      </c>
      <c r="D1428" s="27">
        <f t="shared" si="112"/>
        <v>27</v>
      </c>
      <c r="E1428" s="27">
        <f t="shared" si="113"/>
        <v>7</v>
      </c>
      <c r="F1428" s="27">
        <f>VLOOKUP(E1428,[1]t_calendarioPolitica!A:C,3,FALSE)</f>
        <v>2</v>
      </c>
      <c r="G1428" s="1">
        <v>1</v>
      </c>
      <c r="H1428" s="1">
        <v>1</v>
      </c>
      <c r="I1428" s="1">
        <f t="shared" si="114"/>
        <v>1</v>
      </c>
    </row>
    <row r="1429" spans="1:9" x14ac:dyDescent="0.3">
      <c r="A1429" s="26">
        <v>46719</v>
      </c>
      <c r="B1429" s="27">
        <f t="shared" si="110"/>
        <v>2027</v>
      </c>
      <c r="C1429" s="27">
        <f t="shared" si="111"/>
        <v>11</v>
      </c>
      <c r="D1429" s="27">
        <f t="shared" si="112"/>
        <v>28</v>
      </c>
      <c r="E1429" s="27">
        <f t="shared" si="113"/>
        <v>1</v>
      </c>
      <c r="F1429" s="27">
        <f>VLOOKUP(E1429,[1]t_calendarioPolitica!A:C,3,FALSE)</f>
        <v>0</v>
      </c>
      <c r="G1429" s="1">
        <v>1</v>
      </c>
      <c r="H1429" s="1">
        <v>1</v>
      </c>
      <c r="I1429" s="1">
        <f t="shared" si="114"/>
        <v>0</v>
      </c>
    </row>
    <row r="1430" spans="1:9" x14ac:dyDescent="0.3">
      <c r="A1430" s="26">
        <v>46720</v>
      </c>
      <c r="B1430" s="27">
        <f t="shared" si="110"/>
        <v>2027</v>
      </c>
      <c r="C1430" s="27">
        <f t="shared" si="111"/>
        <v>11</v>
      </c>
      <c r="D1430" s="27">
        <f t="shared" si="112"/>
        <v>29</v>
      </c>
      <c r="E1430" s="27">
        <f t="shared" si="113"/>
        <v>2</v>
      </c>
      <c r="F1430" s="27">
        <f>VLOOKUP(E1430,[1]t_calendarioPolitica!A:C,3,FALSE)</f>
        <v>1</v>
      </c>
      <c r="G1430" s="1">
        <v>1</v>
      </c>
      <c r="H1430" s="1">
        <v>1</v>
      </c>
      <c r="I1430" s="1">
        <f t="shared" si="114"/>
        <v>1</v>
      </c>
    </row>
    <row r="1431" spans="1:9" x14ac:dyDescent="0.3">
      <c r="A1431" s="26">
        <v>46721</v>
      </c>
      <c r="B1431" s="27">
        <f t="shared" si="110"/>
        <v>2027</v>
      </c>
      <c r="C1431" s="27">
        <f t="shared" si="111"/>
        <v>11</v>
      </c>
      <c r="D1431" s="27">
        <f t="shared" si="112"/>
        <v>30</v>
      </c>
      <c r="E1431" s="27">
        <f t="shared" si="113"/>
        <v>3</v>
      </c>
      <c r="F1431" s="27">
        <f>VLOOKUP(E1431,[1]t_calendarioPolitica!A:C,3,FALSE)</f>
        <v>1</v>
      </c>
      <c r="G1431" s="1">
        <v>1</v>
      </c>
      <c r="H1431" s="1">
        <v>1</v>
      </c>
      <c r="I1431" s="1">
        <f t="shared" si="114"/>
        <v>1</v>
      </c>
    </row>
    <row r="1432" spans="1:9" x14ac:dyDescent="0.3">
      <c r="A1432" s="26">
        <v>46722</v>
      </c>
      <c r="B1432" s="27">
        <f t="shared" si="110"/>
        <v>2027</v>
      </c>
      <c r="C1432" s="27">
        <f t="shared" si="111"/>
        <v>12</v>
      </c>
      <c r="D1432" s="27">
        <f t="shared" si="112"/>
        <v>1</v>
      </c>
      <c r="E1432" s="27">
        <f t="shared" si="113"/>
        <v>4</v>
      </c>
      <c r="F1432" s="27">
        <f>VLOOKUP(E1432,[1]t_calendarioPolitica!A:C,3,FALSE)</f>
        <v>1</v>
      </c>
      <c r="G1432" s="1">
        <v>1</v>
      </c>
      <c r="H1432" s="1">
        <v>1</v>
      </c>
      <c r="I1432" s="1">
        <f t="shared" si="114"/>
        <v>1</v>
      </c>
    </row>
    <row r="1433" spans="1:9" x14ac:dyDescent="0.3">
      <c r="A1433" s="26">
        <v>46723</v>
      </c>
      <c r="B1433" s="27">
        <f t="shared" si="110"/>
        <v>2027</v>
      </c>
      <c r="C1433" s="27">
        <f t="shared" si="111"/>
        <v>12</v>
      </c>
      <c r="D1433" s="27">
        <f t="shared" si="112"/>
        <v>2</v>
      </c>
      <c r="E1433" s="27">
        <f t="shared" si="113"/>
        <v>5</v>
      </c>
      <c r="F1433" s="27">
        <f>VLOOKUP(E1433,[1]t_calendarioPolitica!A:C,3,FALSE)</f>
        <v>1</v>
      </c>
      <c r="G1433" s="1">
        <v>1</v>
      </c>
      <c r="H1433" s="1">
        <v>1</v>
      </c>
      <c r="I1433" s="1">
        <f t="shared" si="114"/>
        <v>1</v>
      </c>
    </row>
    <row r="1434" spans="1:9" x14ac:dyDescent="0.3">
      <c r="A1434" s="26">
        <v>46724</v>
      </c>
      <c r="B1434" s="27">
        <f t="shared" si="110"/>
        <v>2027</v>
      </c>
      <c r="C1434" s="27">
        <f t="shared" si="111"/>
        <v>12</v>
      </c>
      <c r="D1434" s="27">
        <f t="shared" si="112"/>
        <v>3</v>
      </c>
      <c r="E1434" s="27">
        <f t="shared" si="113"/>
        <v>6</v>
      </c>
      <c r="F1434" s="27">
        <f>VLOOKUP(E1434,[1]t_calendarioPolitica!A:C,3,FALSE)</f>
        <v>1</v>
      </c>
      <c r="G1434" s="1">
        <v>1</v>
      </c>
      <c r="H1434" s="1">
        <v>1</v>
      </c>
      <c r="I1434" s="1">
        <f t="shared" si="114"/>
        <v>1</v>
      </c>
    </row>
    <row r="1435" spans="1:9" x14ac:dyDescent="0.3">
      <c r="A1435" s="26">
        <v>46725</v>
      </c>
      <c r="B1435" s="27">
        <f t="shared" si="110"/>
        <v>2027</v>
      </c>
      <c r="C1435" s="27">
        <f t="shared" si="111"/>
        <v>12</v>
      </c>
      <c r="D1435" s="27">
        <f t="shared" si="112"/>
        <v>4</v>
      </c>
      <c r="E1435" s="27">
        <f t="shared" si="113"/>
        <v>7</v>
      </c>
      <c r="F1435" s="27">
        <f>VLOOKUP(E1435,[1]t_calendarioPolitica!A:C,3,FALSE)</f>
        <v>2</v>
      </c>
      <c r="G1435" s="1">
        <v>1</v>
      </c>
      <c r="H1435" s="1">
        <v>1</v>
      </c>
      <c r="I1435" s="1">
        <f t="shared" si="114"/>
        <v>1</v>
      </c>
    </row>
    <row r="1436" spans="1:9" x14ac:dyDescent="0.3">
      <c r="A1436" s="26">
        <v>46726</v>
      </c>
      <c r="B1436" s="27">
        <f t="shared" si="110"/>
        <v>2027</v>
      </c>
      <c r="C1436" s="27">
        <f t="shared" si="111"/>
        <v>12</v>
      </c>
      <c r="D1436" s="27">
        <f t="shared" si="112"/>
        <v>5</v>
      </c>
      <c r="E1436" s="27">
        <f t="shared" si="113"/>
        <v>1</v>
      </c>
      <c r="F1436" s="27">
        <f>VLOOKUP(E1436,[1]t_calendarioPolitica!A:C,3,FALSE)</f>
        <v>0</v>
      </c>
      <c r="G1436" s="1">
        <v>1</v>
      </c>
      <c r="H1436" s="1">
        <v>1</v>
      </c>
      <c r="I1436" s="1">
        <f t="shared" si="114"/>
        <v>0</v>
      </c>
    </row>
    <row r="1437" spans="1:9" x14ac:dyDescent="0.3">
      <c r="A1437" s="26">
        <v>46727</v>
      </c>
      <c r="B1437" s="27">
        <f t="shared" si="110"/>
        <v>2027</v>
      </c>
      <c r="C1437" s="27">
        <f t="shared" si="111"/>
        <v>12</v>
      </c>
      <c r="D1437" s="27">
        <f t="shared" si="112"/>
        <v>6</v>
      </c>
      <c r="E1437" s="27">
        <f t="shared" si="113"/>
        <v>2</v>
      </c>
      <c r="F1437" s="27">
        <f>VLOOKUP(E1437,[1]t_calendarioPolitica!A:C,3,FALSE)</f>
        <v>1</v>
      </c>
      <c r="G1437" s="1">
        <v>1</v>
      </c>
      <c r="H1437" s="1">
        <v>1</v>
      </c>
      <c r="I1437" s="1">
        <f t="shared" si="114"/>
        <v>1</v>
      </c>
    </row>
    <row r="1438" spans="1:9" x14ac:dyDescent="0.3">
      <c r="A1438" s="26">
        <v>46728</v>
      </c>
      <c r="B1438" s="27">
        <f t="shared" si="110"/>
        <v>2027</v>
      </c>
      <c r="C1438" s="27">
        <f t="shared" si="111"/>
        <v>12</v>
      </c>
      <c r="D1438" s="27">
        <f t="shared" si="112"/>
        <v>7</v>
      </c>
      <c r="E1438" s="27">
        <f t="shared" si="113"/>
        <v>3</v>
      </c>
      <c r="F1438" s="27">
        <f>VLOOKUP(E1438,[1]t_calendarioPolitica!A:C,3,FALSE)</f>
        <v>1</v>
      </c>
      <c r="G1438" s="1">
        <v>1</v>
      </c>
      <c r="H1438" s="1">
        <v>1</v>
      </c>
      <c r="I1438" s="1">
        <f t="shared" si="114"/>
        <v>1</v>
      </c>
    </row>
    <row r="1439" spans="1:9" x14ac:dyDescent="0.3">
      <c r="A1439" s="26">
        <v>46729</v>
      </c>
      <c r="B1439" s="27">
        <f t="shared" si="110"/>
        <v>2027</v>
      </c>
      <c r="C1439" s="27">
        <f t="shared" si="111"/>
        <v>12</v>
      </c>
      <c r="D1439" s="27">
        <f t="shared" si="112"/>
        <v>8</v>
      </c>
      <c r="E1439" s="27">
        <f t="shared" si="113"/>
        <v>4</v>
      </c>
      <c r="F1439" s="27">
        <f>VLOOKUP(E1439,[1]t_calendarioPolitica!A:C,3,FALSE)</f>
        <v>1</v>
      </c>
      <c r="G1439" s="1">
        <v>1</v>
      </c>
      <c r="H1439" s="1">
        <v>1</v>
      </c>
      <c r="I1439" s="1">
        <f t="shared" si="114"/>
        <v>1</v>
      </c>
    </row>
    <row r="1440" spans="1:9" x14ac:dyDescent="0.3">
      <c r="A1440" s="26">
        <v>46730</v>
      </c>
      <c r="B1440" s="27">
        <f t="shared" si="110"/>
        <v>2027</v>
      </c>
      <c r="C1440" s="27">
        <f t="shared" si="111"/>
        <v>12</v>
      </c>
      <c r="D1440" s="27">
        <f t="shared" si="112"/>
        <v>9</v>
      </c>
      <c r="E1440" s="27">
        <f t="shared" si="113"/>
        <v>5</v>
      </c>
      <c r="F1440" s="27">
        <f>VLOOKUP(E1440,[1]t_calendarioPolitica!A:C,3,FALSE)</f>
        <v>1</v>
      </c>
      <c r="G1440" s="1">
        <v>1</v>
      </c>
      <c r="H1440" s="1">
        <v>1</v>
      </c>
      <c r="I1440" s="1">
        <f t="shared" si="114"/>
        <v>1</v>
      </c>
    </row>
    <row r="1441" spans="1:9" x14ac:dyDescent="0.3">
      <c r="A1441" s="26">
        <v>46731</v>
      </c>
      <c r="B1441" s="27">
        <f t="shared" si="110"/>
        <v>2027</v>
      </c>
      <c r="C1441" s="27">
        <f t="shared" si="111"/>
        <v>12</v>
      </c>
      <c r="D1441" s="27">
        <f t="shared" si="112"/>
        <v>10</v>
      </c>
      <c r="E1441" s="27">
        <f t="shared" si="113"/>
        <v>6</v>
      </c>
      <c r="F1441" s="27">
        <f>VLOOKUP(E1441,[1]t_calendarioPolitica!A:C,3,FALSE)</f>
        <v>1</v>
      </c>
      <c r="G1441" s="1">
        <v>1</v>
      </c>
      <c r="H1441" s="1">
        <v>1</v>
      </c>
      <c r="I1441" s="1">
        <f t="shared" si="114"/>
        <v>1</v>
      </c>
    </row>
    <row r="1442" spans="1:9" x14ac:dyDescent="0.3">
      <c r="A1442" s="26">
        <v>46732</v>
      </c>
      <c r="B1442" s="27">
        <f t="shared" si="110"/>
        <v>2027</v>
      </c>
      <c r="C1442" s="27">
        <f t="shared" si="111"/>
        <v>12</v>
      </c>
      <c r="D1442" s="27">
        <f t="shared" si="112"/>
        <v>11</v>
      </c>
      <c r="E1442" s="27">
        <f t="shared" si="113"/>
        <v>7</v>
      </c>
      <c r="F1442" s="27">
        <f>VLOOKUP(E1442,[1]t_calendarioPolitica!A:C,3,FALSE)</f>
        <v>2</v>
      </c>
      <c r="G1442" s="1">
        <v>1</v>
      </c>
      <c r="H1442" s="1">
        <v>1</v>
      </c>
      <c r="I1442" s="1">
        <f t="shared" si="114"/>
        <v>1</v>
      </c>
    </row>
    <row r="1443" spans="1:9" x14ac:dyDescent="0.3">
      <c r="A1443" s="26">
        <v>46733</v>
      </c>
      <c r="B1443" s="27">
        <f t="shared" si="110"/>
        <v>2027</v>
      </c>
      <c r="C1443" s="27">
        <f t="shared" si="111"/>
        <v>12</v>
      </c>
      <c r="D1443" s="27">
        <f t="shared" si="112"/>
        <v>12</v>
      </c>
      <c r="E1443" s="27">
        <f t="shared" si="113"/>
        <v>1</v>
      </c>
      <c r="F1443" s="27">
        <f>VLOOKUP(E1443,[1]t_calendarioPolitica!A:C,3,FALSE)</f>
        <v>0</v>
      </c>
      <c r="G1443" s="1">
        <v>1</v>
      </c>
      <c r="H1443" s="1">
        <v>0</v>
      </c>
      <c r="I1443" s="1">
        <f t="shared" si="114"/>
        <v>0</v>
      </c>
    </row>
    <row r="1444" spans="1:9" x14ac:dyDescent="0.3">
      <c r="A1444" s="26">
        <v>46734</v>
      </c>
      <c r="B1444" s="27">
        <f t="shared" si="110"/>
        <v>2027</v>
      </c>
      <c r="C1444" s="27">
        <f t="shared" si="111"/>
        <v>12</v>
      </c>
      <c r="D1444" s="27">
        <f t="shared" si="112"/>
        <v>13</v>
      </c>
      <c r="E1444" s="27">
        <f t="shared" si="113"/>
        <v>2</v>
      </c>
      <c r="F1444" s="27">
        <f>VLOOKUP(E1444,[1]t_calendarioPolitica!A:C,3,FALSE)</f>
        <v>1</v>
      </c>
      <c r="G1444" s="1">
        <v>1</v>
      </c>
      <c r="H1444" s="1">
        <v>1</v>
      </c>
      <c r="I1444" s="1">
        <f t="shared" si="114"/>
        <v>1</v>
      </c>
    </row>
    <row r="1445" spans="1:9" x14ac:dyDescent="0.3">
      <c r="A1445" s="26">
        <v>46735</v>
      </c>
      <c r="B1445" s="27">
        <f t="shared" si="110"/>
        <v>2027</v>
      </c>
      <c r="C1445" s="27">
        <f t="shared" si="111"/>
        <v>12</v>
      </c>
      <c r="D1445" s="27">
        <f t="shared" si="112"/>
        <v>14</v>
      </c>
      <c r="E1445" s="27">
        <f t="shared" si="113"/>
        <v>3</v>
      </c>
      <c r="F1445" s="27">
        <f>VLOOKUP(E1445,[1]t_calendarioPolitica!A:C,3,FALSE)</f>
        <v>1</v>
      </c>
      <c r="G1445" s="1">
        <v>1</v>
      </c>
      <c r="H1445" s="1">
        <v>1</v>
      </c>
      <c r="I1445" s="1">
        <f t="shared" si="114"/>
        <v>1</v>
      </c>
    </row>
    <row r="1446" spans="1:9" x14ac:dyDescent="0.3">
      <c r="A1446" s="26">
        <v>46736</v>
      </c>
      <c r="B1446" s="27">
        <f t="shared" si="110"/>
        <v>2027</v>
      </c>
      <c r="C1446" s="27">
        <f t="shared" si="111"/>
        <v>12</v>
      </c>
      <c r="D1446" s="27">
        <f t="shared" si="112"/>
        <v>15</v>
      </c>
      <c r="E1446" s="27">
        <f t="shared" si="113"/>
        <v>4</v>
      </c>
      <c r="F1446" s="27">
        <f>VLOOKUP(E1446,[1]t_calendarioPolitica!A:C,3,FALSE)</f>
        <v>1</v>
      </c>
      <c r="G1446" s="1">
        <v>1</v>
      </c>
      <c r="H1446" s="1">
        <v>1</v>
      </c>
      <c r="I1446" s="1">
        <f t="shared" si="114"/>
        <v>1</v>
      </c>
    </row>
    <row r="1447" spans="1:9" x14ac:dyDescent="0.3">
      <c r="A1447" s="26">
        <v>46737</v>
      </c>
      <c r="B1447" s="27">
        <f t="shared" si="110"/>
        <v>2027</v>
      </c>
      <c r="C1447" s="27">
        <f t="shared" si="111"/>
        <v>12</v>
      </c>
      <c r="D1447" s="27">
        <f t="shared" si="112"/>
        <v>16</v>
      </c>
      <c r="E1447" s="27">
        <f t="shared" si="113"/>
        <v>5</v>
      </c>
      <c r="F1447" s="27">
        <f>VLOOKUP(E1447,[1]t_calendarioPolitica!A:C,3,FALSE)</f>
        <v>1</v>
      </c>
      <c r="G1447" s="1">
        <v>1</v>
      </c>
      <c r="H1447" s="1">
        <v>1</v>
      </c>
      <c r="I1447" s="1">
        <f t="shared" si="114"/>
        <v>1</v>
      </c>
    </row>
    <row r="1448" spans="1:9" x14ac:dyDescent="0.3">
      <c r="A1448" s="26">
        <v>46738</v>
      </c>
      <c r="B1448" s="27">
        <f t="shared" si="110"/>
        <v>2027</v>
      </c>
      <c r="C1448" s="27">
        <f t="shared" si="111"/>
        <v>12</v>
      </c>
      <c r="D1448" s="27">
        <f t="shared" si="112"/>
        <v>17</v>
      </c>
      <c r="E1448" s="27">
        <f t="shared" si="113"/>
        <v>6</v>
      </c>
      <c r="F1448" s="27">
        <f>VLOOKUP(E1448,[1]t_calendarioPolitica!A:C,3,FALSE)</f>
        <v>1</v>
      </c>
      <c r="G1448" s="1">
        <v>1</v>
      </c>
      <c r="H1448" s="1">
        <v>1</v>
      </c>
      <c r="I1448" s="1">
        <f t="shared" si="114"/>
        <v>1</v>
      </c>
    </row>
    <row r="1449" spans="1:9" x14ac:dyDescent="0.3">
      <c r="A1449" s="26">
        <v>46739</v>
      </c>
      <c r="B1449" s="27">
        <f t="shared" si="110"/>
        <v>2027</v>
      </c>
      <c r="C1449" s="27">
        <f t="shared" si="111"/>
        <v>12</v>
      </c>
      <c r="D1449" s="27">
        <f t="shared" si="112"/>
        <v>18</v>
      </c>
      <c r="E1449" s="27">
        <f t="shared" si="113"/>
        <v>7</v>
      </c>
      <c r="F1449" s="27">
        <f>VLOOKUP(E1449,[1]t_calendarioPolitica!A:C,3,FALSE)</f>
        <v>2</v>
      </c>
      <c r="G1449" s="1">
        <v>1</v>
      </c>
      <c r="H1449" s="1">
        <v>1</v>
      </c>
      <c r="I1449" s="1">
        <f t="shared" si="114"/>
        <v>1</v>
      </c>
    </row>
    <row r="1450" spans="1:9" x14ac:dyDescent="0.3">
      <c r="A1450" s="26">
        <v>46740</v>
      </c>
      <c r="B1450" s="27">
        <f t="shared" si="110"/>
        <v>2027</v>
      </c>
      <c r="C1450" s="27">
        <f t="shared" si="111"/>
        <v>12</v>
      </c>
      <c r="D1450" s="27">
        <f t="shared" si="112"/>
        <v>19</v>
      </c>
      <c r="E1450" s="27">
        <f t="shared" si="113"/>
        <v>1</v>
      </c>
      <c r="F1450" s="27">
        <f>VLOOKUP(E1450,[1]t_calendarioPolitica!A:C,3,FALSE)</f>
        <v>0</v>
      </c>
      <c r="G1450" s="1">
        <v>1</v>
      </c>
      <c r="H1450" s="1">
        <v>1</v>
      </c>
      <c r="I1450" s="1">
        <f t="shared" si="114"/>
        <v>0</v>
      </c>
    </row>
    <row r="1451" spans="1:9" x14ac:dyDescent="0.3">
      <c r="A1451" s="26">
        <v>46741</v>
      </c>
      <c r="B1451" s="27">
        <f t="shared" si="110"/>
        <v>2027</v>
      </c>
      <c r="C1451" s="27">
        <f t="shared" si="111"/>
        <v>12</v>
      </c>
      <c r="D1451" s="27">
        <f t="shared" si="112"/>
        <v>20</v>
      </c>
      <c r="E1451" s="27">
        <f t="shared" si="113"/>
        <v>2</v>
      </c>
      <c r="F1451" s="27">
        <f>VLOOKUP(E1451,[1]t_calendarioPolitica!A:C,3,FALSE)</f>
        <v>1</v>
      </c>
      <c r="G1451" s="1">
        <v>1</v>
      </c>
      <c r="H1451" s="1">
        <v>1</v>
      </c>
      <c r="I1451" s="1">
        <f t="shared" si="114"/>
        <v>1</v>
      </c>
    </row>
    <row r="1452" spans="1:9" x14ac:dyDescent="0.3">
      <c r="A1452" s="26">
        <v>46742</v>
      </c>
      <c r="B1452" s="27">
        <f t="shared" si="110"/>
        <v>2027</v>
      </c>
      <c r="C1452" s="27">
        <f t="shared" si="111"/>
        <v>12</v>
      </c>
      <c r="D1452" s="27">
        <f t="shared" si="112"/>
        <v>21</v>
      </c>
      <c r="E1452" s="27">
        <f t="shared" si="113"/>
        <v>3</v>
      </c>
      <c r="F1452" s="27">
        <f>VLOOKUP(E1452,[1]t_calendarioPolitica!A:C,3,FALSE)</f>
        <v>1</v>
      </c>
      <c r="G1452" s="1">
        <v>1</v>
      </c>
      <c r="H1452" s="1">
        <v>1</v>
      </c>
      <c r="I1452" s="1">
        <f t="shared" si="114"/>
        <v>1</v>
      </c>
    </row>
    <row r="1453" spans="1:9" x14ac:dyDescent="0.3">
      <c r="A1453" s="26">
        <v>46743</v>
      </c>
      <c r="B1453" s="27">
        <f t="shared" si="110"/>
        <v>2027</v>
      </c>
      <c r="C1453" s="27">
        <f t="shared" si="111"/>
        <v>12</v>
      </c>
      <c r="D1453" s="27">
        <f t="shared" si="112"/>
        <v>22</v>
      </c>
      <c r="E1453" s="27">
        <f t="shared" si="113"/>
        <v>4</v>
      </c>
      <c r="F1453" s="27">
        <f>VLOOKUP(E1453,[1]t_calendarioPolitica!A:C,3,FALSE)</f>
        <v>1</v>
      </c>
      <c r="G1453" s="1">
        <v>1</v>
      </c>
      <c r="H1453" s="1">
        <v>1</v>
      </c>
      <c r="I1453" s="1">
        <f t="shared" si="114"/>
        <v>1</v>
      </c>
    </row>
    <row r="1454" spans="1:9" x14ac:dyDescent="0.3">
      <c r="A1454" s="26">
        <v>46744</v>
      </c>
      <c r="B1454" s="27">
        <f t="shared" si="110"/>
        <v>2027</v>
      </c>
      <c r="C1454" s="27">
        <f t="shared" si="111"/>
        <v>12</v>
      </c>
      <c r="D1454" s="27">
        <f t="shared" si="112"/>
        <v>23</v>
      </c>
      <c r="E1454" s="27">
        <f t="shared" si="113"/>
        <v>5</v>
      </c>
      <c r="F1454" s="27">
        <f>VLOOKUP(E1454,[1]t_calendarioPolitica!A:C,3,FALSE)</f>
        <v>1</v>
      </c>
      <c r="G1454" s="1">
        <v>1</v>
      </c>
      <c r="H1454" s="1">
        <v>1</v>
      </c>
      <c r="I1454" s="1">
        <f t="shared" si="114"/>
        <v>1</v>
      </c>
    </row>
    <row r="1455" spans="1:9" x14ac:dyDescent="0.3">
      <c r="A1455" s="26">
        <v>46745</v>
      </c>
      <c r="B1455" s="27">
        <f t="shared" si="110"/>
        <v>2027</v>
      </c>
      <c r="C1455" s="27">
        <f t="shared" si="111"/>
        <v>12</v>
      </c>
      <c r="D1455" s="27">
        <f t="shared" si="112"/>
        <v>24</v>
      </c>
      <c r="E1455" s="27">
        <f t="shared" si="113"/>
        <v>6</v>
      </c>
      <c r="F1455" s="27">
        <f>VLOOKUP(E1455,[1]t_calendarioPolitica!A:C,3,FALSE)</f>
        <v>1</v>
      </c>
      <c r="G1455" s="1">
        <v>1</v>
      </c>
      <c r="H1455" s="1">
        <v>0</v>
      </c>
      <c r="I1455" s="1">
        <f t="shared" si="114"/>
        <v>0</v>
      </c>
    </row>
    <row r="1456" spans="1:9" x14ac:dyDescent="0.3">
      <c r="A1456" s="26">
        <v>46746</v>
      </c>
      <c r="B1456" s="27">
        <f t="shared" si="110"/>
        <v>2027</v>
      </c>
      <c r="C1456" s="27">
        <f t="shared" si="111"/>
        <v>12</v>
      </c>
      <c r="D1456" s="27">
        <f t="shared" si="112"/>
        <v>25</v>
      </c>
      <c r="E1456" s="27">
        <f t="shared" si="113"/>
        <v>7</v>
      </c>
      <c r="F1456" s="27">
        <f>VLOOKUP(E1456,[1]t_calendarioPolitica!A:C,3,FALSE)</f>
        <v>2</v>
      </c>
      <c r="G1456" s="1">
        <v>0</v>
      </c>
      <c r="H1456" s="1">
        <v>0</v>
      </c>
      <c r="I1456" s="1">
        <f t="shared" si="114"/>
        <v>0</v>
      </c>
    </row>
    <row r="1457" spans="1:9" x14ac:dyDescent="0.3">
      <c r="A1457" s="26">
        <v>46747</v>
      </c>
      <c r="B1457" s="27">
        <f t="shared" si="110"/>
        <v>2027</v>
      </c>
      <c r="C1457" s="27">
        <f t="shared" si="111"/>
        <v>12</v>
      </c>
      <c r="D1457" s="27">
        <f t="shared" si="112"/>
        <v>26</v>
      </c>
      <c r="E1457" s="27">
        <f t="shared" si="113"/>
        <v>1</v>
      </c>
      <c r="F1457" s="27">
        <f>VLOOKUP(E1457,[1]t_calendarioPolitica!A:C,3,FALSE)</f>
        <v>0</v>
      </c>
      <c r="G1457" s="1">
        <v>1</v>
      </c>
      <c r="H1457" s="1">
        <v>1</v>
      </c>
      <c r="I1457" s="1">
        <f t="shared" si="114"/>
        <v>0</v>
      </c>
    </row>
    <row r="1458" spans="1:9" x14ac:dyDescent="0.3">
      <c r="A1458" s="26">
        <v>46748</v>
      </c>
      <c r="B1458" s="27">
        <f t="shared" si="110"/>
        <v>2027</v>
      </c>
      <c r="C1458" s="27">
        <f t="shared" si="111"/>
        <v>12</v>
      </c>
      <c r="D1458" s="27">
        <f t="shared" si="112"/>
        <v>27</v>
      </c>
      <c r="E1458" s="27">
        <f t="shared" si="113"/>
        <v>2</v>
      </c>
      <c r="F1458" s="27">
        <f>VLOOKUP(E1458,[1]t_calendarioPolitica!A:C,3,FALSE)</f>
        <v>1</v>
      </c>
      <c r="G1458" s="1">
        <v>1</v>
      </c>
      <c r="H1458" s="1">
        <v>1</v>
      </c>
      <c r="I1458" s="1">
        <f t="shared" si="114"/>
        <v>1</v>
      </c>
    </row>
    <row r="1459" spans="1:9" x14ac:dyDescent="0.3">
      <c r="A1459" s="26">
        <v>46749</v>
      </c>
      <c r="B1459" s="27">
        <f t="shared" si="110"/>
        <v>2027</v>
      </c>
      <c r="C1459" s="27">
        <f t="shared" si="111"/>
        <v>12</v>
      </c>
      <c r="D1459" s="27">
        <f t="shared" si="112"/>
        <v>28</v>
      </c>
      <c r="E1459" s="27">
        <f t="shared" si="113"/>
        <v>3</v>
      </c>
      <c r="F1459" s="27">
        <f>VLOOKUP(E1459,[1]t_calendarioPolitica!A:C,3,FALSE)</f>
        <v>1</v>
      </c>
      <c r="G1459" s="1">
        <v>1</v>
      </c>
      <c r="H1459" s="1">
        <v>1</v>
      </c>
      <c r="I1459" s="1">
        <f t="shared" si="114"/>
        <v>1</v>
      </c>
    </row>
    <row r="1460" spans="1:9" x14ac:dyDescent="0.3">
      <c r="A1460" s="26">
        <v>46750</v>
      </c>
      <c r="B1460" s="27">
        <f t="shared" si="110"/>
        <v>2027</v>
      </c>
      <c r="C1460" s="27">
        <f t="shared" si="111"/>
        <v>12</v>
      </c>
      <c r="D1460" s="27">
        <f t="shared" si="112"/>
        <v>29</v>
      </c>
      <c r="E1460" s="27">
        <f t="shared" si="113"/>
        <v>4</v>
      </c>
      <c r="F1460" s="27">
        <f>VLOOKUP(E1460,[1]t_calendarioPolitica!A:C,3,FALSE)</f>
        <v>1</v>
      </c>
      <c r="G1460" s="1">
        <v>1</v>
      </c>
      <c r="H1460" s="1">
        <v>1</v>
      </c>
      <c r="I1460" s="1">
        <f t="shared" si="114"/>
        <v>1</v>
      </c>
    </row>
    <row r="1461" spans="1:9" x14ac:dyDescent="0.3">
      <c r="A1461" s="26">
        <v>46751</v>
      </c>
      <c r="B1461" s="27">
        <f t="shared" si="110"/>
        <v>2027</v>
      </c>
      <c r="C1461" s="27">
        <f t="shared" si="111"/>
        <v>12</v>
      </c>
      <c r="D1461" s="27">
        <f t="shared" si="112"/>
        <v>30</v>
      </c>
      <c r="E1461" s="27">
        <f t="shared" si="113"/>
        <v>5</v>
      </c>
      <c r="F1461" s="27">
        <f>VLOOKUP(E1461,[1]t_calendarioPolitica!A:C,3,FALSE)</f>
        <v>1</v>
      </c>
      <c r="G1461" s="1">
        <v>1</v>
      </c>
      <c r="H1461" s="1">
        <v>1</v>
      </c>
      <c r="I1461" s="1">
        <f t="shared" si="114"/>
        <v>1</v>
      </c>
    </row>
    <row r="1462" spans="1:9" x14ac:dyDescent="0.3">
      <c r="A1462" s="26">
        <v>46752</v>
      </c>
      <c r="B1462" s="27">
        <f t="shared" si="110"/>
        <v>2027</v>
      </c>
      <c r="C1462" s="27">
        <f t="shared" si="111"/>
        <v>12</v>
      </c>
      <c r="D1462" s="27">
        <f t="shared" si="112"/>
        <v>31</v>
      </c>
      <c r="E1462" s="27">
        <f t="shared" si="113"/>
        <v>6</v>
      </c>
      <c r="F1462" s="27">
        <f>VLOOKUP(E1462,[1]t_calendarioPolitica!A:C,3,FALSE)</f>
        <v>1</v>
      </c>
      <c r="G1462" s="1">
        <v>1</v>
      </c>
      <c r="H1462" s="1">
        <v>0</v>
      </c>
      <c r="I1462" s="1">
        <f t="shared" si="114"/>
        <v>0</v>
      </c>
    </row>
    <row r="1463" spans="1:9" x14ac:dyDescent="0.3">
      <c r="A1463" s="26">
        <v>46753</v>
      </c>
      <c r="B1463" s="27">
        <f t="shared" si="110"/>
        <v>2028</v>
      </c>
      <c r="C1463" s="27">
        <f t="shared" si="111"/>
        <v>1</v>
      </c>
      <c r="D1463" s="27">
        <f t="shared" si="112"/>
        <v>1</v>
      </c>
      <c r="E1463" s="27">
        <f t="shared" si="113"/>
        <v>7</v>
      </c>
      <c r="F1463" s="27">
        <f>VLOOKUP(E1463,[1]t_calendarioPolitica!A:C,3,FALSE)</f>
        <v>2</v>
      </c>
      <c r="G1463" s="1">
        <v>0</v>
      </c>
      <c r="H1463" s="1">
        <v>1</v>
      </c>
      <c r="I1463" s="1">
        <f t="shared" si="114"/>
        <v>0</v>
      </c>
    </row>
    <row r="1464" spans="1:9" x14ac:dyDescent="0.3">
      <c r="A1464" s="26">
        <v>46754</v>
      </c>
      <c r="B1464" s="27">
        <f t="shared" si="110"/>
        <v>2028</v>
      </c>
      <c r="C1464" s="27">
        <f t="shared" si="111"/>
        <v>1</v>
      </c>
      <c r="D1464" s="27">
        <f t="shared" si="112"/>
        <v>2</v>
      </c>
      <c r="E1464" s="27">
        <f t="shared" si="113"/>
        <v>1</v>
      </c>
      <c r="F1464" s="27">
        <f>VLOOKUP(E1464,[1]t_calendarioPolitica!A:C,3,FALSE)</f>
        <v>0</v>
      </c>
      <c r="G1464" s="1">
        <v>1</v>
      </c>
      <c r="H1464" s="1">
        <v>1</v>
      </c>
      <c r="I1464" s="1">
        <f t="shared" si="114"/>
        <v>0</v>
      </c>
    </row>
    <row r="1465" spans="1:9" x14ac:dyDescent="0.3">
      <c r="A1465" s="26">
        <v>46755</v>
      </c>
      <c r="B1465" s="27">
        <f t="shared" si="110"/>
        <v>2028</v>
      </c>
      <c r="C1465" s="27">
        <f t="shared" si="111"/>
        <v>1</v>
      </c>
      <c r="D1465" s="27">
        <f t="shared" si="112"/>
        <v>3</v>
      </c>
      <c r="E1465" s="27">
        <f t="shared" si="113"/>
        <v>2</v>
      </c>
      <c r="F1465" s="27">
        <f>VLOOKUP(E1465,[1]t_calendarioPolitica!A:C,3,FALSE)</f>
        <v>1</v>
      </c>
      <c r="G1465" s="1">
        <v>1</v>
      </c>
      <c r="H1465" s="1">
        <v>1</v>
      </c>
      <c r="I1465" s="1">
        <f t="shared" si="114"/>
        <v>1</v>
      </c>
    </row>
    <row r="1466" spans="1:9" x14ac:dyDescent="0.3">
      <c r="A1466" s="26">
        <v>46756</v>
      </c>
      <c r="B1466" s="27">
        <f t="shared" si="110"/>
        <v>2028</v>
      </c>
      <c r="C1466" s="27">
        <f t="shared" si="111"/>
        <v>1</v>
      </c>
      <c r="D1466" s="27">
        <f t="shared" si="112"/>
        <v>4</v>
      </c>
      <c r="E1466" s="27">
        <f t="shared" si="113"/>
        <v>3</v>
      </c>
      <c r="F1466" s="27">
        <f>VLOOKUP(E1466,[1]t_calendarioPolitica!A:C,3,FALSE)</f>
        <v>1</v>
      </c>
      <c r="G1466" s="1">
        <v>1</v>
      </c>
      <c r="H1466" s="1">
        <v>1</v>
      </c>
      <c r="I1466" s="1">
        <f t="shared" si="114"/>
        <v>1</v>
      </c>
    </row>
    <row r="1467" spans="1:9" x14ac:dyDescent="0.3">
      <c r="A1467" s="26">
        <v>46757</v>
      </c>
      <c r="B1467" s="27">
        <f t="shared" si="110"/>
        <v>2028</v>
      </c>
      <c r="C1467" s="27">
        <f t="shared" si="111"/>
        <v>1</v>
      </c>
      <c r="D1467" s="27">
        <f t="shared" si="112"/>
        <v>5</v>
      </c>
      <c r="E1467" s="27">
        <f t="shared" si="113"/>
        <v>4</v>
      </c>
      <c r="F1467" s="27">
        <f>VLOOKUP(E1467,[1]t_calendarioPolitica!A:C,3,FALSE)</f>
        <v>1</v>
      </c>
      <c r="G1467" s="1">
        <v>1</v>
      </c>
      <c r="H1467" s="1">
        <v>1</v>
      </c>
      <c r="I1467" s="1">
        <f t="shared" si="114"/>
        <v>1</v>
      </c>
    </row>
    <row r="1468" spans="1:9" x14ac:dyDescent="0.3">
      <c r="A1468" s="26">
        <v>46758</v>
      </c>
      <c r="B1468" s="27">
        <f t="shared" si="110"/>
        <v>2028</v>
      </c>
      <c r="C1468" s="27">
        <f t="shared" si="111"/>
        <v>1</v>
      </c>
      <c r="D1468" s="27">
        <f t="shared" si="112"/>
        <v>6</v>
      </c>
      <c r="E1468" s="27">
        <f t="shared" si="113"/>
        <v>5</v>
      </c>
      <c r="F1468" s="27">
        <f>VLOOKUP(E1468,[1]t_calendarioPolitica!A:C,3,FALSE)</f>
        <v>1</v>
      </c>
      <c r="G1468" s="1">
        <v>1</v>
      </c>
      <c r="H1468" s="1">
        <v>1</v>
      </c>
      <c r="I1468" s="1">
        <f t="shared" si="114"/>
        <v>1</v>
      </c>
    </row>
    <row r="1469" spans="1:9" x14ac:dyDescent="0.3">
      <c r="A1469" s="26">
        <v>46759</v>
      </c>
      <c r="B1469" s="27">
        <f t="shared" si="110"/>
        <v>2028</v>
      </c>
      <c r="C1469" s="27">
        <f t="shared" si="111"/>
        <v>1</v>
      </c>
      <c r="D1469" s="27">
        <f t="shared" si="112"/>
        <v>7</v>
      </c>
      <c r="E1469" s="27">
        <f t="shared" si="113"/>
        <v>6</v>
      </c>
      <c r="F1469" s="27">
        <f>VLOOKUP(E1469,[1]t_calendarioPolitica!A:C,3,FALSE)</f>
        <v>1</v>
      </c>
      <c r="G1469" s="1">
        <v>1</v>
      </c>
      <c r="H1469" s="1">
        <v>1</v>
      </c>
      <c r="I1469" s="1">
        <f t="shared" si="114"/>
        <v>1</v>
      </c>
    </row>
    <row r="1470" spans="1:9" x14ac:dyDescent="0.3">
      <c r="A1470" s="26">
        <v>46760</v>
      </c>
      <c r="B1470" s="27">
        <f t="shared" si="110"/>
        <v>2028</v>
      </c>
      <c r="C1470" s="27">
        <f t="shared" si="111"/>
        <v>1</v>
      </c>
      <c r="D1470" s="27">
        <f t="shared" si="112"/>
        <v>8</v>
      </c>
      <c r="E1470" s="27">
        <f t="shared" si="113"/>
        <v>7</v>
      </c>
      <c r="F1470" s="27">
        <f>VLOOKUP(E1470,[1]t_calendarioPolitica!A:C,3,FALSE)</f>
        <v>2</v>
      </c>
      <c r="G1470" s="1">
        <v>1</v>
      </c>
      <c r="H1470" s="1">
        <v>1</v>
      </c>
      <c r="I1470" s="1">
        <f t="shared" si="114"/>
        <v>1</v>
      </c>
    </row>
    <row r="1471" spans="1:9" x14ac:dyDescent="0.3">
      <c r="A1471" s="26">
        <v>46761</v>
      </c>
      <c r="B1471" s="27">
        <f t="shared" si="110"/>
        <v>2028</v>
      </c>
      <c r="C1471" s="27">
        <f t="shared" si="111"/>
        <v>1</v>
      </c>
      <c r="D1471" s="27">
        <f t="shared" si="112"/>
        <v>9</v>
      </c>
      <c r="E1471" s="27">
        <f t="shared" si="113"/>
        <v>1</v>
      </c>
      <c r="F1471" s="27">
        <f>VLOOKUP(E1471,[1]t_calendarioPolitica!A:C,3,FALSE)</f>
        <v>0</v>
      </c>
      <c r="G1471" s="1">
        <v>1</v>
      </c>
      <c r="H1471" s="1">
        <v>1</v>
      </c>
      <c r="I1471" s="1">
        <f t="shared" si="114"/>
        <v>0</v>
      </c>
    </row>
    <row r="1472" spans="1:9" x14ac:dyDescent="0.3">
      <c r="A1472" s="26">
        <v>46762</v>
      </c>
      <c r="B1472" s="27">
        <f t="shared" si="110"/>
        <v>2028</v>
      </c>
      <c r="C1472" s="27">
        <f t="shared" si="111"/>
        <v>1</v>
      </c>
      <c r="D1472" s="27">
        <f t="shared" si="112"/>
        <v>10</v>
      </c>
      <c r="E1472" s="27">
        <f t="shared" si="113"/>
        <v>2</v>
      </c>
      <c r="F1472" s="27">
        <f>VLOOKUP(E1472,[1]t_calendarioPolitica!A:C,3,FALSE)</f>
        <v>1</v>
      </c>
      <c r="G1472" s="1">
        <v>1</v>
      </c>
      <c r="H1472" s="1">
        <v>1</v>
      </c>
      <c r="I1472" s="1">
        <f t="shared" si="114"/>
        <v>1</v>
      </c>
    </row>
    <row r="1473" spans="1:9" x14ac:dyDescent="0.3">
      <c r="A1473" s="26">
        <v>46763</v>
      </c>
      <c r="B1473" s="27">
        <f t="shared" si="110"/>
        <v>2028</v>
      </c>
      <c r="C1473" s="27">
        <f t="shared" si="111"/>
        <v>1</v>
      </c>
      <c r="D1473" s="27">
        <f t="shared" si="112"/>
        <v>11</v>
      </c>
      <c r="E1473" s="27">
        <f t="shared" si="113"/>
        <v>3</v>
      </c>
      <c r="F1473" s="27">
        <f>VLOOKUP(E1473,[1]t_calendarioPolitica!A:C,3,FALSE)</f>
        <v>1</v>
      </c>
      <c r="G1473" s="1">
        <v>1</v>
      </c>
      <c r="H1473" s="1">
        <v>1</v>
      </c>
      <c r="I1473" s="1">
        <f t="shared" si="114"/>
        <v>1</v>
      </c>
    </row>
    <row r="1474" spans="1:9" x14ac:dyDescent="0.3">
      <c r="A1474" s="26">
        <v>46764</v>
      </c>
      <c r="B1474" s="27">
        <f t="shared" si="110"/>
        <v>2028</v>
      </c>
      <c r="C1474" s="27">
        <f t="shared" si="111"/>
        <v>1</v>
      </c>
      <c r="D1474" s="27">
        <f t="shared" si="112"/>
        <v>12</v>
      </c>
      <c r="E1474" s="27">
        <f t="shared" si="113"/>
        <v>4</v>
      </c>
      <c r="F1474" s="27">
        <f>VLOOKUP(E1474,[1]t_calendarioPolitica!A:C,3,FALSE)</f>
        <v>1</v>
      </c>
      <c r="G1474" s="1">
        <v>1</v>
      </c>
      <c r="H1474" s="1">
        <v>1</v>
      </c>
      <c r="I1474" s="1">
        <f t="shared" si="114"/>
        <v>1</v>
      </c>
    </row>
    <row r="1475" spans="1:9" x14ac:dyDescent="0.3">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VLOOKUP(E1475,[1]t_calendarioPolitica!A:C,3,FALSE)</f>
        <v>1</v>
      </c>
      <c r="G1475" s="1">
        <v>1</v>
      </c>
      <c r="H1475" s="1">
        <v>1</v>
      </c>
      <c r="I1475" s="1">
        <f t="shared" ref="I1475:I1538" si="119">IF(AND(F1475&lt;&gt;0, H1475&lt;&gt;0,G1475&lt;&gt;0), 1, 0)</f>
        <v>1</v>
      </c>
    </row>
    <row r="1476" spans="1:9" x14ac:dyDescent="0.3">
      <c r="A1476" s="26">
        <v>46766</v>
      </c>
      <c r="B1476" s="27">
        <f t="shared" si="115"/>
        <v>2028</v>
      </c>
      <c r="C1476" s="27">
        <f t="shared" si="116"/>
        <v>1</v>
      </c>
      <c r="D1476" s="27">
        <f t="shared" si="117"/>
        <v>14</v>
      </c>
      <c r="E1476" s="27">
        <f t="shared" si="118"/>
        <v>6</v>
      </c>
      <c r="F1476" s="27">
        <f>VLOOKUP(E1476,[1]t_calendarioPolitica!A:C,3,FALSE)</f>
        <v>1</v>
      </c>
      <c r="G1476" s="1">
        <v>1</v>
      </c>
      <c r="H1476" s="1">
        <v>1</v>
      </c>
      <c r="I1476" s="1">
        <f t="shared" si="119"/>
        <v>1</v>
      </c>
    </row>
    <row r="1477" spans="1:9" x14ac:dyDescent="0.3">
      <c r="A1477" s="26">
        <v>46767</v>
      </c>
      <c r="B1477" s="27">
        <f t="shared" si="115"/>
        <v>2028</v>
      </c>
      <c r="C1477" s="27">
        <f t="shared" si="116"/>
        <v>1</v>
      </c>
      <c r="D1477" s="27">
        <f t="shared" si="117"/>
        <v>15</v>
      </c>
      <c r="E1477" s="27">
        <f t="shared" si="118"/>
        <v>7</v>
      </c>
      <c r="F1477" s="27">
        <f>VLOOKUP(E1477,[1]t_calendarioPolitica!A:C,3,FALSE)</f>
        <v>2</v>
      </c>
      <c r="G1477" s="1">
        <v>1</v>
      </c>
      <c r="H1477" s="1">
        <v>1</v>
      </c>
      <c r="I1477" s="1">
        <f t="shared" si="119"/>
        <v>1</v>
      </c>
    </row>
    <row r="1478" spans="1:9" x14ac:dyDescent="0.3">
      <c r="A1478" s="26">
        <v>46768</v>
      </c>
      <c r="B1478" s="27">
        <f t="shared" si="115"/>
        <v>2028</v>
      </c>
      <c r="C1478" s="27">
        <f t="shared" si="116"/>
        <v>1</v>
      </c>
      <c r="D1478" s="27">
        <f t="shared" si="117"/>
        <v>16</v>
      </c>
      <c r="E1478" s="27">
        <f t="shared" si="118"/>
        <v>1</v>
      </c>
      <c r="F1478" s="27">
        <f>VLOOKUP(E1478,[1]t_calendarioPolitica!A:C,3,FALSE)</f>
        <v>0</v>
      </c>
      <c r="G1478" s="1">
        <v>1</v>
      </c>
      <c r="H1478" s="1">
        <v>1</v>
      </c>
      <c r="I1478" s="1">
        <f t="shared" si="119"/>
        <v>0</v>
      </c>
    </row>
    <row r="1479" spans="1:9" x14ac:dyDescent="0.3">
      <c r="A1479" s="26">
        <v>46769</v>
      </c>
      <c r="B1479" s="27">
        <f t="shared" si="115"/>
        <v>2028</v>
      </c>
      <c r="C1479" s="27">
        <f t="shared" si="116"/>
        <v>1</v>
      </c>
      <c r="D1479" s="27">
        <f t="shared" si="117"/>
        <v>17</v>
      </c>
      <c r="E1479" s="27">
        <f t="shared" si="118"/>
        <v>2</v>
      </c>
      <c r="F1479" s="27">
        <f>VLOOKUP(E1479,[1]t_calendarioPolitica!A:C,3,FALSE)</f>
        <v>1</v>
      </c>
      <c r="G1479" s="1">
        <v>1</v>
      </c>
      <c r="H1479" s="1">
        <v>1</v>
      </c>
      <c r="I1479" s="1">
        <f t="shared" si="119"/>
        <v>1</v>
      </c>
    </row>
    <row r="1480" spans="1:9" x14ac:dyDescent="0.3">
      <c r="A1480" s="26">
        <v>46770</v>
      </c>
      <c r="B1480" s="27">
        <f t="shared" si="115"/>
        <v>2028</v>
      </c>
      <c r="C1480" s="27">
        <f t="shared" si="116"/>
        <v>1</v>
      </c>
      <c r="D1480" s="27">
        <f t="shared" si="117"/>
        <v>18</v>
      </c>
      <c r="E1480" s="27">
        <f t="shared" si="118"/>
        <v>3</v>
      </c>
      <c r="F1480" s="27">
        <f>VLOOKUP(E1480,[1]t_calendarioPolitica!A:C,3,FALSE)</f>
        <v>1</v>
      </c>
      <c r="G1480" s="1">
        <v>1</v>
      </c>
      <c r="H1480" s="1">
        <v>1</v>
      </c>
      <c r="I1480" s="1">
        <f t="shared" si="119"/>
        <v>1</v>
      </c>
    </row>
    <row r="1481" spans="1:9" x14ac:dyDescent="0.3">
      <c r="A1481" s="26">
        <v>46771</v>
      </c>
      <c r="B1481" s="27">
        <f t="shared" si="115"/>
        <v>2028</v>
      </c>
      <c r="C1481" s="27">
        <f t="shared" si="116"/>
        <v>1</v>
      </c>
      <c r="D1481" s="27">
        <f t="shared" si="117"/>
        <v>19</v>
      </c>
      <c r="E1481" s="27">
        <f t="shared" si="118"/>
        <v>4</v>
      </c>
      <c r="F1481" s="27">
        <f>VLOOKUP(E1481,[1]t_calendarioPolitica!A:C,3,FALSE)</f>
        <v>1</v>
      </c>
      <c r="G1481" s="1">
        <v>1</v>
      </c>
      <c r="H1481" s="1">
        <v>1</v>
      </c>
      <c r="I1481" s="1">
        <f t="shared" si="119"/>
        <v>1</v>
      </c>
    </row>
    <row r="1482" spans="1:9" x14ac:dyDescent="0.3">
      <c r="A1482" s="26">
        <v>46772</v>
      </c>
      <c r="B1482" s="27">
        <f t="shared" si="115"/>
        <v>2028</v>
      </c>
      <c r="C1482" s="27">
        <f t="shared" si="116"/>
        <v>1</v>
      </c>
      <c r="D1482" s="27">
        <f t="shared" si="117"/>
        <v>20</v>
      </c>
      <c r="E1482" s="27">
        <f t="shared" si="118"/>
        <v>5</v>
      </c>
      <c r="F1482" s="27">
        <f>VLOOKUP(E1482,[1]t_calendarioPolitica!A:C,3,FALSE)</f>
        <v>1</v>
      </c>
      <c r="G1482" s="1">
        <v>1</v>
      </c>
      <c r="H1482" s="1">
        <v>1</v>
      </c>
      <c r="I1482" s="1">
        <f t="shared" si="119"/>
        <v>1</v>
      </c>
    </row>
    <row r="1483" spans="1:9" x14ac:dyDescent="0.3">
      <c r="A1483" s="26">
        <v>46773</v>
      </c>
      <c r="B1483" s="27">
        <f t="shared" si="115"/>
        <v>2028</v>
      </c>
      <c r="C1483" s="27">
        <f t="shared" si="116"/>
        <v>1</v>
      </c>
      <c r="D1483" s="27">
        <f t="shared" si="117"/>
        <v>21</v>
      </c>
      <c r="E1483" s="27">
        <f t="shared" si="118"/>
        <v>6</v>
      </c>
      <c r="F1483" s="27">
        <f>VLOOKUP(E1483,[1]t_calendarioPolitica!A:C,3,FALSE)</f>
        <v>1</v>
      </c>
      <c r="G1483" s="1">
        <v>1</v>
      </c>
      <c r="H1483" s="1">
        <v>1</v>
      </c>
      <c r="I1483" s="1">
        <f t="shared" si="119"/>
        <v>1</v>
      </c>
    </row>
    <row r="1484" spans="1:9" x14ac:dyDescent="0.3">
      <c r="A1484" s="26">
        <v>46774</v>
      </c>
      <c r="B1484" s="27">
        <f t="shared" si="115"/>
        <v>2028</v>
      </c>
      <c r="C1484" s="27">
        <f t="shared" si="116"/>
        <v>1</v>
      </c>
      <c r="D1484" s="27">
        <f t="shared" si="117"/>
        <v>22</v>
      </c>
      <c r="E1484" s="27">
        <f t="shared" si="118"/>
        <v>7</v>
      </c>
      <c r="F1484" s="27">
        <f>VLOOKUP(E1484,[1]t_calendarioPolitica!A:C,3,FALSE)</f>
        <v>2</v>
      </c>
      <c r="G1484" s="1">
        <v>1</v>
      </c>
      <c r="H1484" s="1">
        <v>1</v>
      </c>
      <c r="I1484" s="1">
        <f t="shared" si="119"/>
        <v>1</v>
      </c>
    </row>
    <row r="1485" spans="1:9" x14ac:dyDescent="0.3">
      <c r="A1485" s="26">
        <v>46775</v>
      </c>
      <c r="B1485" s="27">
        <f t="shared" si="115"/>
        <v>2028</v>
      </c>
      <c r="C1485" s="27">
        <f t="shared" si="116"/>
        <v>1</v>
      </c>
      <c r="D1485" s="27">
        <f t="shared" si="117"/>
        <v>23</v>
      </c>
      <c r="E1485" s="27">
        <f t="shared" si="118"/>
        <v>1</v>
      </c>
      <c r="F1485" s="27">
        <f>VLOOKUP(E1485,[1]t_calendarioPolitica!A:C,3,FALSE)</f>
        <v>0</v>
      </c>
      <c r="G1485" s="1">
        <v>1</v>
      </c>
      <c r="H1485" s="1">
        <v>1</v>
      </c>
      <c r="I1485" s="1">
        <f t="shared" si="119"/>
        <v>0</v>
      </c>
    </row>
    <row r="1486" spans="1:9" x14ac:dyDescent="0.3">
      <c r="A1486" s="26">
        <v>46776</v>
      </c>
      <c r="B1486" s="27">
        <f t="shared" si="115"/>
        <v>2028</v>
      </c>
      <c r="C1486" s="27">
        <f t="shared" si="116"/>
        <v>1</v>
      </c>
      <c r="D1486" s="27">
        <f t="shared" si="117"/>
        <v>24</v>
      </c>
      <c r="E1486" s="27">
        <f t="shared" si="118"/>
        <v>2</v>
      </c>
      <c r="F1486" s="27">
        <f>VLOOKUP(E1486,[1]t_calendarioPolitica!A:C,3,FALSE)</f>
        <v>1</v>
      </c>
      <c r="G1486" s="1">
        <v>1</v>
      </c>
      <c r="H1486" s="1">
        <v>1</v>
      </c>
      <c r="I1486" s="1">
        <f t="shared" si="119"/>
        <v>1</v>
      </c>
    </row>
    <row r="1487" spans="1:9" x14ac:dyDescent="0.3">
      <c r="A1487" s="26">
        <v>46777</v>
      </c>
      <c r="B1487" s="27">
        <f t="shared" si="115"/>
        <v>2028</v>
      </c>
      <c r="C1487" s="27">
        <f t="shared" si="116"/>
        <v>1</v>
      </c>
      <c r="D1487" s="27">
        <f t="shared" si="117"/>
        <v>25</v>
      </c>
      <c r="E1487" s="27">
        <f t="shared" si="118"/>
        <v>3</v>
      </c>
      <c r="F1487" s="27">
        <f>VLOOKUP(E1487,[1]t_calendarioPolitica!A:C,3,FALSE)</f>
        <v>1</v>
      </c>
      <c r="G1487" s="1">
        <v>1</v>
      </c>
      <c r="H1487" s="1">
        <v>1</v>
      </c>
      <c r="I1487" s="1">
        <f t="shared" si="119"/>
        <v>1</v>
      </c>
    </row>
    <row r="1488" spans="1:9" x14ac:dyDescent="0.3">
      <c r="A1488" s="26">
        <v>46778</v>
      </c>
      <c r="B1488" s="27">
        <f t="shared" si="115"/>
        <v>2028</v>
      </c>
      <c r="C1488" s="27">
        <f t="shared" si="116"/>
        <v>1</v>
      </c>
      <c r="D1488" s="27">
        <f t="shared" si="117"/>
        <v>26</v>
      </c>
      <c r="E1488" s="27">
        <f t="shared" si="118"/>
        <v>4</v>
      </c>
      <c r="F1488" s="27">
        <f>VLOOKUP(E1488,[1]t_calendarioPolitica!A:C,3,FALSE)</f>
        <v>1</v>
      </c>
      <c r="G1488" s="1">
        <v>1</v>
      </c>
      <c r="H1488" s="1">
        <v>1</v>
      </c>
      <c r="I1488" s="1">
        <f t="shared" si="119"/>
        <v>1</v>
      </c>
    </row>
    <row r="1489" spans="1:9" x14ac:dyDescent="0.3">
      <c r="A1489" s="26">
        <v>46779</v>
      </c>
      <c r="B1489" s="27">
        <f t="shared" si="115"/>
        <v>2028</v>
      </c>
      <c r="C1489" s="27">
        <f t="shared" si="116"/>
        <v>1</v>
      </c>
      <c r="D1489" s="27">
        <f t="shared" si="117"/>
        <v>27</v>
      </c>
      <c r="E1489" s="27">
        <f t="shared" si="118"/>
        <v>5</v>
      </c>
      <c r="F1489" s="27">
        <f>VLOOKUP(E1489,[1]t_calendarioPolitica!A:C,3,FALSE)</f>
        <v>1</v>
      </c>
      <c r="G1489" s="1">
        <v>1</v>
      </c>
      <c r="H1489" s="1">
        <v>1</v>
      </c>
      <c r="I1489" s="1">
        <f t="shared" si="119"/>
        <v>1</v>
      </c>
    </row>
    <row r="1490" spans="1:9" x14ac:dyDescent="0.3">
      <c r="A1490" s="26">
        <v>46780</v>
      </c>
      <c r="B1490" s="27">
        <f t="shared" si="115"/>
        <v>2028</v>
      </c>
      <c r="C1490" s="27">
        <f t="shared" si="116"/>
        <v>1</v>
      </c>
      <c r="D1490" s="27">
        <f t="shared" si="117"/>
        <v>28</v>
      </c>
      <c r="E1490" s="27">
        <f t="shared" si="118"/>
        <v>6</v>
      </c>
      <c r="F1490" s="27">
        <f>VLOOKUP(E1490,[1]t_calendarioPolitica!A:C,3,FALSE)</f>
        <v>1</v>
      </c>
      <c r="G1490" s="1">
        <v>1</v>
      </c>
      <c r="H1490" s="1">
        <v>1</v>
      </c>
      <c r="I1490" s="1">
        <f t="shared" si="119"/>
        <v>1</v>
      </c>
    </row>
    <row r="1491" spans="1:9" x14ac:dyDescent="0.3">
      <c r="A1491" s="26">
        <v>46781</v>
      </c>
      <c r="B1491" s="27">
        <f t="shared" si="115"/>
        <v>2028</v>
      </c>
      <c r="C1491" s="27">
        <f t="shared" si="116"/>
        <v>1</v>
      </c>
      <c r="D1491" s="27">
        <f t="shared" si="117"/>
        <v>29</v>
      </c>
      <c r="E1491" s="27">
        <f t="shared" si="118"/>
        <v>7</v>
      </c>
      <c r="F1491" s="27">
        <f>VLOOKUP(E1491,[1]t_calendarioPolitica!A:C,3,FALSE)</f>
        <v>2</v>
      </c>
      <c r="G1491" s="1">
        <v>1</v>
      </c>
      <c r="H1491" s="1">
        <v>1</v>
      </c>
      <c r="I1491" s="1">
        <f t="shared" si="119"/>
        <v>1</v>
      </c>
    </row>
    <row r="1492" spans="1:9" x14ac:dyDescent="0.3">
      <c r="A1492" s="26">
        <v>46782</v>
      </c>
      <c r="B1492" s="27">
        <f t="shared" si="115"/>
        <v>2028</v>
      </c>
      <c r="C1492" s="27">
        <f t="shared" si="116"/>
        <v>1</v>
      </c>
      <c r="D1492" s="27">
        <f t="shared" si="117"/>
        <v>30</v>
      </c>
      <c r="E1492" s="27">
        <f t="shared" si="118"/>
        <v>1</v>
      </c>
      <c r="F1492" s="27">
        <f>VLOOKUP(E1492,[1]t_calendarioPolitica!A:C,3,FALSE)</f>
        <v>0</v>
      </c>
      <c r="G1492" s="1">
        <v>1</v>
      </c>
      <c r="H1492" s="1">
        <v>1</v>
      </c>
      <c r="I1492" s="1">
        <f t="shared" si="119"/>
        <v>0</v>
      </c>
    </row>
    <row r="1493" spans="1:9" x14ac:dyDescent="0.3">
      <c r="A1493" s="26">
        <v>46783</v>
      </c>
      <c r="B1493" s="27">
        <f t="shared" si="115"/>
        <v>2028</v>
      </c>
      <c r="C1493" s="27">
        <f t="shared" si="116"/>
        <v>1</v>
      </c>
      <c r="D1493" s="27">
        <f t="shared" si="117"/>
        <v>31</v>
      </c>
      <c r="E1493" s="27">
        <f t="shared" si="118"/>
        <v>2</v>
      </c>
      <c r="F1493" s="27">
        <f>VLOOKUP(E1493,[1]t_calendarioPolitica!A:C,3,FALSE)</f>
        <v>1</v>
      </c>
      <c r="G1493" s="1">
        <v>1</v>
      </c>
      <c r="H1493" s="1">
        <v>1</v>
      </c>
      <c r="I1493" s="1">
        <f t="shared" si="119"/>
        <v>1</v>
      </c>
    </row>
    <row r="1494" spans="1:9" x14ac:dyDescent="0.3">
      <c r="A1494" s="26">
        <v>46784</v>
      </c>
      <c r="B1494" s="27">
        <f t="shared" si="115"/>
        <v>2028</v>
      </c>
      <c r="C1494" s="27">
        <f t="shared" si="116"/>
        <v>2</v>
      </c>
      <c r="D1494" s="27">
        <f t="shared" si="117"/>
        <v>1</v>
      </c>
      <c r="E1494" s="27">
        <f t="shared" si="118"/>
        <v>3</v>
      </c>
      <c r="F1494" s="27">
        <f>VLOOKUP(E1494,[1]t_calendarioPolitica!A:C,3,FALSE)</f>
        <v>1</v>
      </c>
      <c r="G1494" s="1">
        <v>1</v>
      </c>
      <c r="H1494" s="1">
        <v>1</v>
      </c>
      <c r="I1494" s="1">
        <f t="shared" si="119"/>
        <v>1</v>
      </c>
    </row>
    <row r="1495" spans="1:9" x14ac:dyDescent="0.3">
      <c r="A1495" s="26">
        <v>46785</v>
      </c>
      <c r="B1495" s="27">
        <f t="shared" si="115"/>
        <v>2028</v>
      </c>
      <c r="C1495" s="27">
        <f t="shared" si="116"/>
        <v>2</v>
      </c>
      <c r="D1495" s="27">
        <f t="shared" si="117"/>
        <v>2</v>
      </c>
      <c r="E1495" s="27">
        <f t="shared" si="118"/>
        <v>4</v>
      </c>
      <c r="F1495" s="27">
        <f>VLOOKUP(E1495,[1]t_calendarioPolitica!A:C,3,FALSE)</f>
        <v>1</v>
      </c>
      <c r="G1495" s="1">
        <v>1</v>
      </c>
      <c r="H1495" s="1">
        <v>1</v>
      </c>
      <c r="I1495" s="1">
        <f t="shared" si="119"/>
        <v>1</v>
      </c>
    </row>
    <row r="1496" spans="1:9" x14ac:dyDescent="0.3">
      <c r="A1496" s="26">
        <v>46786</v>
      </c>
      <c r="B1496" s="27">
        <f t="shared" si="115"/>
        <v>2028</v>
      </c>
      <c r="C1496" s="27">
        <f t="shared" si="116"/>
        <v>2</v>
      </c>
      <c r="D1496" s="27">
        <f t="shared" si="117"/>
        <v>3</v>
      </c>
      <c r="E1496" s="27">
        <f t="shared" si="118"/>
        <v>5</v>
      </c>
      <c r="F1496" s="27">
        <f>VLOOKUP(E1496,[1]t_calendarioPolitica!A:C,3,FALSE)</f>
        <v>1</v>
      </c>
      <c r="G1496" s="1">
        <v>1</v>
      </c>
      <c r="H1496" s="1">
        <v>1</v>
      </c>
      <c r="I1496" s="1">
        <f t="shared" si="119"/>
        <v>1</v>
      </c>
    </row>
    <row r="1497" spans="1:9" x14ac:dyDescent="0.3">
      <c r="A1497" s="26">
        <v>46787</v>
      </c>
      <c r="B1497" s="27">
        <f t="shared" si="115"/>
        <v>2028</v>
      </c>
      <c r="C1497" s="27">
        <f t="shared" si="116"/>
        <v>2</v>
      </c>
      <c r="D1497" s="27">
        <f t="shared" si="117"/>
        <v>4</v>
      </c>
      <c r="E1497" s="27">
        <f t="shared" si="118"/>
        <v>6</v>
      </c>
      <c r="F1497" s="27">
        <f>VLOOKUP(E1497,[1]t_calendarioPolitica!A:C,3,FALSE)</f>
        <v>1</v>
      </c>
      <c r="G1497" s="1">
        <v>1</v>
      </c>
      <c r="H1497" s="1">
        <v>1</v>
      </c>
      <c r="I1497" s="1">
        <f t="shared" si="119"/>
        <v>1</v>
      </c>
    </row>
    <row r="1498" spans="1:9" x14ac:dyDescent="0.3">
      <c r="A1498" s="26">
        <v>46788</v>
      </c>
      <c r="B1498" s="27">
        <f t="shared" si="115"/>
        <v>2028</v>
      </c>
      <c r="C1498" s="27">
        <f t="shared" si="116"/>
        <v>2</v>
      </c>
      <c r="D1498" s="27">
        <f t="shared" si="117"/>
        <v>5</v>
      </c>
      <c r="E1498" s="27">
        <f t="shared" si="118"/>
        <v>7</v>
      </c>
      <c r="F1498" s="27">
        <f>VLOOKUP(E1498,[1]t_calendarioPolitica!A:C,3,FALSE)</f>
        <v>2</v>
      </c>
      <c r="G1498" s="1">
        <v>1</v>
      </c>
      <c r="H1498" s="1">
        <v>1</v>
      </c>
      <c r="I1498" s="1">
        <f t="shared" si="119"/>
        <v>1</v>
      </c>
    </row>
    <row r="1499" spans="1:9" x14ac:dyDescent="0.3">
      <c r="A1499" s="26">
        <v>46789</v>
      </c>
      <c r="B1499" s="27">
        <f t="shared" si="115"/>
        <v>2028</v>
      </c>
      <c r="C1499" s="27">
        <f t="shared" si="116"/>
        <v>2</v>
      </c>
      <c r="D1499" s="27">
        <f t="shared" si="117"/>
        <v>6</v>
      </c>
      <c r="E1499" s="27">
        <f t="shared" si="118"/>
        <v>1</v>
      </c>
      <c r="F1499" s="27">
        <f>VLOOKUP(E1499,[1]t_calendarioPolitica!A:C,3,FALSE)</f>
        <v>0</v>
      </c>
      <c r="G1499" s="1">
        <v>1</v>
      </c>
      <c r="H1499" s="1">
        <v>1</v>
      </c>
      <c r="I1499" s="1">
        <f t="shared" si="119"/>
        <v>0</v>
      </c>
    </row>
    <row r="1500" spans="1:9" x14ac:dyDescent="0.3">
      <c r="A1500" s="26">
        <v>46790</v>
      </c>
      <c r="B1500" s="27">
        <f t="shared" si="115"/>
        <v>2028</v>
      </c>
      <c r="C1500" s="27">
        <f t="shared" si="116"/>
        <v>2</v>
      </c>
      <c r="D1500" s="27">
        <f t="shared" si="117"/>
        <v>7</v>
      </c>
      <c r="E1500" s="27">
        <f t="shared" si="118"/>
        <v>2</v>
      </c>
      <c r="F1500" s="27">
        <f>VLOOKUP(E1500,[1]t_calendarioPolitica!A:C,3,FALSE)</f>
        <v>1</v>
      </c>
      <c r="G1500" s="1">
        <v>1</v>
      </c>
      <c r="H1500" s="1">
        <v>1</v>
      </c>
      <c r="I1500" s="1">
        <f t="shared" si="119"/>
        <v>1</v>
      </c>
    </row>
    <row r="1501" spans="1:9" x14ac:dyDescent="0.3">
      <c r="A1501" s="26">
        <v>46791</v>
      </c>
      <c r="B1501" s="27">
        <f t="shared" si="115"/>
        <v>2028</v>
      </c>
      <c r="C1501" s="27">
        <f t="shared" si="116"/>
        <v>2</v>
      </c>
      <c r="D1501" s="27">
        <f t="shared" si="117"/>
        <v>8</v>
      </c>
      <c r="E1501" s="27">
        <f t="shared" si="118"/>
        <v>3</v>
      </c>
      <c r="F1501" s="27">
        <f>VLOOKUP(E1501,[1]t_calendarioPolitica!A:C,3,FALSE)</f>
        <v>1</v>
      </c>
      <c r="G1501" s="1">
        <v>1</v>
      </c>
      <c r="H1501" s="1">
        <v>1</v>
      </c>
      <c r="I1501" s="1">
        <f t="shared" si="119"/>
        <v>1</v>
      </c>
    </row>
    <row r="1502" spans="1:9" x14ac:dyDescent="0.3">
      <c r="A1502" s="26">
        <v>46792</v>
      </c>
      <c r="B1502" s="27">
        <f t="shared" si="115"/>
        <v>2028</v>
      </c>
      <c r="C1502" s="27">
        <f t="shared" si="116"/>
        <v>2</v>
      </c>
      <c r="D1502" s="27">
        <f t="shared" si="117"/>
        <v>9</v>
      </c>
      <c r="E1502" s="27">
        <f t="shared" si="118"/>
        <v>4</v>
      </c>
      <c r="F1502" s="27">
        <f>VLOOKUP(E1502,[1]t_calendarioPolitica!A:C,3,FALSE)</f>
        <v>1</v>
      </c>
      <c r="G1502" s="1">
        <v>1</v>
      </c>
      <c r="H1502" s="1">
        <v>1</v>
      </c>
      <c r="I1502" s="1">
        <f t="shared" si="119"/>
        <v>1</v>
      </c>
    </row>
    <row r="1503" spans="1:9" x14ac:dyDescent="0.3">
      <c r="A1503" s="26">
        <v>46793</v>
      </c>
      <c r="B1503" s="27">
        <f t="shared" si="115"/>
        <v>2028</v>
      </c>
      <c r="C1503" s="27">
        <f t="shared" si="116"/>
        <v>2</v>
      </c>
      <c r="D1503" s="27">
        <f t="shared" si="117"/>
        <v>10</v>
      </c>
      <c r="E1503" s="27">
        <f t="shared" si="118"/>
        <v>5</v>
      </c>
      <c r="F1503" s="27">
        <f>VLOOKUP(E1503,[1]t_calendarioPolitica!A:C,3,FALSE)</f>
        <v>1</v>
      </c>
      <c r="G1503" s="1">
        <v>1</v>
      </c>
      <c r="H1503" s="1">
        <v>1</v>
      </c>
      <c r="I1503" s="1">
        <f t="shared" si="119"/>
        <v>1</v>
      </c>
    </row>
    <row r="1504" spans="1:9" x14ac:dyDescent="0.3">
      <c r="A1504" s="26">
        <v>46794</v>
      </c>
      <c r="B1504" s="27">
        <f t="shared" si="115"/>
        <v>2028</v>
      </c>
      <c r="C1504" s="27">
        <f t="shared" si="116"/>
        <v>2</v>
      </c>
      <c r="D1504" s="27">
        <f t="shared" si="117"/>
        <v>11</v>
      </c>
      <c r="E1504" s="27">
        <f t="shared" si="118"/>
        <v>6</v>
      </c>
      <c r="F1504" s="27">
        <f>VLOOKUP(E1504,[1]t_calendarioPolitica!A:C,3,FALSE)</f>
        <v>1</v>
      </c>
      <c r="G1504" s="1">
        <v>1</v>
      </c>
      <c r="H1504" s="1">
        <v>1</v>
      </c>
      <c r="I1504" s="1">
        <f t="shared" si="119"/>
        <v>1</v>
      </c>
    </row>
    <row r="1505" spans="1:9" x14ac:dyDescent="0.3">
      <c r="A1505" s="26">
        <v>46795</v>
      </c>
      <c r="B1505" s="27">
        <f t="shared" si="115"/>
        <v>2028</v>
      </c>
      <c r="C1505" s="27">
        <f t="shared" si="116"/>
        <v>2</v>
      </c>
      <c r="D1505" s="27">
        <f t="shared" si="117"/>
        <v>12</v>
      </c>
      <c r="E1505" s="27">
        <f t="shared" si="118"/>
        <v>7</v>
      </c>
      <c r="F1505" s="27">
        <f>VLOOKUP(E1505,[1]t_calendarioPolitica!A:C,3,FALSE)</f>
        <v>2</v>
      </c>
      <c r="G1505" s="1">
        <v>1</v>
      </c>
      <c r="H1505" s="1">
        <v>1</v>
      </c>
      <c r="I1505" s="1">
        <f t="shared" si="119"/>
        <v>1</v>
      </c>
    </row>
    <row r="1506" spans="1:9" x14ac:dyDescent="0.3">
      <c r="A1506" s="26">
        <v>46796</v>
      </c>
      <c r="B1506" s="27">
        <f t="shared" si="115"/>
        <v>2028</v>
      </c>
      <c r="C1506" s="27">
        <f t="shared" si="116"/>
        <v>2</v>
      </c>
      <c r="D1506" s="27">
        <f t="shared" si="117"/>
        <v>13</v>
      </c>
      <c r="E1506" s="27">
        <f t="shared" si="118"/>
        <v>1</v>
      </c>
      <c r="F1506" s="27">
        <f>VLOOKUP(E1506,[1]t_calendarioPolitica!A:C,3,FALSE)</f>
        <v>0</v>
      </c>
      <c r="G1506" s="1">
        <v>1</v>
      </c>
      <c r="H1506" s="1">
        <v>1</v>
      </c>
      <c r="I1506" s="1">
        <f t="shared" si="119"/>
        <v>0</v>
      </c>
    </row>
    <row r="1507" spans="1:9" x14ac:dyDescent="0.3">
      <c r="A1507" s="26">
        <v>46797</v>
      </c>
      <c r="B1507" s="27">
        <f t="shared" si="115"/>
        <v>2028</v>
      </c>
      <c r="C1507" s="27">
        <f t="shared" si="116"/>
        <v>2</v>
      </c>
      <c r="D1507" s="27">
        <f t="shared" si="117"/>
        <v>14</v>
      </c>
      <c r="E1507" s="27">
        <f t="shared" si="118"/>
        <v>2</v>
      </c>
      <c r="F1507" s="27">
        <f>VLOOKUP(E1507,[1]t_calendarioPolitica!A:C,3,FALSE)</f>
        <v>1</v>
      </c>
      <c r="G1507" s="1">
        <v>1</v>
      </c>
      <c r="H1507" s="1">
        <v>1</v>
      </c>
      <c r="I1507" s="1">
        <f t="shared" si="119"/>
        <v>1</v>
      </c>
    </row>
    <row r="1508" spans="1:9" x14ac:dyDescent="0.3">
      <c r="A1508" s="26">
        <v>46798</v>
      </c>
      <c r="B1508" s="27">
        <f t="shared" si="115"/>
        <v>2028</v>
      </c>
      <c r="C1508" s="27">
        <f t="shared" si="116"/>
        <v>2</v>
      </c>
      <c r="D1508" s="27">
        <f t="shared" si="117"/>
        <v>15</v>
      </c>
      <c r="E1508" s="27">
        <f t="shared" si="118"/>
        <v>3</v>
      </c>
      <c r="F1508" s="27">
        <f>VLOOKUP(E1508,[1]t_calendarioPolitica!A:C,3,FALSE)</f>
        <v>1</v>
      </c>
      <c r="G1508" s="1">
        <v>1</v>
      </c>
      <c r="H1508" s="1">
        <v>1</v>
      </c>
      <c r="I1508" s="1">
        <f t="shared" si="119"/>
        <v>1</v>
      </c>
    </row>
    <row r="1509" spans="1:9" x14ac:dyDescent="0.3">
      <c r="A1509" s="26">
        <v>46799</v>
      </c>
      <c r="B1509" s="27">
        <f t="shared" si="115"/>
        <v>2028</v>
      </c>
      <c r="C1509" s="27">
        <f t="shared" si="116"/>
        <v>2</v>
      </c>
      <c r="D1509" s="27">
        <f t="shared" si="117"/>
        <v>16</v>
      </c>
      <c r="E1509" s="27">
        <f t="shared" si="118"/>
        <v>4</v>
      </c>
      <c r="F1509" s="27">
        <f>VLOOKUP(E1509,[1]t_calendarioPolitica!A:C,3,FALSE)</f>
        <v>1</v>
      </c>
      <c r="G1509" s="1">
        <v>1</v>
      </c>
      <c r="H1509" s="1">
        <v>1</v>
      </c>
      <c r="I1509" s="1">
        <f t="shared" si="119"/>
        <v>1</v>
      </c>
    </row>
    <row r="1510" spans="1:9" x14ac:dyDescent="0.3">
      <c r="A1510" s="26">
        <v>46800</v>
      </c>
      <c r="B1510" s="27">
        <f t="shared" si="115"/>
        <v>2028</v>
      </c>
      <c r="C1510" s="27">
        <f t="shared" si="116"/>
        <v>2</v>
      </c>
      <c r="D1510" s="27">
        <f t="shared" si="117"/>
        <v>17</v>
      </c>
      <c r="E1510" s="27">
        <f t="shared" si="118"/>
        <v>5</v>
      </c>
      <c r="F1510" s="27">
        <f>VLOOKUP(E1510,[1]t_calendarioPolitica!A:C,3,FALSE)</f>
        <v>1</v>
      </c>
      <c r="G1510" s="1">
        <v>1</v>
      </c>
      <c r="H1510" s="1">
        <v>1</v>
      </c>
      <c r="I1510" s="1">
        <f t="shared" si="119"/>
        <v>1</v>
      </c>
    </row>
    <row r="1511" spans="1:9" x14ac:dyDescent="0.3">
      <c r="A1511" s="26">
        <v>46801</v>
      </c>
      <c r="B1511" s="27">
        <f t="shared" si="115"/>
        <v>2028</v>
      </c>
      <c r="C1511" s="27">
        <f t="shared" si="116"/>
        <v>2</v>
      </c>
      <c r="D1511" s="27">
        <f t="shared" si="117"/>
        <v>18</v>
      </c>
      <c r="E1511" s="27">
        <f t="shared" si="118"/>
        <v>6</v>
      </c>
      <c r="F1511" s="27">
        <f>VLOOKUP(E1511,[1]t_calendarioPolitica!A:C,3,FALSE)</f>
        <v>1</v>
      </c>
      <c r="G1511" s="1">
        <v>1</v>
      </c>
      <c r="H1511" s="1">
        <v>1</v>
      </c>
      <c r="I1511" s="1">
        <f t="shared" si="119"/>
        <v>1</v>
      </c>
    </row>
    <row r="1512" spans="1:9" x14ac:dyDescent="0.3">
      <c r="A1512" s="26">
        <v>46802</v>
      </c>
      <c r="B1512" s="27">
        <f t="shared" si="115"/>
        <v>2028</v>
      </c>
      <c r="C1512" s="27">
        <f t="shared" si="116"/>
        <v>2</v>
      </c>
      <c r="D1512" s="27">
        <f t="shared" si="117"/>
        <v>19</v>
      </c>
      <c r="E1512" s="27">
        <f t="shared" si="118"/>
        <v>7</v>
      </c>
      <c r="F1512" s="27">
        <f>VLOOKUP(E1512,[1]t_calendarioPolitica!A:C,3,FALSE)</f>
        <v>2</v>
      </c>
      <c r="G1512" s="1">
        <v>1</v>
      </c>
      <c r="H1512" s="1">
        <v>1</v>
      </c>
      <c r="I1512" s="1">
        <f t="shared" si="119"/>
        <v>1</v>
      </c>
    </row>
    <row r="1513" spans="1:9" x14ac:dyDescent="0.3">
      <c r="A1513" s="26">
        <v>46803</v>
      </c>
      <c r="B1513" s="27">
        <f t="shared" si="115"/>
        <v>2028</v>
      </c>
      <c r="C1513" s="27">
        <f t="shared" si="116"/>
        <v>2</v>
      </c>
      <c r="D1513" s="27">
        <f t="shared" si="117"/>
        <v>20</v>
      </c>
      <c r="E1513" s="27">
        <f t="shared" si="118"/>
        <v>1</v>
      </c>
      <c r="F1513" s="27">
        <f>VLOOKUP(E1513,[1]t_calendarioPolitica!A:C,3,FALSE)</f>
        <v>0</v>
      </c>
      <c r="G1513" s="1">
        <v>1</v>
      </c>
      <c r="H1513" s="1">
        <v>1</v>
      </c>
      <c r="I1513" s="1">
        <f t="shared" si="119"/>
        <v>0</v>
      </c>
    </row>
    <row r="1514" spans="1:9" x14ac:dyDescent="0.3">
      <c r="A1514" s="26">
        <v>46804</v>
      </c>
      <c r="B1514" s="27">
        <f t="shared" si="115"/>
        <v>2028</v>
      </c>
      <c r="C1514" s="27">
        <f t="shared" si="116"/>
        <v>2</v>
      </c>
      <c r="D1514" s="27">
        <f t="shared" si="117"/>
        <v>21</v>
      </c>
      <c r="E1514" s="27">
        <f t="shared" si="118"/>
        <v>2</v>
      </c>
      <c r="F1514" s="27">
        <f>VLOOKUP(E1514,[1]t_calendarioPolitica!A:C,3,FALSE)</f>
        <v>1</v>
      </c>
      <c r="G1514" s="1">
        <v>1</v>
      </c>
      <c r="H1514" s="1">
        <v>1</v>
      </c>
      <c r="I1514" s="1">
        <f t="shared" si="119"/>
        <v>1</v>
      </c>
    </row>
    <row r="1515" spans="1:9" x14ac:dyDescent="0.3">
      <c r="A1515" s="26">
        <v>46805</v>
      </c>
      <c r="B1515" s="27">
        <f t="shared" si="115"/>
        <v>2028</v>
      </c>
      <c r="C1515" s="27">
        <f t="shared" si="116"/>
        <v>2</v>
      </c>
      <c r="D1515" s="27">
        <f t="shared" si="117"/>
        <v>22</v>
      </c>
      <c r="E1515" s="27">
        <f t="shared" si="118"/>
        <v>3</v>
      </c>
      <c r="F1515" s="27">
        <f>VLOOKUP(E1515,[1]t_calendarioPolitica!A:C,3,FALSE)</f>
        <v>1</v>
      </c>
      <c r="G1515" s="1">
        <v>1</v>
      </c>
      <c r="H1515" s="1">
        <v>1</v>
      </c>
      <c r="I1515" s="1">
        <f t="shared" si="119"/>
        <v>1</v>
      </c>
    </row>
    <row r="1516" spans="1:9" x14ac:dyDescent="0.3">
      <c r="A1516" s="26">
        <v>46806</v>
      </c>
      <c r="B1516" s="27">
        <f t="shared" si="115"/>
        <v>2028</v>
      </c>
      <c r="C1516" s="27">
        <f t="shared" si="116"/>
        <v>2</v>
      </c>
      <c r="D1516" s="27">
        <f t="shared" si="117"/>
        <v>23</v>
      </c>
      <c r="E1516" s="27">
        <f t="shared" si="118"/>
        <v>4</v>
      </c>
      <c r="F1516" s="27">
        <f>VLOOKUP(E1516,[1]t_calendarioPolitica!A:C,3,FALSE)</f>
        <v>1</v>
      </c>
      <c r="G1516" s="1">
        <v>1</v>
      </c>
      <c r="H1516" s="1">
        <v>1</v>
      </c>
      <c r="I1516" s="1">
        <f t="shared" si="119"/>
        <v>1</v>
      </c>
    </row>
    <row r="1517" spans="1:9" x14ac:dyDescent="0.3">
      <c r="A1517" s="26">
        <v>46807</v>
      </c>
      <c r="B1517" s="27">
        <f t="shared" si="115"/>
        <v>2028</v>
      </c>
      <c r="C1517" s="27">
        <f t="shared" si="116"/>
        <v>2</v>
      </c>
      <c r="D1517" s="27">
        <f t="shared" si="117"/>
        <v>24</v>
      </c>
      <c r="E1517" s="27">
        <f t="shared" si="118"/>
        <v>5</v>
      </c>
      <c r="F1517" s="27">
        <f>VLOOKUP(E1517,[1]t_calendarioPolitica!A:C,3,FALSE)</f>
        <v>1</v>
      </c>
      <c r="G1517" s="1">
        <v>1</v>
      </c>
      <c r="H1517" s="1">
        <v>1</v>
      </c>
      <c r="I1517" s="1">
        <f t="shared" si="119"/>
        <v>1</v>
      </c>
    </row>
    <row r="1518" spans="1:9" x14ac:dyDescent="0.3">
      <c r="A1518" s="26">
        <v>46808</v>
      </c>
      <c r="B1518" s="27">
        <f t="shared" si="115"/>
        <v>2028</v>
      </c>
      <c r="C1518" s="27">
        <f t="shared" si="116"/>
        <v>2</v>
      </c>
      <c r="D1518" s="27">
        <f t="shared" si="117"/>
        <v>25</v>
      </c>
      <c r="E1518" s="27">
        <f t="shared" si="118"/>
        <v>6</v>
      </c>
      <c r="F1518" s="27">
        <f>VLOOKUP(E1518,[1]t_calendarioPolitica!A:C,3,FALSE)</f>
        <v>1</v>
      </c>
      <c r="G1518" s="1">
        <v>1</v>
      </c>
      <c r="H1518" s="1">
        <v>1</v>
      </c>
      <c r="I1518" s="1">
        <f t="shared" si="119"/>
        <v>1</v>
      </c>
    </row>
    <row r="1519" spans="1:9" x14ac:dyDescent="0.3">
      <c r="A1519" s="26">
        <v>46809</v>
      </c>
      <c r="B1519" s="27">
        <f t="shared" si="115"/>
        <v>2028</v>
      </c>
      <c r="C1519" s="27">
        <f t="shared" si="116"/>
        <v>2</v>
      </c>
      <c r="D1519" s="27">
        <f t="shared" si="117"/>
        <v>26</v>
      </c>
      <c r="E1519" s="27">
        <f t="shared" si="118"/>
        <v>7</v>
      </c>
      <c r="F1519" s="27">
        <f>VLOOKUP(E1519,[1]t_calendarioPolitica!A:C,3,FALSE)</f>
        <v>2</v>
      </c>
      <c r="G1519" s="1">
        <v>1</v>
      </c>
      <c r="H1519" s="1">
        <v>1</v>
      </c>
      <c r="I1519" s="1">
        <f t="shared" si="119"/>
        <v>1</v>
      </c>
    </row>
    <row r="1520" spans="1:9" x14ac:dyDescent="0.3">
      <c r="A1520" s="26">
        <v>46810</v>
      </c>
      <c r="B1520" s="27">
        <f t="shared" si="115"/>
        <v>2028</v>
      </c>
      <c r="C1520" s="27">
        <f t="shared" si="116"/>
        <v>2</v>
      </c>
      <c r="D1520" s="27">
        <f t="shared" si="117"/>
        <v>27</v>
      </c>
      <c r="E1520" s="27">
        <f t="shared" si="118"/>
        <v>1</v>
      </c>
      <c r="F1520" s="27">
        <f>VLOOKUP(E1520,[1]t_calendarioPolitica!A:C,3,FALSE)</f>
        <v>0</v>
      </c>
      <c r="G1520" s="1">
        <v>1</v>
      </c>
      <c r="H1520" s="1">
        <v>1</v>
      </c>
      <c r="I1520" s="1">
        <f t="shared" si="119"/>
        <v>0</v>
      </c>
    </row>
    <row r="1521" spans="1:9" x14ac:dyDescent="0.3">
      <c r="A1521" s="26">
        <v>46811</v>
      </c>
      <c r="B1521" s="27">
        <f t="shared" si="115"/>
        <v>2028</v>
      </c>
      <c r="C1521" s="27">
        <f t="shared" si="116"/>
        <v>2</v>
      </c>
      <c r="D1521" s="27">
        <f t="shared" si="117"/>
        <v>28</v>
      </c>
      <c r="E1521" s="27">
        <f t="shared" si="118"/>
        <v>2</v>
      </c>
      <c r="F1521" s="27">
        <f>VLOOKUP(E1521,[1]t_calendarioPolitica!A:C,3,FALSE)</f>
        <v>1</v>
      </c>
      <c r="G1521" s="1">
        <v>1</v>
      </c>
      <c r="H1521" s="1">
        <v>1</v>
      </c>
      <c r="I1521" s="1">
        <f t="shared" si="119"/>
        <v>1</v>
      </c>
    </row>
    <row r="1522" spans="1:9" x14ac:dyDescent="0.3">
      <c r="A1522" s="26">
        <v>46812</v>
      </c>
      <c r="B1522" s="27">
        <f t="shared" si="115"/>
        <v>2028</v>
      </c>
      <c r="C1522" s="27">
        <f t="shared" si="116"/>
        <v>2</v>
      </c>
      <c r="D1522" s="27">
        <f t="shared" si="117"/>
        <v>29</v>
      </c>
      <c r="E1522" s="27">
        <f t="shared" si="118"/>
        <v>3</v>
      </c>
      <c r="F1522" s="27">
        <f>VLOOKUP(E1522,[1]t_calendarioPolitica!A:C,3,FALSE)</f>
        <v>1</v>
      </c>
      <c r="G1522" s="1">
        <v>1</v>
      </c>
      <c r="H1522" s="1">
        <v>1</v>
      </c>
      <c r="I1522" s="1">
        <f t="shared" si="119"/>
        <v>1</v>
      </c>
    </row>
    <row r="1523" spans="1:9" x14ac:dyDescent="0.3">
      <c r="A1523" s="26">
        <v>46813</v>
      </c>
      <c r="B1523" s="27">
        <f t="shared" si="115"/>
        <v>2028</v>
      </c>
      <c r="C1523" s="27">
        <f t="shared" si="116"/>
        <v>3</v>
      </c>
      <c r="D1523" s="27">
        <f t="shared" si="117"/>
        <v>1</v>
      </c>
      <c r="E1523" s="27">
        <f t="shared" si="118"/>
        <v>4</v>
      </c>
      <c r="F1523" s="27">
        <f>VLOOKUP(E1523,[1]t_calendarioPolitica!A:C,3,FALSE)</f>
        <v>1</v>
      </c>
      <c r="G1523" s="1">
        <v>1</v>
      </c>
      <c r="H1523" s="1">
        <v>1</v>
      </c>
      <c r="I1523" s="1">
        <f t="shared" si="119"/>
        <v>1</v>
      </c>
    </row>
    <row r="1524" spans="1:9" x14ac:dyDescent="0.3">
      <c r="A1524" s="26">
        <v>46814</v>
      </c>
      <c r="B1524" s="27">
        <f t="shared" si="115"/>
        <v>2028</v>
      </c>
      <c r="C1524" s="27">
        <f t="shared" si="116"/>
        <v>3</v>
      </c>
      <c r="D1524" s="27">
        <f t="shared" si="117"/>
        <v>2</v>
      </c>
      <c r="E1524" s="27">
        <f t="shared" si="118"/>
        <v>5</v>
      </c>
      <c r="F1524" s="27">
        <f>VLOOKUP(E1524,[1]t_calendarioPolitica!A:C,3,FALSE)</f>
        <v>1</v>
      </c>
      <c r="G1524" s="1">
        <v>1</v>
      </c>
      <c r="H1524" s="1">
        <v>1</v>
      </c>
      <c r="I1524" s="1">
        <f t="shared" si="119"/>
        <v>1</v>
      </c>
    </row>
    <row r="1525" spans="1:9" x14ac:dyDescent="0.3">
      <c r="A1525" s="26">
        <v>46815</v>
      </c>
      <c r="B1525" s="27">
        <f t="shared" si="115"/>
        <v>2028</v>
      </c>
      <c r="C1525" s="27">
        <f t="shared" si="116"/>
        <v>3</v>
      </c>
      <c r="D1525" s="27">
        <f t="shared" si="117"/>
        <v>3</v>
      </c>
      <c r="E1525" s="27">
        <f t="shared" si="118"/>
        <v>6</v>
      </c>
      <c r="F1525" s="27">
        <f>VLOOKUP(E1525,[1]t_calendarioPolitica!A:C,3,FALSE)</f>
        <v>1</v>
      </c>
      <c r="G1525" s="1">
        <v>1</v>
      </c>
      <c r="H1525" s="1">
        <v>1</v>
      </c>
      <c r="I1525" s="1">
        <f t="shared" si="119"/>
        <v>1</v>
      </c>
    </row>
    <row r="1526" spans="1:9" x14ac:dyDescent="0.3">
      <c r="A1526" s="26">
        <v>46816</v>
      </c>
      <c r="B1526" s="27">
        <f t="shared" si="115"/>
        <v>2028</v>
      </c>
      <c r="C1526" s="27">
        <f t="shared" si="116"/>
        <v>3</v>
      </c>
      <c r="D1526" s="27">
        <f t="shared" si="117"/>
        <v>4</v>
      </c>
      <c r="E1526" s="27">
        <f t="shared" si="118"/>
        <v>7</v>
      </c>
      <c r="F1526" s="27">
        <f>VLOOKUP(E1526,[1]t_calendarioPolitica!A:C,3,FALSE)</f>
        <v>2</v>
      </c>
      <c r="G1526" s="1">
        <v>1</v>
      </c>
      <c r="H1526" s="1">
        <v>1</v>
      </c>
      <c r="I1526" s="1">
        <f t="shared" si="119"/>
        <v>1</v>
      </c>
    </row>
    <row r="1527" spans="1:9" x14ac:dyDescent="0.3">
      <c r="A1527" s="26">
        <v>46817</v>
      </c>
      <c r="B1527" s="27">
        <f t="shared" si="115"/>
        <v>2028</v>
      </c>
      <c r="C1527" s="27">
        <f t="shared" si="116"/>
        <v>3</v>
      </c>
      <c r="D1527" s="27">
        <f t="shared" si="117"/>
        <v>5</v>
      </c>
      <c r="E1527" s="27">
        <f t="shared" si="118"/>
        <v>1</v>
      </c>
      <c r="F1527" s="27">
        <f>VLOOKUP(E1527,[1]t_calendarioPolitica!A:C,3,FALSE)</f>
        <v>0</v>
      </c>
      <c r="G1527" s="1">
        <v>1</v>
      </c>
      <c r="H1527" s="1">
        <v>1</v>
      </c>
      <c r="I1527" s="1">
        <f t="shared" si="119"/>
        <v>0</v>
      </c>
    </row>
    <row r="1528" spans="1:9" x14ac:dyDescent="0.3">
      <c r="A1528" s="26">
        <v>46818</v>
      </c>
      <c r="B1528" s="27">
        <f t="shared" si="115"/>
        <v>2028</v>
      </c>
      <c r="C1528" s="27">
        <f t="shared" si="116"/>
        <v>3</v>
      </c>
      <c r="D1528" s="27">
        <f t="shared" si="117"/>
        <v>6</v>
      </c>
      <c r="E1528" s="27">
        <f t="shared" si="118"/>
        <v>2</v>
      </c>
      <c r="F1528" s="27">
        <f>VLOOKUP(E1528,[1]t_calendarioPolitica!A:C,3,FALSE)</f>
        <v>1</v>
      </c>
      <c r="G1528" s="1">
        <v>1</v>
      </c>
      <c r="H1528" s="1">
        <v>1</v>
      </c>
      <c r="I1528" s="1">
        <f t="shared" si="119"/>
        <v>1</v>
      </c>
    </row>
    <row r="1529" spans="1:9" x14ac:dyDescent="0.3">
      <c r="A1529" s="26">
        <v>46819</v>
      </c>
      <c r="B1529" s="27">
        <f t="shared" si="115"/>
        <v>2028</v>
      </c>
      <c r="C1529" s="27">
        <f t="shared" si="116"/>
        <v>3</v>
      </c>
      <c r="D1529" s="27">
        <f t="shared" si="117"/>
        <v>7</v>
      </c>
      <c r="E1529" s="27">
        <f t="shared" si="118"/>
        <v>3</v>
      </c>
      <c r="F1529" s="27">
        <f>VLOOKUP(E1529,[1]t_calendarioPolitica!A:C,3,FALSE)</f>
        <v>1</v>
      </c>
      <c r="G1529" s="1">
        <v>1</v>
      </c>
      <c r="H1529" s="1">
        <v>1</v>
      </c>
      <c r="I1529" s="1">
        <f t="shared" si="119"/>
        <v>1</v>
      </c>
    </row>
    <row r="1530" spans="1:9" x14ac:dyDescent="0.3">
      <c r="A1530" s="26">
        <v>46820</v>
      </c>
      <c r="B1530" s="27">
        <f t="shared" si="115"/>
        <v>2028</v>
      </c>
      <c r="C1530" s="27">
        <f t="shared" si="116"/>
        <v>3</v>
      </c>
      <c r="D1530" s="27">
        <f t="shared" si="117"/>
        <v>8</v>
      </c>
      <c r="E1530" s="27">
        <f t="shared" si="118"/>
        <v>4</v>
      </c>
      <c r="F1530" s="27">
        <f>VLOOKUP(E1530,[1]t_calendarioPolitica!A:C,3,FALSE)</f>
        <v>1</v>
      </c>
      <c r="G1530" s="1">
        <v>1</v>
      </c>
      <c r="H1530" s="1">
        <v>1</v>
      </c>
      <c r="I1530" s="1">
        <f t="shared" si="119"/>
        <v>1</v>
      </c>
    </row>
    <row r="1531" spans="1:9" x14ac:dyDescent="0.3">
      <c r="A1531" s="26">
        <v>46821</v>
      </c>
      <c r="B1531" s="27">
        <f t="shared" si="115"/>
        <v>2028</v>
      </c>
      <c r="C1531" s="27">
        <f t="shared" si="116"/>
        <v>3</v>
      </c>
      <c r="D1531" s="27">
        <f t="shared" si="117"/>
        <v>9</v>
      </c>
      <c r="E1531" s="27">
        <f t="shared" si="118"/>
        <v>5</v>
      </c>
      <c r="F1531" s="27">
        <f>VLOOKUP(E1531,[1]t_calendarioPolitica!A:C,3,FALSE)</f>
        <v>1</v>
      </c>
      <c r="G1531" s="1">
        <v>1</v>
      </c>
      <c r="H1531" s="1">
        <v>1</v>
      </c>
      <c r="I1531" s="1">
        <f t="shared" si="119"/>
        <v>1</v>
      </c>
    </row>
    <row r="1532" spans="1:9" x14ac:dyDescent="0.3">
      <c r="A1532" s="26">
        <v>46822</v>
      </c>
      <c r="B1532" s="27">
        <f t="shared" si="115"/>
        <v>2028</v>
      </c>
      <c r="C1532" s="27">
        <f t="shared" si="116"/>
        <v>3</v>
      </c>
      <c r="D1532" s="27">
        <f t="shared" si="117"/>
        <v>10</v>
      </c>
      <c r="E1532" s="27">
        <f t="shared" si="118"/>
        <v>6</v>
      </c>
      <c r="F1532" s="27">
        <f>VLOOKUP(E1532,[1]t_calendarioPolitica!A:C,3,FALSE)</f>
        <v>1</v>
      </c>
      <c r="G1532" s="1">
        <v>1</v>
      </c>
      <c r="H1532" s="1">
        <v>1</v>
      </c>
      <c r="I1532" s="1">
        <f t="shared" si="119"/>
        <v>1</v>
      </c>
    </row>
    <row r="1533" spans="1:9" x14ac:dyDescent="0.3">
      <c r="A1533" s="26">
        <v>46823</v>
      </c>
      <c r="B1533" s="27">
        <f t="shared" si="115"/>
        <v>2028</v>
      </c>
      <c r="C1533" s="27">
        <f t="shared" si="116"/>
        <v>3</v>
      </c>
      <c r="D1533" s="27">
        <f t="shared" si="117"/>
        <v>11</v>
      </c>
      <c r="E1533" s="27">
        <f t="shared" si="118"/>
        <v>7</v>
      </c>
      <c r="F1533" s="27">
        <f>VLOOKUP(E1533,[1]t_calendarioPolitica!A:C,3,FALSE)</f>
        <v>2</v>
      </c>
      <c r="G1533" s="1">
        <v>1</v>
      </c>
      <c r="H1533" s="1">
        <v>1</v>
      </c>
      <c r="I1533" s="1">
        <f t="shared" si="119"/>
        <v>1</v>
      </c>
    </row>
    <row r="1534" spans="1:9" x14ac:dyDescent="0.3">
      <c r="A1534" s="26">
        <v>46824</v>
      </c>
      <c r="B1534" s="27">
        <f t="shared" si="115"/>
        <v>2028</v>
      </c>
      <c r="C1534" s="27">
        <f t="shared" si="116"/>
        <v>3</v>
      </c>
      <c r="D1534" s="27">
        <f t="shared" si="117"/>
        <v>12</v>
      </c>
      <c r="E1534" s="27">
        <f t="shared" si="118"/>
        <v>1</v>
      </c>
      <c r="F1534" s="27">
        <f>VLOOKUP(E1534,[1]t_calendarioPolitica!A:C,3,FALSE)</f>
        <v>0</v>
      </c>
      <c r="G1534" s="1">
        <v>1</v>
      </c>
      <c r="H1534" s="1">
        <v>1</v>
      </c>
      <c r="I1534" s="1">
        <f t="shared" si="119"/>
        <v>0</v>
      </c>
    </row>
    <row r="1535" spans="1:9" x14ac:dyDescent="0.3">
      <c r="A1535" s="26">
        <v>46825</v>
      </c>
      <c r="B1535" s="27">
        <f t="shared" si="115"/>
        <v>2028</v>
      </c>
      <c r="C1535" s="27">
        <f t="shared" si="116"/>
        <v>3</v>
      </c>
      <c r="D1535" s="27">
        <f t="shared" si="117"/>
        <v>13</v>
      </c>
      <c r="E1535" s="27">
        <f t="shared" si="118"/>
        <v>2</v>
      </c>
      <c r="F1535" s="27">
        <f>VLOOKUP(E1535,[1]t_calendarioPolitica!A:C,3,FALSE)</f>
        <v>1</v>
      </c>
      <c r="G1535" s="1">
        <v>1</v>
      </c>
      <c r="H1535" s="1">
        <v>1</v>
      </c>
      <c r="I1535" s="1">
        <f t="shared" si="119"/>
        <v>1</v>
      </c>
    </row>
    <row r="1536" spans="1:9" x14ac:dyDescent="0.3">
      <c r="A1536" s="26">
        <v>46826</v>
      </c>
      <c r="B1536" s="27">
        <f t="shared" si="115"/>
        <v>2028</v>
      </c>
      <c r="C1536" s="27">
        <f t="shared" si="116"/>
        <v>3</v>
      </c>
      <c r="D1536" s="27">
        <f t="shared" si="117"/>
        <v>14</v>
      </c>
      <c r="E1536" s="27">
        <f t="shared" si="118"/>
        <v>3</v>
      </c>
      <c r="F1536" s="27">
        <f>VLOOKUP(E1536,[1]t_calendarioPolitica!A:C,3,FALSE)</f>
        <v>1</v>
      </c>
      <c r="G1536" s="1">
        <v>1</v>
      </c>
      <c r="H1536" s="1">
        <v>1</v>
      </c>
      <c r="I1536" s="1">
        <f t="shared" si="119"/>
        <v>1</v>
      </c>
    </row>
    <row r="1537" spans="1:9" x14ac:dyDescent="0.3">
      <c r="A1537" s="26">
        <v>46827</v>
      </c>
      <c r="B1537" s="27">
        <f t="shared" si="115"/>
        <v>2028</v>
      </c>
      <c r="C1537" s="27">
        <f t="shared" si="116"/>
        <v>3</v>
      </c>
      <c r="D1537" s="27">
        <f t="shared" si="117"/>
        <v>15</v>
      </c>
      <c r="E1537" s="27">
        <f t="shared" si="118"/>
        <v>4</v>
      </c>
      <c r="F1537" s="27">
        <f>VLOOKUP(E1537,[1]t_calendarioPolitica!A:C,3,FALSE)</f>
        <v>1</v>
      </c>
      <c r="G1537" s="1">
        <v>1</v>
      </c>
      <c r="H1537" s="1">
        <v>1</v>
      </c>
      <c r="I1537" s="1">
        <f t="shared" si="119"/>
        <v>1</v>
      </c>
    </row>
    <row r="1538" spans="1:9" x14ac:dyDescent="0.3">
      <c r="A1538" s="26">
        <v>46828</v>
      </c>
      <c r="B1538" s="27">
        <f t="shared" si="115"/>
        <v>2028</v>
      </c>
      <c r="C1538" s="27">
        <f t="shared" si="116"/>
        <v>3</v>
      </c>
      <c r="D1538" s="27">
        <f t="shared" si="117"/>
        <v>16</v>
      </c>
      <c r="E1538" s="27">
        <f t="shared" si="118"/>
        <v>5</v>
      </c>
      <c r="F1538" s="27">
        <f>VLOOKUP(E1538,[1]t_calendarioPolitica!A:C,3,FALSE)</f>
        <v>1</v>
      </c>
      <c r="G1538" s="1">
        <v>1</v>
      </c>
      <c r="H1538" s="1">
        <v>1</v>
      </c>
      <c r="I1538" s="1">
        <f t="shared" si="119"/>
        <v>1</v>
      </c>
    </row>
    <row r="1539" spans="1:9" x14ac:dyDescent="0.3">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VLOOKUP(E1539,[1]t_calendarioPolitica!A:C,3,FALSE)</f>
        <v>1</v>
      </c>
      <c r="G1539" s="1">
        <v>1</v>
      </c>
      <c r="H1539" s="1">
        <v>1</v>
      </c>
      <c r="I1539" s="1">
        <f t="shared" ref="I1539:I1602" si="124">IF(AND(F1539&lt;&gt;0, H1539&lt;&gt;0,G1539&lt;&gt;0), 1, 0)</f>
        <v>1</v>
      </c>
    </row>
    <row r="1540" spans="1:9" x14ac:dyDescent="0.3">
      <c r="A1540" s="26">
        <v>46830</v>
      </c>
      <c r="B1540" s="27">
        <f t="shared" si="120"/>
        <v>2028</v>
      </c>
      <c r="C1540" s="27">
        <f t="shared" si="121"/>
        <v>3</v>
      </c>
      <c r="D1540" s="27">
        <f t="shared" si="122"/>
        <v>18</v>
      </c>
      <c r="E1540" s="27">
        <f t="shared" si="123"/>
        <v>7</v>
      </c>
      <c r="F1540" s="27">
        <f>VLOOKUP(E1540,[1]t_calendarioPolitica!A:C,3,FALSE)</f>
        <v>2</v>
      </c>
      <c r="G1540" s="1">
        <v>1</v>
      </c>
      <c r="H1540" s="1">
        <v>1</v>
      </c>
      <c r="I1540" s="1">
        <f t="shared" si="124"/>
        <v>1</v>
      </c>
    </row>
    <row r="1541" spans="1:9" x14ac:dyDescent="0.3">
      <c r="A1541" s="26">
        <v>46831</v>
      </c>
      <c r="B1541" s="27">
        <f t="shared" si="120"/>
        <v>2028</v>
      </c>
      <c r="C1541" s="27">
        <f t="shared" si="121"/>
        <v>3</v>
      </c>
      <c r="D1541" s="27">
        <f t="shared" si="122"/>
        <v>19</v>
      </c>
      <c r="E1541" s="27">
        <f t="shared" si="123"/>
        <v>1</v>
      </c>
      <c r="F1541" s="27">
        <f>VLOOKUP(E1541,[1]t_calendarioPolitica!A:C,3,FALSE)</f>
        <v>0</v>
      </c>
      <c r="G1541" s="1">
        <v>1</v>
      </c>
      <c r="H1541" s="1">
        <v>1</v>
      </c>
      <c r="I1541" s="1">
        <f t="shared" si="124"/>
        <v>0</v>
      </c>
    </row>
    <row r="1542" spans="1:9" x14ac:dyDescent="0.3">
      <c r="A1542" s="26">
        <v>46832</v>
      </c>
      <c r="B1542" s="27">
        <f t="shared" si="120"/>
        <v>2028</v>
      </c>
      <c r="C1542" s="27">
        <f t="shared" si="121"/>
        <v>3</v>
      </c>
      <c r="D1542" s="27">
        <f t="shared" si="122"/>
        <v>20</v>
      </c>
      <c r="E1542" s="27">
        <f t="shared" si="123"/>
        <v>2</v>
      </c>
      <c r="F1542" s="27">
        <f>VLOOKUP(E1542,[1]t_calendarioPolitica!A:C,3,FALSE)</f>
        <v>1</v>
      </c>
      <c r="G1542" s="1">
        <v>1</v>
      </c>
      <c r="H1542" s="1">
        <v>1</v>
      </c>
      <c r="I1542" s="1">
        <f t="shared" si="124"/>
        <v>1</v>
      </c>
    </row>
    <row r="1543" spans="1:9" x14ac:dyDescent="0.3">
      <c r="A1543" s="26">
        <v>46833</v>
      </c>
      <c r="B1543" s="27">
        <f t="shared" si="120"/>
        <v>2028</v>
      </c>
      <c r="C1543" s="27">
        <f t="shared" si="121"/>
        <v>3</v>
      </c>
      <c r="D1543" s="27">
        <f t="shared" si="122"/>
        <v>21</v>
      </c>
      <c r="E1543" s="27">
        <f t="shared" si="123"/>
        <v>3</v>
      </c>
      <c r="F1543" s="27">
        <f>VLOOKUP(E1543,[1]t_calendarioPolitica!A:C,3,FALSE)</f>
        <v>1</v>
      </c>
      <c r="G1543" s="1">
        <v>1</v>
      </c>
      <c r="H1543" s="1">
        <v>1</v>
      </c>
      <c r="I1543" s="1">
        <f t="shared" si="124"/>
        <v>1</v>
      </c>
    </row>
    <row r="1544" spans="1:9" x14ac:dyDescent="0.3">
      <c r="A1544" s="26">
        <v>46834</v>
      </c>
      <c r="B1544" s="27">
        <f t="shared" si="120"/>
        <v>2028</v>
      </c>
      <c r="C1544" s="27">
        <f t="shared" si="121"/>
        <v>3</v>
      </c>
      <c r="D1544" s="27">
        <f t="shared" si="122"/>
        <v>22</v>
      </c>
      <c r="E1544" s="27">
        <f t="shared" si="123"/>
        <v>4</v>
      </c>
      <c r="F1544" s="27">
        <f>VLOOKUP(E1544,[1]t_calendarioPolitica!A:C,3,FALSE)</f>
        <v>1</v>
      </c>
      <c r="G1544" s="1">
        <v>1</v>
      </c>
      <c r="H1544" s="1">
        <v>1</v>
      </c>
      <c r="I1544" s="1">
        <f t="shared" si="124"/>
        <v>1</v>
      </c>
    </row>
    <row r="1545" spans="1:9" x14ac:dyDescent="0.3">
      <c r="A1545" s="26">
        <v>46835</v>
      </c>
      <c r="B1545" s="27">
        <f t="shared" si="120"/>
        <v>2028</v>
      </c>
      <c r="C1545" s="27">
        <f t="shared" si="121"/>
        <v>3</v>
      </c>
      <c r="D1545" s="27">
        <f t="shared" si="122"/>
        <v>23</v>
      </c>
      <c r="E1545" s="27">
        <f t="shared" si="123"/>
        <v>5</v>
      </c>
      <c r="F1545" s="27">
        <f>VLOOKUP(E1545,[1]t_calendarioPolitica!A:C,3,FALSE)</f>
        <v>1</v>
      </c>
      <c r="G1545" s="1">
        <v>1</v>
      </c>
      <c r="H1545" s="1">
        <v>1</v>
      </c>
      <c r="I1545" s="1">
        <f t="shared" si="124"/>
        <v>1</v>
      </c>
    </row>
    <row r="1546" spans="1:9" x14ac:dyDescent="0.3">
      <c r="A1546" s="26">
        <v>46836</v>
      </c>
      <c r="B1546" s="27">
        <f t="shared" si="120"/>
        <v>2028</v>
      </c>
      <c r="C1546" s="27">
        <f t="shared" si="121"/>
        <v>3</v>
      </c>
      <c r="D1546" s="27">
        <f t="shared" si="122"/>
        <v>24</v>
      </c>
      <c r="E1546" s="27">
        <f t="shared" si="123"/>
        <v>6</v>
      </c>
      <c r="F1546" s="27">
        <f>VLOOKUP(E1546,[1]t_calendarioPolitica!A:C,3,FALSE)</f>
        <v>1</v>
      </c>
      <c r="G1546" s="1">
        <v>1</v>
      </c>
      <c r="H1546" s="1">
        <v>1</v>
      </c>
      <c r="I1546" s="1">
        <f t="shared" si="124"/>
        <v>1</v>
      </c>
    </row>
    <row r="1547" spans="1:9" x14ac:dyDescent="0.3">
      <c r="A1547" s="26">
        <v>46837</v>
      </c>
      <c r="B1547" s="27">
        <f t="shared" si="120"/>
        <v>2028</v>
      </c>
      <c r="C1547" s="27">
        <f t="shared" si="121"/>
        <v>3</v>
      </c>
      <c r="D1547" s="27">
        <f t="shared" si="122"/>
        <v>25</v>
      </c>
      <c r="E1547" s="27">
        <f t="shared" si="123"/>
        <v>7</v>
      </c>
      <c r="F1547" s="27">
        <f>VLOOKUP(E1547,[1]t_calendarioPolitica!A:C,3,FALSE)</f>
        <v>2</v>
      </c>
      <c r="G1547" s="1">
        <v>1</v>
      </c>
      <c r="H1547" s="1">
        <v>1</v>
      </c>
      <c r="I1547" s="1">
        <f t="shared" si="124"/>
        <v>1</v>
      </c>
    </row>
    <row r="1548" spans="1:9" x14ac:dyDescent="0.3">
      <c r="A1548" s="26">
        <v>46838</v>
      </c>
      <c r="B1548" s="27">
        <f t="shared" si="120"/>
        <v>2028</v>
      </c>
      <c r="C1548" s="27">
        <f t="shared" si="121"/>
        <v>3</v>
      </c>
      <c r="D1548" s="27">
        <f t="shared" si="122"/>
        <v>26</v>
      </c>
      <c r="E1548" s="27">
        <f t="shared" si="123"/>
        <v>1</v>
      </c>
      <c r="F1548" s="27">
        <f>VLOOKUP(E1548,[1]t_calendarioPolitica!A:C,3,FALSE)</f>
        <v>0</v>
      </c>
      <c r="G1548" s="1">
        <v>1</v>
      </c>
      <c r="H1548" s="1">
        <v>1</v>
      </c>
      <c r="I1548" s="1">
        <f t="shared" si="124"/>
        <v>0</v>
      </c>
    </row>
    <row r="1549" spans="1:9" x14ac:dyDescent="0.3">
      <c r="A1549" s="26">
        <v>46839</v>
      </c>
      <c r="B1549" s="27">
        <f t="shared" si="120"/>
        <v>2028</v>
      </c>
      <c r="C1549" s="27">
        <f t="shared" si="121"/>
        <v>3</v>
      </c>
      <c r="D1549" s="27">
        <f t="shared" si="122"/>
        <v>27</v>
      </c>
      <c r="E1549" s="27">
        <f t="shared" si="123"/>
        <v>2</v>
      </c>
      <c r="F1549" s="27">
        <f>VLOOKUP(E1549,[1]t_calendarioPolitica!A:C,3,FALSE)</f>
        <v>1</v>
      </c>
      <c r="G1549" s="1">
        <v>1</v>
      </c>
      <c r="H1549" s="1">
        <v>1</v>
      </c>
      <c r="I1549" s="1">
        <f t="shared" si="124"/>
        <v>1</v>
      </c>
    </row>
    <row r="1550" spans="1:9" x14ac:dyDescent="0.3">
      <c r="A1550" s="26">
        <v>46840</v>
      </c>
      <c r="B1550" s="27">
        <f t="shared" si="120"/>
        <v>2028</v>
      </c>
      <c r="C1550" s="27">
        <f t="shared" si="121"/>
        <v>3</v>
      </c>
      <c r="D1550" s="27">
        <f t="shared" si="122"/>
        <v>28</v>
      </c>
      <c r="E1550" s="27">
        <f t="shared" si="123"/>
        <v>3</v>
      </c>
      <c r="F1550" s="27">
        <f>VLOOKUP(E1550,[1]t_calendarioPolitica!A:C,3,FALSE)</f>
        <v>1</v>
      </c>
      <c r="G1550" s="1">
        <v>1</v>
      </c>
      <c r="H1550" s="1">
        <v>1</v>
      </c>
      <c r="I1550" s="1">
        <f t="shared" si="124"/>
        <v>1</v>
      </c>
    </row>
    <row r="1551" spans="1:9" x14ac:dyDescent="0.3">
      <c r="A1551" s="26">
        <v>46841</v>
      </c>
      <c r="B1551" s="27">
        <f t="shared" si="120"/>
        <v>2028</v>
      </c>
      <c r="C1551" s="27">
        <f t="shared" si="121"/>
        <v>3</v>
      </c>
      <c r="D1551" s="27">
        <f t="shared" si="122"/>
        <v>29</v>
      </c>
      <c r="E1551" s="27">
        <f t="shared" si="123"/>
        <v>4</v>
      </c>
      <c r="F1551" s="27">
        <f>VLOOKUP(E1551,[1]t_calendarioPolitica!A:C,3,FALSE)</f>
        <v>1</v>
      </c>
      <c r="G1551" s="1">
        <v>1</v>
      </c>
      <c r="H1551" s="1">
        <v>1</v>
      </c>
      <c r="I1551" s="1">
        <f t="shared" si="124"/>
        <v>1</v>
      </c>
    </row>
    <row r="1552" spans="1:9" x14ac:dyDescent="0.3">
      <c r="A1552" s="26">
        <v>46842</v>
      </c>
      <c r="B1552" s="27">
        <f t="shared" si="120"/>
        <v>2028</v>
      </c>
      <c r="C1552" s="27">
        <f t="shared" si="121"/>
        <v>3</v>
      </c>
      <c r="D1552" s="27">
        <f t="shared" si="122"/>
        <v>30</v>
      </c>
      <c r="E1552" s="27">
        <f t="shared" si="123"/>
        <v>5</v>
      </c>
      <c r="F1552" s="27">
        <f>VLOOKUP(E1552,[1]t_calendarioPolitica!A:C,3,FALSE)</f>
        <v>1</v>
      </c>
      <c r="G1552" s="1">
        <v>1</v>
      </c>
      <c r="H1552" s="1">
        <v>1</v>
      </c>
      <c r="I1552" s="1">
        <f t="shared" si="124"/>
        <v>1</v>
      </c>
    </row>
    <row r="1553" spans="1:9" x14ac:dyDescent="0.3">
      <c r="A1553" s="26">
        <v>46843</v>
      </c>
      <c r="B1553" s="27">
        <f t="shared" si="120"/>
        <v>2028</v>
      </c>
      <c r="C1553" s="27">
        <f t="shared" si="121"/>
        <v>3</v>
      </c>
      <c r="D1553" s="27">
        <f t="shared" si="122"/>
        <v>31</v>
      </c>
      <c r="E1553" s="27">
        <f t="shared" si="123"/>
        <v>6</v>
      </c>
      <c r="F1553" s="27">
        <f>VLOOKUP(E1553,[1]t_calendarioPolitica!A:C,3,FALSE)</f>
        <v>1</v>
      </c>
      <c r="G1553" s="1">
        <v>1</v>
      </c>
      <c r="H1553" s="1">
        <v>1</v>
      </c>
      <c r="I1553" s="1">
        <f t="shared" si="124"/>
        <v>1</v>
      </c>
    </row>
    <row r="1554" spans="1:9" x14ac:dyDescent="0.3">
      <c r="A1554" s="26">
        <v>46844</v>
      </c>
      <c r="B1554" s="27">
        <f t="shared" si="120"/>
        <v>2028</v>
      </c>
      <c r="C1554" s="27">
        <f t="shared" si="121"/>
        <v>4</v>
      </c>
      <c r="D1554" s="27">
        <f t="shared" si="122"/>
        <v>1</v>
      </c>
      <c r="E1554" s="27">
        <f t="shared" si="123"/>
        <v>7</v>
      </c>
      <c r="F1554" s="27">
        <f>VLOOKUP(E1554,[1]t_calendarioPolitica!A:C,3,FALSE)</f>
        <v>2</v>
      </c>
      <c r="G1554" s="1">
        <v>1</v>
      </c>
      <c r="H1554" s="1">
        <v>1</v>
      </c>
      <c r="I1554" s="1">
        <f t="shared" si="124"/>
        <v>1</v>
      </c>
    </row>
    <row r="1555" spans="1:9" x14ac:dyDescent="0.3">
      <c r="A1555" s="26">
        <v>46845</v>
      </c>
      <c r="B1555" s="27">
        <f t="shared" si="120"/>
        <v>2028</v>
      </c>
      <c r="C1555" s="27">
        <f t="shared" si="121"/>
        <v>4</v>
      </c>
      <c r="D1555" s="27">
        <f t="shared" si="122"/>
        <v>2</v>
      </c>
      <c r="E1555" s="27">
        <f t="shared" si="123"/>
        <v>1</v>
      </c>
      <c r="F1555" s="27">
        <f>VLOOKUP(E1555,[1]t_calendarioPolitica!A:C,3,FALSE)</f>
        <v>0</v>
      </c>
      <c r="G1555" s="1">
        <v>1</v>
      </c>
      <c r="H1555" s="1">
        <v>1</v>
      </c>
      <c r="I1555" s="1">
        <f t="shared" si="124"/>
        <v>0</v>
      </c>
    </row>
    <row r="1556" spans="1:9" x14ac:dyDescent="0.3">
      <c r="A1556" s="26">
        <v>46846</v>
      </c>
      <c r="B1556" s="27">
        <f t="shared" si="120"/>
        <v>2028</v>
      </c>
      <c r="C1556" s="27">
        <f t="shared" si="121"/>
        <v>4</v>
      </c>
      <c r="D1556" s="27">
        <f t="shared" si="122"/>
        <v>3</v>
      </c>
      <c r="E1556" s="27">
        <f t="shared" si="123"/>
        <v>2</v>
      </c>
      <c r="F1556" s="27">
        <f>VLOOKUP(E1556,[1]t_calendarioPolitica!A:C,3,FALSE)</f>
        <v>1</v>
      </c>
      <c r="G1556" s="1">
        <v>1</v>
      </c>
      <c r="H1556" s="1">
        <v>1</v>
      </c>
      <c r="I1556" s="1">
        <f t="shared" si="124"/>
        <v>1</v>
      </c>
    </row>
    <row r="1557" spans="1:9" x14ac:dyDescent="0.3">
      <c r="A1557" s="26">
        <v>46847</v>
      </c>
      <c r="B1557" s="27">
        <f t="shared" si="120"/>
        <v>2028</v>
      </c>
      <c r="C1557" s="27">
        <f t="shared" si="121"/>
        <v>4</v>
      </c>
      <c r="D1557" s="27">
        <f t="shared" si="122"/>
        <v>4</v>
      </c>
      <c r="E1557" s="27">
        <f t="shared" si="123"/>
        <v>3</v>
      </c>
      <c r="F1557" s="27">
        <f>VLOOKUP(E1557,[1]t_calendarioPolitica!A:C,3,FALSE)</f>
        <v>1</v>
      </c>
      <c r="G1557" s="1">
        <v>1</v>
      </c>
      <c r="H1557" s="1">
        <v>1</v>
      </c>
      <c r="I1557" s="1">
        <f t="shared" si="124"/>
        <v>1</v>
      </c>
    </row>
    <row r="1558" spans="1:9" x14ac:dyDescent="0.3">
      <c r="A1558" s="26">
        <v>46848</v>
      </c>
      <c r="B1558" s="27">
        <f t="shared" si="120"/>
        <v>2028</v>
      </c>
      <c r="C1558" s="27">
        <f t="shared" si="121"/>
        <v>4</v>
      </c>
      <c r="D1558" s="27">
        <f t="shared" si="122"/>
        <v>5</v>
      </c>
      <c r="E1558" s="27">
        <f t="shared" si="123"/>
        <v>4</v>
      </c>
      <c r="F1558" s="27">
        <f>VLOOKUP(E1558,[1]t_calendarioPolitica!A:C,3,FALSE)</f>
        <v>1</v>
      </c>
      <c r="G1558" s="1">
        <v>1</v>
      </c>
      <c r="H1558" s="1">
        <v>1</v>
      </c>
      <c r="I1558" s="1">
        <f t="shared" si="124"/>
        <v>1</v>
      </c>
    </row>
    <row r="1559" spans="1:9" x14ac:dyDescent="0.3">
      <c r="A1559" s="26">
        <v>46849</v>
      </c>
      <c r="B1559" s="27">
        <f t="shared" si="120"/>
        <v>2028</v>
      </c>
      <c r="C1559" s="27">
        <f t="shared" si="121"/>
        <v>4</v>
      </c>
      <c r="D1559" s="27">
        <f t="shared" si="122"/>
        <v>6</v>
      </c>
      <c r="E1559" s="27">
        <f t="shared" si="123"/>
        <v>5</v>
      </c>
      <c r="F1559" s="27">
        <f>VLOOKUP(E1559,[1]t_calendarioPolitica!A:C,3,FALSE)</f>
        <v>1</v>
      </c>
      <c r="G1559" s="1">
        <v>1</v>
      </c>
      <c r="H1559" s="1">
        <v>1</v>
      </c>
      <c r="I1559" s="1">
        <f t="shared" si="124"/>
        <v>1</v>
      </c>
    </row>
    <row r="1560" spans="1:9" x14ac:dyDescent="0.3">
      <c r="A1560" s="26">
        <v>46850</v>
      </c>
      <c r="B1560" s="27">
        <f t="shared" si="120"/>
        <v>2028</v>
      </c>
      <c r="C1560" s="27">
        <f t="shared" si="121"/>
        <v>4</v>
      </c>
      <c r="D1560" s="27">
        <f t="shared" si="122"/>
        <v>7</v>
      </c>
      <c r="E1560" s="27">
        <f t="shared" si="123"/>
        <v>6</v>
      </c>
      <c r="F1560" s="27">
        <f>VLOOKUP(E1560,[1]t_calendarioPolitica!A:C,3,FALSE)</f>
        <v>1</v>
      </c>
      <c r="G1560" s="1">
        <v>1</v>
      </c>
      <c r="H1560" s="1">
        <v>1</v>
      </c>
      <c r="I1560" s="1">
        <f t="shared" si="124"/>
        <v>1</v>
      </c>
    </row>
    <row r="1561" spans="1:9" x14ac:dyDescent="0.3">
      <c r="A1561" s="26">
        <v>46851</v>
      </c>
      <c r="B1561" s="27">
        <f t="shared" si="120"/>
        <v>2028</v>
      </c>
      <c r="C1561" s="27">
        <f t="shared" si="121"/>
        <v>4</v>
      </c>
      <c r="D1561" s="27">
        <f t="shared" si="122"/>
        <v>8</v>
      </c>
      <c r="E1561" s="27">
        <f t="shared" si="123"/>
        <v>7</v>
      </c>
      <c r="F1561" s="27">
        <f>VLOOKUP(E1561,[1]t_calendarioPolitica!A:C,3,FALSE)</f>
        <v>2</v>
      </c>
      <c r="G1561" s="1">
        <v>1</v>
      </c>
      <c r="H1561" s="1">
        <v>1</v>
      </c>
      <c r="I1561" s="1">
        <f t="shared" si="124"/>
        <v>1</v>
      </c>
    </row>
    <row r="1562" spans="1:9" x14ac:dyDescent="0.3">
      <c r="A1562" s="26">
        <v>46852</v>
      </c>
      <c r="B1562" s="27">
        <f t="shared" si="120"/>
        <v>2028</v>
      </c>
      <c r="C1562" s="27">
        <f t="shared" si="121"/>
        <v>4</v>
      </c>
      <c r="D1562" s="27">
        <f t="shared" si="122"/>
        <v>9</v>
      </c>
      <c r="E1562" s="27">
        <f t="shared" si="123"/>
        <v>1</v>
      </c>
      <c r="F1562" s="27">
        <f>VLOOKUP(E1562,[1]t_calendarioPolitica!A:C,3,FALSE)</f>
        <v>0</v>
      </c>
      <c r="G1562" s="1">
        <v>1</v>
      </c>
      <c r="H1562" s="1">
        <v>1</v>
      </c>
      <c r="I1562" s="1">
        <f t="shared" si="124"/>
        <v>0</v>
      </c>
    </row>
    <row r="1563" spans="1:9" x14ac:dyDescent="0.3">
      <c r="A1563" s="26">
        <v>46853</v>
      </c>
      <c r="B1563" s="27">
        <f t="shared" si="120"/>
        <v>2028</v>
      </c>
      <c r="C1563" s="27">
        <f t="shared" si="121"/>
        <v>4</v>
      </c>
      <c r="D1563" s="27">
        <f t="shared" si="122"/>
        <v>10</v>
      </c>
      <c r="E1563" s="27">
        <f t="shared" si="123"/>
        <v>2</v>
      </c>
      <c r="F1563" s="27">
        <f>VLOOKUP(E1563,[1]t_calendarioPolitica!A:C,3,FALSE)</f>
        <v>1</v>
      </c>
      <c r="G1563" s="1">
        <v>1</v>
      </c>
      <c r="H1563" s="1">
        <v>1</v>
      </c>
      <c r="I1563" s="1">
        <f t="shared" si="124"/>
        <v>1</v>
      </c>
    </row>
    <row r="1564" spans="1:9" x14ac:dyDescent="0.3">
      <c r="A1564" s="26">
        <v>46854</v>
      </c>
      <c r="B1564" s="27">
        <f t="shared" si="120"/>
        <v>2028</v>
      </c>
      <c r="C1564" s="27">
        <f t="shared" si="121"/>
        <v>4</v>
      </c>
      <c r="D1564" s="27">
        <f t="shared" si="122"/>
        <v>11</v>
      </c>
      <c r="E1564" s="27">
        <f t="shared" si="123"/>
        <v>3</v>
      </c>
      <c r="F1564" s="27">
        <f>VLOOKUP(E1564,[1]t_calendarioPolitica!A:C,3,FALSE)</f>
        <v>1</v>
      </c>
      <c r="G1564" s="1">
        <v>1</v>
      </c>
      <c r="H1564" s="1">
        <v>1</v>
      </c>
      <c r="I1564" s="1">
        <f t="shared" si="124"/>
        <v>1</v>
      </c>
    </row>
    <row r="1565" spans="1:9" x14ac:dyDescent="0.3">
      <c r="A1565" s="26">
        <v>46855</v>
      </c>
      <c r="B1565" s="27">
        <f t="shared" si="120"/>
        <v>2028</v>
      </c>
      <c r="C1565" s="27">
        <f t="shared" si="121"/>
        <v>4</v>
      </c>
      <c r="D1565" s="27">
        <f t="shared" si="122"/>
        <v>12</v>
      </c>
      <c r="E1565" s="27">
        <f t="shared" si="123"/>
        <v>4</v>
      </c>
      <c r="F1565" s="27">
        <f>VLOOKUP(E1565,[1]t_calendarioPolitica!A:C,3,FALSE)</f>
        <v>1</v>
      </c>
      <c r="G1565" s="1">
        <v>1</v>
      </c>
      <c r="H1565" s="1">
        <v>1</v>
      </c>
      <c r="I1565" s="1">
        <f t="shared" si="124"/>
        <v>1</v>
      </c>
    </row>
    <row r="1566" spans="1:9" x14ac:dyDescent="0.3">
      <c r="A1566" s="26">
        <v>46856</v>
      </c>
      <c r="B1566" s="27">
        <f t="shared" si="120"/>
        <v>2028</v>
      </c>
      <c r="C1566" s="27">
        <f t="shared" si="121"/>
        <v>4</v>
      </c>
      <c r="D1566" s="27">
        <f t="shared" si="122"/>
        <v>13</v>
      </c>
      <c r="E1566" s="27">
        <f t="shared" si="123"/>
        <v>5</v>
      </c>
      <c r="F1566" s="27">
        <f>VLOOKUP(E1566,[1]t_calendarioPolitica!A:C,3,FALSE)</f>
        <v>1</v>
      </c>
      <c r="G1566" s="1">
        <v>1</v>
      </c>
      <c r="H1566" s="1">
        <v>1</v>
      </c>
      <c r="I1566" s="1">
        <f t="shared" si="124"/>
        <v>1</v>
      </c>
    </row>
    <row r="1567" spans="1:9" x14ac:dyDescent="0.3">
      <c r="A1567" s="26">
        <v>46857</v>
      </c>
      <c r="B1567" s="27">
        <f t="shared" si="120"/>
        <v>2028</v>
      </c>
      <c r="C1567" s="27">
        <f t="shared" si="121"/>
        <v>4</v>
      </c>
      <c r="D1567" s="27">
        <f t="shared" si="122"/>
        <v>14</v>
      </c>
      <c r="E1567" s="27">
        <f t="shared" si="123"/>
        <v>6</v>
      </c>
      <c r="F1567" s="27">
        <f>VLOOKUP(E1567,[1]t_calendarioPolitica!A:C,3,FALSE)</f>
        <v>1</v>
      </c>
      <c r="G1567" s="1">
        <v>1</v>
      </c>
      <c r="H1567" s="1">
        <v>1</v>
      </c>
      <c r="I1567" s="1">
        <f t="shared" si="124"/>
        <v>1</v>
      </c>
    </row>
    <row r="1568" spans="1:9" x14ac:dyDescent="0.3">
      <c r="A1568" s="26">
        <v>46858</v>
      </c>
      <c r="B1568" s="27">
        <f t="shared" si="120"/>
        <v>2028</v>
      </c>
      <c r="C1568" s="27">
        <f t="shared" si="121"/>
        <v>4</v>
      </c>
      <c r="D1568" s="27">
        <f t="shared" si="122"/>
        <v>15</v>
      </c>
      <c r="E1568" s="27">
        <f t="shared" si="123"/>
        <v>7</v>
      </c>
      <c r="F1568" s="27">
        <f>VLOOKUP(E1568,[1]t_calendarioPolitica!A:C,3,FALSE)</f>
        <v>2</v>
      </c>
      <c r="G1568" s="1">
        <v>1</v>
      </c>
      <c r="H1568" s="1">
        <v>1</v>
      </c>
      <c r="I1568" s="1">
        <f t="shared" si="124"/>
        <v>1</v>
      </c>
    </row>
    <row r="1569" spans="1:9" x14ac:dyDescent="0.3">
      <c r="A1569" s="26">
        <v>46859</v>
      </c>
      <c r="B1569" s="27">
        <f t="shared" si="120"/>
        <v>2028</v>
      </c>
      <c r="C1569" s="27">
        <f t="shared" si="121"/>
        <v>4</v>
      </c>
      <c r="D1569" s="27">
        <f t="shared" si="122"/>
        <v>16</v>
      </c>
      <c r="E1569" s="27">
        <f t="shared" si="123"/>
        <v>1</v>
      </c>
      <c r="F1569" s="27">
        <f>VLOOKUP(E1569,[1]t_calendarioPolitica!A:C,3,FALSE)</f>
        <v>0</v>
      </c>
      <c r="G1569" s="1">
        <v>1</v>
      </c>
      <c r="H1569" s="1">
        <v>1</v>
      </c>
      <c r="I1569" s="1">
        <f t="shared" si="124"/>
        <v>0</v>
      </c>
    </row>
    <row r="1570" spans="1:9" x14ac:dyDescent="0.3">
      <c r="A1570" s="26">
        <v>46860</v>
      </c>
      <c r="B1570" s="27">
        <f t="shared" si="120"/>
        <v>2028</v>
      </c>
      <c r="C1570" s="27">
        <f t="shared" si="121"/>
        <v>4</v>
      </c>
      <c r="D1570" s="27">
        <f t="shared" si="122"/>
        <v>17</v>
      </c>
      <c r="E1570" s="27">
        <f t="shared" si="123"/>
        <v>2</v>
      </c>
      <c r="F1570" s="27">
        <f>VLOOKUP(E1570,[1]t_calendarioPolitica!A:C,3,FALSE)</f>
        <v>1</v>
      </c>
      <c r="G1570" s="1">
        <v>1</v>
      </c>
      <c r="H1570" s="1">
        <v>1</v>
      </c>
      <c r="I1570" s="1">
        <f t="shared" si="124"/>
        <v>1</v>
      </c>
    </row>
    <row r="1571" spans="1:9" x14ac:dyDescent="0.3">
      <c r="A1571" s="26">
        <v>46861</v>
      </c>
      <c r="B1571" s="27">
        <f t="shared" si="120"/>
        <v>2028</v>
      </c>
      <c r="C1571" s="27">
        <f t="shared" si="121"/>
        <v>4</v>
      </c>
      <c r="D1571" s="27">
        <f t="shared" si="122"/>
        <v>18</v>
      </c>
      <c r="E1571" s="27">
        <f t="shared" si="123"/>
        <v>3</v>
      </c>
      <c r="F1571" s="27">
        <f>VLOOKUP(E1571,[1]t_calendarioPolitica!A:C,3,FALSE)</f>
        <v>1</v>
      </c>
      <c r="G1571" s="1">
        <v>1</v>
      </c>
      <c r="H1571" s="1">
        <v>1</v>
      </c>
      <c r="I1571" s="1">
        <f t="shared" si="124"/>
        <v>1</v>
      </c>
    </row>
    <row r="1572" spans="1:9" x14ac:dyDescent="0.3">
      <c r="A1572" s="26">
        <v>46862</v>
      </c>
      <c r="B1572" s="27">
        <f t="shared" si="120"/>
        <v>2028</v>
      </c>
      <c r="C1572" s="27">
        <f t="shared" si="121"/>
        <v>4</v>
      </c>
      <c r="D1572" s="27">
        <f t="shared" si="122"/>
        <v>19</v>
      </c>
      <c r="E1572" s="27">
        <f t="shared" si="123"/>
        <v>4</v>
      </c>
      <c r="F1572" s="27">
        <f>VLOOKUP(E1572,[1]t_calendarioPolitica!A:C,3,FALSE)</f>
        <v>1</v>
      </c>
      <c r="G1572" s="1">
        <v>1</v>
      </c>
      <c r="H1572" s="1">
        <v>1</v>
      </c>
      <c r="I1572" s="1">
        <f t="shared" si="124"/>
        <v>1</v>
      </c>
    </row>
    <row r="1573" spans="1:9" x14ac:dyDescent="0.3">
      <c r="A1573" s="26">
        <v>46863</v>
      </c>
      <c r="B1573" s="27">
        <f t="shared" si="120"/>
        <v>2028</v>
      </c>
      <c r="C1573" s="27">
        <f t="shared" si="121"/>
        <v>4</v>
      </c>
      <c r="D1573" s="27">
        <f t="shared" si="122"/>
        <v>20</v>
      </c>
      <c r="E1573" s="27">
        <f t="shared" si="123"/>
        <v>5</v>
      </c>
      <c r="F1573" s="27">
        <f>VLOOKUP(E1573,[1]t_calendarioPolitica!A:C,3,FALSE)</f>
        <v>1</v>
      </c>
      <c r="G1573" s="1">
        <v>1</v>
      </c>
      <c r="H1573" s="1">
        <v>1</v>
      </c>
      <c r="I1573" s="1">
        <f t="shared" si="124"/>
        <v>1</v>
      </c>
    </row>
    <row r="1574" spans="1:9" x14ac:dyDescent="0.3">
      <c r="A1574" s="26">
        <v>46864</v>
      </c>
      <c r="B1574" s="27">
        <f t="shared" si="120"/>
        <v>2028</v>
      </c>
      <c r="C1574" s="27">
        <f t="shared" si="121"/>
        <v>4</v>
      </c>
      <c r="D1574" s="27">
        <f t="shared" si="122"/>
        <v>21</v>
      </c>
      <c r="E1574" s="27">
        <f t="shared" si="123"/>
        <v>6</v>
      </c>
      <c r="F1574" s="27">
        <f>VLOOKUP(E1574,[1]t_calendarioPolitica!A:C,3,FALSE)</f>
        <v>1</v>
      </c>
      <c r="G1574" s="1">
        <v>1</v>
      </c>
      <c r="H1574" s="1">
        <v>1</v>
      </c>
      <c r="I1574" s="1">
        <f t="shared" si="124"/>
        <v>1</v>
      </c>
    </row>
    <row r="1575" spans="1:9" x14ac:dyDescent="0.3">
      <c r="A1575" s="26">
        <v>46865</v>
      </c>
      <c r="B1575" s="27">
        <f t="shared" si="120"/>
        <v>2028</v>
      </c>
      <c r="C1575" s="27">
        <f t="shared" si="121"/>
        <v>4</v>
      </c>
      <c r="D1575" s="27">
        <f t="shared" si="122"/>
        <v>22</v>
      </c>
      <c r="E1575" s="27">
        <f t="shared" si="123"/>
        <v>7</v>
      </c>
      <c r="F1575" s="27">
        <f>VLOOKUP(E1575,[1]t_calendarioPolitica!A:C,3,FALSE)</f>
        <v>2</v>
      </c>
      <c r="G1575" s="1">
        <v>1</v>
      </c>
      <c r="H1575" s="1">
        <v>1</v>
      </c>
      <c r="I1575" s="1">
        <f t="shared" si="124"/>
        <v>1</v>
      </c>
    </row>
    <row r="1576" spans="1:9" x14ac:dyDescent="0.3">
      <c r="A1576" s="26">
        <v>46866</v>
      </c>
      <c r="B1576" s="27">
        <f t="shared" si="120"/>
        <v>2028</v>
      </c>
      <c r="C1576" s="27">
        <f t="shared" si="121"/>
        <v>4</v>
      </c>
      <c r="D1576" s="27">
        <f t="shared" si="122"/>
        <v>23</v>
      </c>
      <c r="E1576" s="27">
        <f t="shared" si="123"/>
        <v>1</v>
      </c>
      <c r="F1576" s="27">
        <f>VLOOKUP(E1576,[1]t_calendarioPolitica!A:C,3,FALSE)</f>
        <v>0</v>
      </c>
      <c r="G1576" s="1">
        <v>1</v>
      </c>
      <c r="H1576" s="1">
        <v>1</v>
      </c>
      <c r="I1576" s="1">
        <f t="shared" si="124"/>
        <v>0</v>
      </c>
    </row>
    <row r="1577" spans="1:9" x14ac:dyDescent="0.3">
      <c r="A1577" s="26">
        <v>46867</v>
      </c>
      <c r="B1577" s="27">
        <f t="shared" si="120"/>
        <v>2028</v>
      </c>
      <c r="C1577" s="27">
        <f t="shared" si="121"/>
        <v>4</v>
      </c>
      <c r="D1577" s="27">
        <f t="shared" si="122"/>
        <v>24</v>
      </c>
      <c r="E1577" s="27">
        <f t="shared" si="123"/>
        <v>2</v>
      </c>
      <c r="F1577" s="27">
        <f>VLOOKUP(E1577,[1]t_calendarioPolitica!A:C,3,FALSE)</f>
        <v>1</v>
      </c>
      <c r="G1577" s="1">
        <v>1</v>
      </c>
      <c r="H1577" s="1">
        <v>1</v>
      </c>
      <c r="I1577" s="1">
        <f t="shared" si="124"/>
        <v>1</v>
      </c>
    </row>
    <row r="1578" spans="1:9" x14ac:dyDescent="0.3">
      <c r="A1578" s="26">
        <v>46868</v>
      </c>
      <c r="B1578" s="27">
        <f t="shared" si="120"/>
        <v>2028</v>
      </c>
      <c r="C1578" s="27">
        <f t="shared" si="121"/>
        <v>4</v>
      </c>
      <c r="D1578" s="27">
        <f t="shared" si="122"/>
        <v>25</v>
      </c>
      <c r="E1578" s="27">
        <f t="shared" si="123"/>
        <v>3</v>
      </c>
      <c r="F1578" s="27">
        <f>VLOOKUP(E1578,[1]t_calendarioPolitica!A:C,3,FALSE)</f>
        <v>1</v>
      </c>
      <c r="G1578" s="1">
        <v>1</v>
      </c>
      <c r="H1578" s="1">
        <v>1</v>
      </c>
      <c r="I1578" s="1">
        <f t="shared" si="124"/>
        <v>1</v>
      </c>
    </row>
    <row r="1579" spans="1:9" x14ac:dyDescent="0.3">
      <c r="A1579" s="26">
        <v>46869</v>
      </c>
      <c r="B1579" s="27">
        <f t="shared" si="120"/>
        <v>2028</v>
      </c>
      <c r="C1579" s="27">
        <f t="shared" si="121"/>
        <v>4</v>
      </c>
      <c r="D1579" s="27">
        <f t="shared" si="122"/>
        <v>26</v>
      </c>
      <c r="E1579" s="27">
        <f t="shared" si="123"/>
        <v>4</v>
      </c>
      <c r="F1579" s="27">
        <f>VLOOKUP(E1579,[1]t_calendarioPolitica!A:C,3,FALSE)</f>
        <v>1</v>
      </c>
      <c r="G1579" s="1">
        <v>1</v>
      </c>
      <c r="H1579" s="1">
        <v>1</v>
      </c>
      <c r="I1579" s="1">
        <f t="shared" si="124"/>
        <v>1</v>
      </c>
    </row>
    <row r="1580" spans="1:9" x14ac:dyDescent="0.3">
      <c r="A1580" s="26">
        <v>46870</v>
      </c>
      <c r="B1580" s="27">
        <f t="shared" si="120"/>
        <v>2028</v>
      </c>
      <c r="C1580" s="27">
        <f t="shared" si="121"/>
        <v>4</v>
      </c>
      <c r="D1580" s="27">
        <f t="shared" si="122"/>
        <v>27</v>
      </c>
      <c r="E1580" s="27">
        <f t="shared" si="123"/>
        <v>5</v>
      </c>
      <c r="F1580" s="27">
        <f>VLOOKUP(E1580,[1]t_calendarioPolitica!A:C,3,FALSE)</f>
        <v>1</v>
      </c>
      <c r="G1580" s="1">
        <v>1</v>
      </c>
      <c r="H1580" s="1">
        <v>1</v>
      </c>
      <c r="I1580" s="1">
        <f t="shared" si="124"/>
        <v>1</v>
      </c>
    </row>
    <row r="1581" spans="1:9" x14ac:dyDescent="0.3">
      <c r="A1581" s="26">
        <v>46871</v>
      </c>
      <c r="B1581" s="27">
        <f t="shared" si="120"/>
        <v>2028</v>
      </c>
      <c r="C1581" s="27">
        <f t="shared" si="121"/>
        <v>4</v>
      </c>
      <c r="D1581" s="27">
        <f t="shared" si="122"/>
        <v>28</v>
      </c>
      <c r="E1581" s="27">
        <f t="shared" si="123"/>
        <v>6</v>
      </c>
      <c r="F1581" s="27">
        <f>VLOOKUP(E1581,[1]t_calendarioPolitica!A:C,3,FALSE)</f>
        <v>1</v>
      </c>
      <c r="G1581" s="1">
        <v>1</v>
      </c>
      <c r="H1581" s="1">
        <v>1</v>
      </c>
      <c r="I1581" s="1">
        <f t="shared" si="124"/>
        <v>1</v>
      </c>
    </row>
    <row r="1582" spans="1:9" x14ac:dyDescent="0.3">
      <c r="A1582" s="26">
        <v>46872</v>
      </c>
      <c r="B1582" s="27">
        <f t="shared" si="120"/>
        <v>2028</v>
      </c>
      <c r="C1582" s="27">
        <f t="shared" si="121"/>
        <v>4</v>
      </c>
      <c r="D1582" s="27">
        <f t="shared" si="122"/>
        <v>29</v>
      </c>
      <c r="E1582" s="27">
        <f t="shared" si="123"/>
        <v>7</v>
      </c>
      <c r="F1582" s="27">
        <f>VLOOKUP(E1582,[1]t_calendarioPolitica!A:C,3,FALSE)</f>
        <v>2</v>
      </c>
      <c r="G1582" s="1">
        <v>1</v>
      </c>
      <c r="H1582" s="1">
        <v>1</v>
      </c>
      <c r="I1582" s="1">
        <f t="shared" si="124"/>
        <v>1</v>
      </c>
    </row>
    <row r="1583" spans="1:9" x14ac:dyDescent="0.3">
      <c r="A1583" s="26">
        <v>46873</v>
      </c>
      <c r="B1583" s="27">
        <f t="shared" si="120"/>
        <v>2028</v>
      </c>
      <c r="C1583" s="27">
        <f t="shared" si="121"/>
        <v>4</v>
      </c>
      <c r="D1583" s="27">
        <f t="shared" si="122"/>
        <v>30</v>
      </c>
      <c r="E1583" s="27">
        <f t="shared" si="123"/>
        <v>1</v>
      </c>
      <c r="F1583" s="27">
        <f>VLOOKUP(E1583,[1]t_calendarioPolitica!A:C,3,FALSE)</f>
        <v>0</v>
      </c>
      <c r="G1583" s="1">
        <v>1</v>
      </c>
      <c r="H1583" s="1">
        <v>1</v>
      </c>
      <c r="I1583" s="1">
        <f t="shared" si="124"/>
        <v>0</v>
      </c>
    </row>
    <row r="1584" spans="1:9" x14ac:dyDescent="0.3">
      <c r="A1584" s="26">
        <v>46874</v>
      </c>
      <c r="B1584" s="27">
        <f t="shared" si="120"/>
        <v>2028</v>
      </c>
      <c r="C1584" s="27">
        <f t="shared" si="121"/>
        <v>5</v>
      </c>
      <c r="D1584" s="27">
        <f t="shared" si="122"/>
        <v>1</v>
      </c>
      <c r="E1584" s="27">
        <f t="shared" si="123"/>
        <v>2</v>
      </c>
      <c r="F1584" s="27">
        <f>VLOOKUP(E1584,[1]t_calendarioPolitica!A:C,3,FALSE)</f>
        <v>1</v>
      </c>
      <c r="G1584" s="1">
        <v>1</v>
      </c>
      <c r="H1584" s="1">
        <v>1</v>
      </c>
      <c r="I1584" s="1">
        <f t="shared" si="124"/>
        <v>1</v>
      </c>
    </row>
    <row r="1585" spans="1:9" x14ac:dyDescent="0.3">
      <c r="A1585" s="26">
        <v>46875</v>
      </c>
      <c r="B1585" s="27">
        <f t="shared" si="120"/>
        <v>2028</v>
      </c>
      <c r="C1585" s="27">
        <f t="shared" si="121"/>
        <v>5</v>
      </c>
      <c r="D1585" s="27">
        <f t="shared" si="122"/>
        <v>2</v>
      </c>
      <c r="E1585" s="27">
        <f t="shared" si="123"/>
        <v>3</v>
      </c>
      <c r="F1585" s="27">
        <f>VLOOKUP(E1585,[1]t_calendarioPolitica!A:C,3,FALSE)</f>
        <v>1</v>
      </c>
      <c r="G1585" s="1">
        <v>1</v>
      </c>
      <c r="H1585" s="1">
        <v>1</v>
      </c>
      <c r="I1585" s="1">
        <f t="shared" si="124"/>
        <v>1</v>
      </c>
    </row>
    <row r="1586" spans="1:9" x14ac:dyDescent="0.3">
      <c r="A1586" s="26">
        <v>46876</v>
      </c>
      <c r="B1586" s="27">
        <f t="shared" si="120"/>
        <v>2028</v>
      </c>
      <c r="C1586" s="27">
        <f t="shared" si="121"/>
        <v>5</v>
      </c>
      <c r="D1586" s="27">
        <f t="shared" si="122"/>
        <v>3</v>
      </c>
      <c r="E1586" s="27">
        <f t="shared" si="123"/>
        <v>4</v>
      </c>
      <c r="F1586" s="27">
        <f>VLOOKUP(E1586,[1]t_calendarioPolitica!A:C,3,FALSE)</f>
        <v>1</v>
      </c>
      <c r="G1586" s="1">
        <v>1</v>
      </c>
      <c r="H1586" s="1">
        <v>1</v>
      </c>
      <c r="I1586" s="1">
        <f t="shared" si="124"/>
        <v>1</v>
      </c>
    </row>
    <row r="1587" spans="1:9" x14ac:dyDescent="0.3">
      <c r="A1587" s="26">
        <v>46877</v>
      </c>
      <c r="B1587" s="27">
        <f t="shared" si="120"/>
        <v>2028</v>
      </c>
      <c r="C1587" s="27">
        <f t="shared" si="121"/>
        <v>5</v>
      </c>
      <c r="D1587" s="27">
        <f t="shared" si="122"/>
        <v>4</v>
      </c>
      <c r="E1587" s="27">
        <f t="shared" si="123"/>
        <v>5</v>
      </c>
      <c r="F1587" s="27">
        <f>VLOOKUP(E1587,[1]t_calendarioPolitica!A:C,3,FALSE)</f>
        <v>1</v>
      </c>
      <c r="G1587" s="1">
        <v>1</v>
      </c>
      <c r="H1587" s="1">
        <v>1</v>
      </c>
      <c r="I1587" s="1">
        <f t="shared" si="124"/>
        <v>1</v>
      </c>
    </row>
    <row r="1588" spans="1:9" x14ac:dyDescent="0.3">
      <c r="A1588" s="26">
        <v>46878</v>
      </c>
      <c r="B1588" s="27">
        <f t="shared" si="120"/>
        <v>2028</v>
      </c>
      <c r="C1588" s="27">
        <f t="shared" si="121"/>
        <v>5</v>
      </c>
      <c r="D1588" s="27">
        <f t="shared" si="122"/>
        <v>5</v>
      </c>
      <c r="E1588" s="27">
        <f t="shared" si="123"/>
        <v>6</v>
      </c>
      <c r="F1588" s="27">
        <f>VLOOKUP(E1588,[1]t_calendarioPolitica!A:C,3,FALSE)</f>
        <v>1</v>
      </c>
      <c r="G1588" s="1">
        <v>1</v>
      </c>
      <c r="H1588" s="1">
        <v>1</v>
      </c>
      <c r="I1588" s="1">
        <f t="shared" si="124"/>
        <v>1</v>
      </c>
    </row>
    <row r="1589" spans="1:9" x14ac:dyDescent="0.3">
      <c r="A1589" s="26">
        <v>46879</v>
      </c>
      <c r="B1589" s="27">
        <f t="shared" si="120"/>
        <v>2028</v>
      </c>
      <c r="C1589" s="27">
        <f t="shared" si="121"/>
        <v>5</v>
      </c>
      <c r="D1589" s="27">
        <f t="shared" si="122"/>
        <v>6</v>
      </c>
      <c r="E1589" s="27">
        <f t="shared" si="123"/>
        <v>7</v>
      </c>
      <c r="F1589" s="27">
        <f>VLOOKUP(E1589,[1]t_calendarioPolitica!A:C,3,FALSE)</f>
        <v>2</v>
      </c>
      <c r="G1589" s="1">
        <v>1</v>
      </c>
      <c r="H1589" s="1">
        <v>1</v>
      </c>
      <c r="I1589" s="1">
        <f t="shared" si="124"/>
        <v>1</v>
      </c>
    </row>
    <row r="1590" spans="1:9" x14ac:dyDescent="0.3">
      <c r="A1590" s="26">
        <v>46880</v>
      </c>
      <c r="B1590" s="27">
        <f t="shared" si="120"/>
        <v>2028</v>
      </c>
      <c r="C1590" s="27">
        <f t="shared" si="121"/>
        <v>5</v>
      </c>
      <c r="D1590" s="27">
        <f t="shared" si="122"/>
        <v>7</v>
      </c>
      <c r="E1590" s="27">
        <f t="shared" si="123"/>
        <v>1</v>
      </c>
      <c r="F1590" s="27">
        <f>VLOOKUP(E1590,[1]t_calendarioPolitica!A:C,3,FALSE)</f>
        <v>0</v>
      </c>
      <c r="G1590" s="1">
        <v>1</v>
      </c>
      <c r="H1590" s="1">
        <v>1</v>
      </c>
      <c r="I1590" s="1">
        <f t="shared" si="124"/>
        <v>0</v>
      </c>
    </row>
    <row r="1591" spans="1:9" x14ac:dyDescent="0.3">
      <c r="A1591" s="26">
        <v>46881</v>
      </c>
      <c r="B1591" s="27">
        <f t="shared" si="120"/>
        <v>2028</v>
      </c>
      <c r="C1591" s="27">
        <f t="shared" si="121"/>
        <v>5</v>
      </c>
      <c r="D1591" s="27">
        <f t="shared" si="122"/>
        <v>8</v>
      </c>
      <c r="E1591" s="27">
        <f t="shared" si="123"/>
        <v>2</v>
      </c>
      <c r="F1591" s="27">
        <f>VLOOKUP(E1591,[1]t_calendarioPolitica!A:C,3,FALSE)</f>
        <v>1</v>
      </c>
      <c r="G1591" s="1">
        <v>1</v>
      </c>
      <c r="H1591" s="1">
        <v>1</v>
      </c>
      <c r="I1591" s="1">
        <f t="shared" si="124"/>
        <v>1</v>
      </c>
    </row>
    <row r="1592" spans="1:9" x14ac:dyDescent="0.3">
      <c r="A1592" s="26">
        <v>46882</v>
      </c>
      <c r="B1592" s="27">
        <f t="shared" si="120"/>
        <v>2028</v>
      </c>
      <c r="C1592" s="27">
        <f t="shared" si="121"/>
        <v>5</v>
      </c>
      <c r="D1592" s="27">
        <f t="shared" si="122"/>
        <v>9</v>
      </c>
      <c r="E1592" s="27">
        <f t="shared" si="123"/>
        <v>3</v>
      </c>
      <c r="F1592" s="27">
        <f>VLOOKUP(E1592,[1]t_calendarioPolitica!A:C,3,FALSE)</f>
        <v>1</v>
      </c>
      <c r="G1592" s="1">
        <v>1</v>
      </c>
      <c r="H1592" s="1">
        <v>1</v>
      </c>
      <c r="I1592" s="1">
        <f t="shared" si="124"/>
        <v>1</v>
      </c>
    </row>
    <row r="1593" spans="1:9" x14ac:dyDescent="0.3">
      <c r="A1593" s="26">
        <v>46883</v>
      </c>
      <c r="B1593" s="27">
        <f t="shared" si="120"/>
        <v>2028</v>
      </c>
      <c r="C1593" s="27">
        <f t="shared" si="121"/>
        <v>5</v>
      </c>
      <c r="D1593" s="27">
        <f t="shared" si="122"/>
        <v>10</v>
      </c>
      <c r="E1593" s="27">
        <f t="shared" si="123"/>
        <v>4</v>
      </c>
      <c r="F1593" s="27">
        <f>VLOOKUP(E1593,[1]t_calendarioPolitica!A:C,3,FALSE)</f>
        <v>1</v>
      </c>
      <c r="G1593" s="1">
        <v>1</v>
      </c>
      <c r="H1593" s="1">
        <v>0</v>
      </c>
      <c r="I1593" s="1">
        <f t="shared" si="124"/>
        <v>0</v>
      </c>
    </row>
    <row r="1594" spans="1:9" x14ac:dyDescent="0.3">
      <c r="A1594" s="26">
        <v>46884</v>
      </c>
      <c r="B1594" s="27">
        <f t="shared" si="120"/>
        <v>2028</v>
      </c>
      <c r="C1594" s="27">
        <f t="shared" si="121"/>
        <v>5</v>
      </c>
      <c r="D1594" s="27">
        <f t="shared" si="122"/>
        <v>11</v>
      </c>
      <c r="E1594" s="27">
        <f t="shared" si="123"/>
        <v>5</v>
      </c>
      <c r="F1594" s="27">
        <f>VLOOKUP(E1594,[1]t_calendarioPolitica!A:C,3,FALSE)</f>
        <v>1</v>
      </c>
      <c r="G1594" s="1">
        <v>1</v>
      </c>
      <c r="H1594" s="1">
        <v>1</v>
      </c>
      <c r="I1594" s="1">
        <f t="shared" si="124"/>
        <v>1</v>
      </c>
    </row>
    <row r="1595" spans="1:9" x14ac:dyDescent="0.3">
      <c r="A1595" s="26">
        <v>46885</v>
      </c>
      <c r="B1595" s="27">
        <f t="shared" si="120"/>
        <v>2028</v>
      </c>
      <c r="C1595" s="27">
        <f t="shared" si="121"/>
        <v>5</v>
      </c>
      <c r="D1595" s="27">
        <f t="shared" si="122"/>
        <v>12</v>
      </c>
      <c r="E1595" s="27">
        <f t="shared" si="123"/>
        <v>6</v>
      </c>
      <c r="F1595" s="27">
        <f>VLOOKUP(E1595,[1]t_calendarioPolitica!A:C,3,FALSE)</f>
        <v>1</v>
      </c>
      <c r="G1595" s="1">
        <v>1</v>
      </c>
      <c r="H1595" s="1">
        <v>1</v>
      </c>
      <c r="I1595" s="1">
        <f t="shared" si="124"/>
        <v>1</v>
      </c>
    </row>
    <row r="1596" spans="1:9" x14ac:dyDescent="0.3">
      <c r="A1596" s="26">
        <v>46886</v>
      </c>
      <c r="B1596" s="27">
        <f t="shared" si="120"/>
        <v>2028</v>
      </c>
      <c r="C1596" s="27">
        <f t="shared" si="121"/>
        <v>5</v>
      </c>
      <c r="D1596" s="27">
        <f t="shared" si="122"/>
        <v>13</v>
      </c>
      <c r="E1596" s="27">
        <f t="shared" si="123"/>
        <v>7</v>
      </c>
      <c r="F1596" s="27">
        <f>VLOOKUP(E1596,[1]t_calendarioPolitica!A:C,3,FALSE)</f>
        <v>2</v>
      </c>
      <c r="G1596" s="1">
        <v>1</v>
      </c>
      <c r="H1596" s="1">
        <v>1</v>
      </c>
      <c r="I1596" s="1">
        <f t="shared" si="124"/>
        <v>1</v>
      </c>
    </row>
    <row r="1597" spans="1:9" x14ac:dyDescent="0.3">
      <c r="A1597" s="26">
        <v>46887</v>
      </c>
      <c r="B1597" s="27">
        <f t="shared" si="120"/>
        <v>2028</v>
      </c>
      <c r="C1597" s="27">
        <f t="shared" si="121"/>
        <v>5</v>
      </c>
      <c r="D1597" s="27">
        <f t="shared" si="122"/>
        <v>14</v>
      </c>
      <c r="E1597" s="27">
        <f t="shared" si="123"/>
        <v>1</v>
      </c>
      <c r="F1597" s="27">
        <f>VLOOKUP(E1597,[1]t_calendarioPolitica!A:C,3,FALSE)</f>
        <v>0</v>
      </c>
      <c r="G1597" s="1">
        <v>1</v>
      </c>
      <c r="H1597" s="1">
        <v>1</v>
      </c>
      <c r="I1597" s="1">
        <f t="shared" si="124"/>
        <v>0</v>
      </c>
    </row>
    <row r="1598" spans="1:9" x14ac:dyDescent="0.3">
      <c r="A1598" s="26">
        <v>46888</v>
      </c>
      <c r="B1598" s="27">
        <f t="shared" si="120"/>
        <v>2028</v>
      </c>
      <c r="C1598" s="27">
        <f t="shared" si="121"/>
        <v>5</v>
      </c>
      <c r="D1598" s="27">
        <f t="shared" si="122"/>
        <v>15</v>
      </c>
      <c r="E1598" s="27">
        <f t="shared" si="123"/>
        <v>2</v>
      </c>
      <c r="F1598" s="27">
        <f>VLOOKUP(E1598,[1]t_calendarioPolitica!A:C,3,FALSE)</f>
        <v>1</v>
      </c>
      <c r="G1598" s="1">
        <v>1</v>
      </c>
      <c r="H1598" s="1">
        <v>1</v>
      </c>
      <c r="I1598" s="1">
        <f t="shared" si="124"/>
        <v>1</v>
      </c>
    </row>
    <row r="1599" spans="1:9" x14ac:dyDescent="0.3">
      <c r="A1599" s="26">
        <v>46889</v>
      </c>
      <c r="B1599" s="27">
        <f t="shared" si="120"/>
        <v>2028</v>
      </c>
      <c r="C1599" s="27">
        <f t="shared" si="121"/>
        <v>5</v>
      </c>
      <c r="D1599" s="27">
        <f t="shared" si="122"/>
        <v>16</v>
      </c>
      <c r="E1599" s="27">
        <f t="shared" si="123"/>
        <v>3</v>
      </c>
      <c r="F1599" s="27">
        <f>VLOOKUP(E1599,[1]t_calendarioPolitica!A:C,3,FALSE)</f>
        <v>1</v>
      </c>
      <c r="G1599" s="1">
        <v>1</v>
      </c>
      <c r="H1599" s="1">
        <v>1</v>
      </c>
      <c r="I1599" s="1">
        <f t="shared" si="124"/>
        <v>1</v>
      </c>
    </row>
    <row r="1600" spans="1:9" x14ac:dyDescent="0.3">
      <c r="A1600" s="26">
        <v>46890</v>
      </c>
      <c r="B1600" s="27">
        <f t="shared" si="120"/>
        <v>2028</v>
      </c>
      <c r="C1600" s="27">
        <f t="shared" si="121"/>
        <v>5</v>
      </c>
      <c r="D1600" s="27">
        <f t="shared" si="122"/>
        <v>17</v>
      </c>
      <c r="E1600" s="27">
        <f t="shared" si="123"/>
        <v>4</v>
      </c>
      <c r="F1600" s="27">
        <f>VLOOKUP(E1600,[1]t_calendarioPolitica!A:C,3,FALSE)</f>
        <v>1</v>
      </c>
      <c r="G1600" s="1">
        <v>1</v>
      </c>
      <c r="H1600" s="1">
        <v>1</v>
      </c>
      <c r="I1600" s="1">
        <f t="shared" si="124"/>
        <v>1</v>
      </c>
    </row>
    <row r="1601" spans="1:9" x14ac:dyDescent="0.3">
      <c r="A1601" s="26">
        <v>46891</v>
      </c>
      <c r="B1601" s="27">
        <f t="shared" si="120"/>
        <v>2028</v>
      </c>
      <c r="C1601" s="27">
        <f t="shared" si="121"/>
        <v>5</v>
      </c>
      <c r="D1601" s="27">
        <f t="shared" si="122"/>
        <v>18</v>
      </c>
      <c r="E1601" s="27">
        <f t="shared" si="123"/>
        <v>5</v>
      </c>
      <c r="F1601" s="27">
        <f>VLOOKUP(E1601,[1]t_calendarioPolitica!A:C,3,FALSE)</f>
        <v>1</v>
      </c>
      <c r="G1601" s="1">
        <v>1</v>
      </c>
      <c r="H1601" s="1">
        <v>1</v>
      </c>
      <c r="I1601" s="1">
        <f t="shared" si="124"/>
        <v>1</v>
      </c>
    </row>
    <row r="1602" spans="1:9" x14ac:dyDescent="0.3">
      <c r="A1602" s="26">
        <v>46892</v>
      </c>
      <c r="B1602" s="27">
        <f t="shared" si="120"/>
        <v>2028</v>
      </c>
      <c r="C1602" s="27">
        <f t="shared" si="121"/>
        <v>5</v>
      </c>
      <c r="D1602" s="27">
        <f t="shared" si="122"/>
        <v>19</v>
      </c>
      <c r="E1602" s="27">
        <f t="shared" si="123"/>
        <v>6</v>
      </c>
      <c r="F1602" s="27">
        <f>VLOOKUP(E1602,[1]t_calendarioPolitica!A:C,3,FALSE)</f>
        <v>1</v>
      </c>
      <c r="G1602" s="1">
        <v>1</v>
      </c>
      <c r="H1602" s="1">
        <v>1</v>
      </c>
      <c r="I1602" s="1">
        <f t="shared" si="124"/>
        <v>1</v>
      </c>
    </row>
    <row r="1603" spans="1:9" x14ac:dyDescent="0.3">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VLOOKUP(E1603,[1]t_calendarioPolitica!A:C,3,FALSE)</f>
        <v>2</v>
      </c>
      <c r="G1603" s="1">
        <v>1</v>
      </c>
      <c r="H1603" s="1">
        <v>1</v>
      </c>
      <c r="I1603" s="1">
        <f t="shared" ref="I1603:I1666" si="129">IF(AND(F1603&lt;&gt;0, H1603&lt;&gt;0,G1603&lt;&gt;0), 1, 0)</f>
        <v>1</v>
      </c>
    </row>
    <row r="1604" spans="1:9" x14ac:dyDescent="0.3">
      <c r="A1604" s="26">
        <v>46894</v>
      </c>
      <c r="B1604" s="27">
        <f t="shared" si="125"/>
        <v>2028</v>
      </c>
      <c r="C1604" s="27">
        <f t="shared" si="126"/>
        <v>5</v>
      </c>
      <c r="D1604" s="27">
        <f t="shared" si="127"/>
        <v>21</v>
      </c>
      <c r="E1604" s="27">
        <f t="shared" si="128"/>
        <v>1</v>
      </c>
      <c r="F1604" s="27">
        <f>VLOOKUP(E1604,[1]t_calendarioPolitica!A:C,3,FALSE)</f>
        <v>0</v>
      </c>
      <c r="G1604" s="1">
        <v>1</v>
      </c>
      <c r="H1604" s="1">
        <v>1</v>
      </c>
      <c r="I1604" s="1">
        <f t="shared" si="129"/>
        <v>0</v>
      </c>
    </row>
    <row r="1605" spans="1:9" x14ac:dyDescent="0.3">
      <c r="A1605" s="26">
        <v>46895</v>
      </c>
      <c r="B1605" s="27">
        <f t="shared" si="125"/>
        <v>2028</v>
      </c>
      <c r="C1605" s="27">
        <f t="shared" si="126"/>
        <v>5</v>
      </c>
      <c r="D1605" s="27">
        <f t="shared" si="127"/>
        <v>22</v>
      </c>
      <c r="E1605" s="27">
        <f t="shared" si="128"/>
        <v>2</v>
      </c>
      <c r="F1605" s="27">
        <f>VLOOKUP(E1605,[1]t_calendarioPolitica!A:C,3,FALSE)</f>
        <v>1</v>
      </c>
      <c r="G1605" s="1">
        <v>1</v>
      </c>
      <c r="H1605" s="1">
        <v>1</v>
      </c>
      <c r="I1605" s="1">
        <f t="shared" si="129"/>
        <v>1</v>
      </c>
    </row>
    <row r="1606" spans="1:9" x14ac:dyDescent="0.3">
      <c r="A1606" s="26">
        <v>46896</v>
      </c>
      <c r="B1606" s="27">
        <f t="shared" si="125"/>
        <v>2028</v>
      </c>
      <c r="C1606" s="27">
        <f t="shared" si="126"/>
        <v>5</v>
      </c>
      <c r="D1606" s="27">
        <f t="shared" si="127"/>
        <v>23</v>
      </c>
      <c r="E1606" s="27">
        <f t="shared" si="128"/>
        <v>3</v>
      </c>
      <c r="F1606" s="27">
        <f>VLOOKUP(E1606,[1]t_calendarioPolitica!A:C,3,FALSE)</f>
        <v>1</v>
      </c>
      <c r="G1606" s="1">
        <v>1</v>
      </c>
      <c r="H1606" s="1">
        <v>1</v>
      </c>
      <c r="I1606" s="1">
        <f t="shared" si="129"/>
        <v>1</v>
      </c>
    </row>
    <row r="1607" spans="1:9" x14ac:dyDescent="0.3">
      <c r="A1607" s="26">
        <v>46897</v>
      </c>
      <c r="B1607" s="27">
        <f t="shared" si="125"/>
        <v>2028</v>
      </c>
      <c r="C1607" s="27">
        <f t="shared" si="126"/>
        <v>5</v>
      </c>
      <c r="D1607" s="27">
        <f t="shared" si="127"/>
        <v>24</v>
      </c>
      <c r="E1607" s="27">
        <f t="shared" si="128"/>
        <v>4</v>
      </c>
      <c r="F1607" s="27">
        <f>VLOOKUP(E1607,[1]t_calendarioPolitica!A:C,3,FALSE)</f>
        <v>1</v>
      </c>
      <c r="G1607" s="1">
        <v>1</v>
      </c>
      <c r="H1607" s="1">
        <v>1</v>
      </c>
      <c r="I1607" s="1">
        <f t="shared" si="129"/>
        <v>1</v>
      </c>
    </row>
    <row r="1608" spans="1:9" x14ac:dyDescent="0.3">
      <c r="A1608" s="26">
        <v>46898</v>
      </c>
      <c r="B1608" s="27">
        <f t="shared" si="125"/>
        <v>2028</v>
      </c>
      <c r="C1608" s="27">
        <f t="shared" si="126"/>
        <v>5</v>
      </c>
      <c r="D1608" s="27">
        <f t="shared" si="127"/>
        <v>25</v>
      </c>
      <c r="E1608" s="27">
        <f t="shared" si="128"/>
        <v>5</v>
      </c>
      <c r="F1608" s="27">
        <f>VLOOKUP(E1608,[1]t_calendarioPolitica!A:C,3,FALSE)</f>
        <v>1</v>
      </c>
      <c r="G1608" s="1">
        <v>1</v>
      </c>
      <c r="H1608" s="1">
        <v>1</v>
      </c>
      <c r="I1608" s="1">
        <f t="shared" si="129"/>
        <v>1</v>
      </c>
    </row>
    <row r="1609" spans="1:9" x14ac:dyDescent="0.3">
      <c r="A1609" s="26">
        <v>46899</v>
      </c>
      <c r="B1609" s="27">
        <f t="shared" si="125"/>
        <v>2028</v>
      </c>
      <c r="C1609" s="27">
        <f t="shared" si="126"/>
        <v>5</v>
      </c>
      <c r="D1609" s="27">
        <f t="shared" si="127"/>
        <v>26</v>
      </c>
      <c r="E1609" s="27">
        <f t="shared" si="128"/>
        <v>6</v>
      </c>
      <c r="F1609" s="27">
        <f>VLOOKUP(E1609,[1]t_calendarioPolitica!A:C,3,FALSE)</f>
        <v>1</v>
      </c>
      <c r="G1609" s="1">
        <v>1</v>
      </c>
      <c r="H1609" s="1">
        <v>1</v>
      </c>
      <c r="I1609" s="1">
        <f t="shared" si="129"/>
        <v>1</v>
      </c>
    </row>
    <row r="1610" spans="1:9" x14ac:dyDescent="0.3">
      <c r="A1610" s="26">
        <v>46900</v>
      </c>
      <c r="B1610" s="27">
        <f t="shared" si="125"/>
        <v>2028</v>
      </c>
      <c r="C1610" s="27">
        <f t="shared" si="126"/>
        <v>5</v>
      </c>
      <c r="D1610" s="27">
        <f t="shared" si="127"/>
        <v>27</v>
      </c>
      <c r="E1610" s="27">
        <f t="shared" si="128"/>
        <v>7</v>
      </c>
      <c r="F1610" s="27">
        <f>VLOOKUP(E1610,[1]t_calendarioPolitica!A:C,3,FALSE)</f>
        <v>2</v>
      </c>
      <c r="G1610" s="1">
        <v>1</v>
      </c>
      <c r="H1610" s="1">
        <v>1</v>
      </c>
      <c r="I1610" s="1">
        <f t="shared" si="129"/>
        <v>1</v>
      </c>
    </row>
    <row r="1611" spans="1:9" x14ac:dyDescent="0.3">
      <c r="A1611" s="26">
        <v>46901</v>
      </c>
      <c r="B1611" s="27">
        <f t="shared" si="125"/>
        <v>2028</v>
      </c>
      <c r="C1611" s="27">
        <f t="shared" si="126"/>
        <v>5</v>
      </c>
      <c r="D1611" s="27">
        <f t="shared" si="127"/>
        <v>28</v>
      </c>
      <c r="E1611" s="27">
        <f t="shared" si="128"/>
        <v>1</v>
      </c>
      <c r="F1611" s="27">
        <f>VLOOKUP(E1611,[1]t_calendarioPolitica!A:C,3,FALSE)</f>
        <v>0</v>
      </c>
      <c r="G1611" s="1">
        <v>1</v>
      </c>
      <c r="H1611" s="1">
        <v>1</v>
      </c>
      <c r="I1611" s="1">
        <f t="shared" si="129"/>
        <v>0</v>
      </c>
    </row>
    <row r="1612" spans="1:9" x14ac:dyDescent="0.3">
      <c r="A1612" s="26">
        <v>46902</v>
      </c>
      <c r="B1612" s="27">
        <f t="shared" si="125"/>
        <v>2028</v>
      </c>
      <c r="C1612" s="27">
        <f t="shared" si="126"/>
        <v>5</v>
      </c>
      <c r="D1612" s="27">
        <f t="shared" si="127"/>
        <v>29</v>
      </c>
      <c r="E1612" s="27">
        <f t="shared" si="128"/>
        <v>2</v>
      </c>
      <c r="F1612" s="27">
        <f>VLOOKUP(E1612,[1]t_calendarioPolitica!A:C,3,FALSE)</f>
        <v>1</v>
      </c>
      <c r="G1612" s="1">
        <v>1</v>
      </c>
      <c r="H1612" s="1">
        <v>1</v>
      </c>
      <c r="I1612" s="1">
        <f t="shared" si="129"/>
        <v>1</v>
      </c>
    </row>
    <row r="1613" spans="1:9" x14ac:dyDescent="0.3">
      <c r="A1613" s="26">
        <v>46903</v>
      </c>
      <c r="B1613" s="27">
        <f t="shared" si="125"/>
        <v>2028</v>
      </c>
      <c r="C1613" s="27">
        <f t="shared" si="126"/>
        <v>5</v>
      </c>
      <c r="D1613" s="27">
        <f t="shared" si="127"/>
        <v>30</v>
      </c>
      <c r="E1613" s="27">
        <f t="shared" si="128"/>
        <v>3</v>
      </c>
      <c r="F1613" s="27">
        <f>VLOOKUP(E1613,[1]t_calendarioPolitica!A:C,3,FALSE)</f>
        <v>1</v>
      </c>
      <c r="G1613" s="1">
        <v>1</v>
      </c>
      <c r="H1613" s="1">
        <v>1</v>
      </c>
      <c r="I1613" s="1">
        <f t="shared" si="129"/>
        <v>1</v>
      </c>
    </row>
    <row r="1614" spans="1:9" x14ac:dyDescent="0.3">
      <c r="A1614" s="26">
        <v>46904</v>
      </c>
      <c r="B1614" s="27">
        <f t="shared" si="125"/>
        <v>2028</v>
      </c>
      <c r="C1614" s="27">
        <f t="shared" si="126"/>
        <v>5</v>
      </c>
      <c r="D1614" s="27">
        <f t="shared" si="127"/>
        <v>31</v>
      </c>
      <c r="E1614" s="27">
        <f t="shared" si="128"/>
        <v>4</v>
      </c>
      <c r="F1614" s="27">
        <f>VLOOKUP(E1614,[1]t_calendarioPolitica!A:C,3,FALSE)</f>
        <v>1</v>
      </c>
      <c r="G1614" s="1">
        <v>1</v>
      </c>
      <c r="H1614" s="1">
        <v>1</v>
      </c>
      <c r="I1614" s="1">
        <f t="shared" si="129"/>
        <v>1</v>
      </c>
    </row>
    <row r="1615" spans="1:9" x14ac:dyDescent="0.3">
      <c r="A1615" s="26">
        <v>46905</v>
      </c>
      <c r="B1615" s="27">
        <f t="shared" si="125"/>
        <v>2028</v>
      </c>
      <c r="C1615" s="27">
        <f t="shared" si="126"/>
        <v>6</v>
      </c>
      <c r="D1615" s="27">
        <f t="shared" si="127"/>
        <v>1</v>
      </c>
      <c r="E1615" s="27">
        <f t="shared" si="128"/>
        <v>5</v>
      </c>
      <c r="F1615" s="27">
        <f>VLOOKUP(E1615,[1]t_calendarioPolitica!A:C,3,FALSE)</f>
        <v>1</v>
      </c>
      <c r="G1615" s="1">
        <v>1</v>
      </c>
      <c r="H1615" s="1">
        <v>1</v>
      </c>
      <c r="I1615" s="1">
        <f t="shared" si="129"/>
        <v>1</v>
      </c>
    </row>
    <row r="1616" spans="1:9" x14ac:dyDescent="0.3">
      <c r="A1616" s="26">
        <v>46906</v>
      </c>
      <c r="B1616" s="27">
        <f t="shared" si="125"/>
        <v>2028</v>
      </c>
      <c r="C1616" s="27">
        <f t="shared" si="126"/>
        <v>6</v>
      </c>
      <c r="D1616" s="27">
        <f t="shared" si="127"/>
        <v>2</v>
      </c>
      <c r="E1616" s="27">
        <f t="shared" si="128"/>
        <v>6</v>
      </c>
      <c r="F1616" s="27">
        <f>VLOOKUP(E1616,[1]t_calendarioPolitica!A:C,3,FALSE)</f>
        <v>1</v>
      </c>
      <c r="G1616" s="1">
        <v>1</v>
      </c>
      <c r="H1616" s="1">
        <v>1</v>
      </c>
      <c r="I1616" s="1">
        <f t="shared" si="129"/>
        <v>1</v>
      </c>
    </row>
    <row r="1617" spans="1:9" x14ac:dyDescent="0.3">
      <c r="A1617" s="26">
        <v>46907</v>
      </c>
      <c r="B1617" s="27">
        <f t="shared" si="125"/>
        <v>2028</v>
      </c>
      <c r="C1617" s="27">
        <f t="shared" si="126"/>
        <v>6</v>
      </c>
      <c r="D1617" s="27">
        <f t="shared" si="127"/>
        <v>3</v>
      </c>
      <c r="E1617" s="27">
        <f t="shared" si="128"/>
        <v>7</v>
      </c>
      <c r="F1617" s="27">
        <f>VLOOKUP(E1617,[1]t_calendarioPolitica!A:C,3,FALSE)</f>
        <v>2</v>
      </c>
      <c r="G1617" s="1">
        <v>1</v>
      </c>
      <c r="H1617" s="1">
        <v>1</v>
      </c>
      <c r="I1617" s="1">
        <f t="shared" si="129"/>
        <v>1</v>
      </c>
    </row>
    <row r="1618" spans="1:9" x14ac:dyDescent="0.3">
      <c r="A1618" s="26">
        <v>46908</v>
      </c>
      <c r="B1618" s="27">
        <f t="shared" si="125"/>
        <v>2028</v>
      </c>
      <c r="C1618" s="27">
        <f t="shared" si="126"/>
        <v>6</v>
      </c>
      <c r="D1618" s="27">
        <f t="shared" si="127"/>
        <v>4</v>
      </c>
      <c r="E1618" s="27">
        <f t="shared" si="128"/>
        <v>1</v>
      </c>
      <c r="F1618" s="27">
        <f>VLOOKUP(E1618,[1]t_calendarioPolitica!A:C,3,FALSE)</f>
        <v>0</v>
      </c>
      <c r="G1618" s="1">
        <v>1</v>
      </c>
      <c r="H1618" s="1">
        <v>1</v>
      </c>
      <c r="I1618" s="1">
        <f t="shared" si="129"/>
        <v>0</v>
      </c>
    </row>
    <row r="1619" spans="1:9" x14ac:dyDescent="0.3">
      <c r="A1619" s="26">
        <v>46909</v>
      </c>
      <c r="B1619" s="27">
        <f t="shared" si="125"/>
        <v>2028</v>
      </c>
      <c r="C1619" s="27">
        <f t="shared" si="126"/>
        <v>6</v>
      </c>
      <c r="D1619" s="27">
        <f t="shared" si="127"/>
        <v>5</v>
      </c>
      <c r="E1619" s="27">
        <f t="shared" si="128"/>
        <v>2</v>
      </c>
      <c r="F1619" s="27">
        <f>VLOOKUP(E1619,[1]t_calendarioPolitica!A:C,3,FALSE)</f>
        <v>1</v>
      </c>
      <c r="G1619" s="1">
        <v>1</v>
      </c>
      <c r="H1619" s="1">
        <v>1</v>
      </c>
      <c r="I1619" s="1">
        <f t="shared" si="129"/>
        <v>1</v>
      </c>
    </row>
    <row r="1620" spans="1:9" x14ac:dyDescent="0.3">
      <c r="A1620" s="26">
        <v>46910</v>
      </c>
      <c r="B1620" s="27">
        <f t="shared" si="125"/>
        <v>2028</v>
      </c>
      <c r="C1620" s="27">
        <f t="shared" si="126"/>
        <v>6</v>
      </c>
      <c r="D1620" s="27">
        <f t="shared" si="127"/>
        <v>6</v>
      </c>
      <c r="E1620" s="27">
        <f t="shared" si="128"/>
        <v>3</v>
      </c>
      <c r="F1620" s="27">
        <f>VLOOKUP(E1620,[1]t_calendarioPolitica!A:C,3,FALSE)</f>
        <v>1</v>
      </c>
      <c r="G1620" s="1">
        <v>1</v>
      </c>
      <c r="H1620" s="1">
        <v>1</v>
      </c>
      <c r="I1620" s="1">
        <f t="shared" si="129"/>
        <v>1</v>
      </c>
    </row>
    <row r="1621" spans="1:9" x14ac:dyDescent="0.3">
      <c r="A1621" s="26">
        <v>46911</v>
      </c>
      <c r="B1621" s="27">
        <f t="shared" si="125"/>
        <v>2028</v>
      </c>
      <c r="C1621" s="27">
        <f t="shared" si="126"/>
        <v>6</v>
      </c>
      <c r="D1621" s="27">
        <f t="shared" si="127"/>
        <v>7</v>
      </c>
      <c r="E1621" s="27">
        <f t="shared" si="128"/>
        <v>4</v>
      </c>
      <c r="F1621" s="27">
        <f>VLOOKUP(E1621,[1]t_calendarioPolitica!A:C,3,FALSE)</f>
        <v>1</v>
      </c>
      <c r="G1621" s="1">
        <v>1</v>
      </c>
      <c r="H1621" s="1">
        <v>1</v>
      </c>
      <c r="I1621" s="1">
        <f t="shared" si="129"/>
        <v>1</v>
      </c>
    </row>
    <row r="1622" spans="1:9" x14ac:dyDescent="0.3">
      <c r="A1622" s="26">
        <v>46912</v>
      </c>
      <c r="B1622" s="27">
        <f t="shared" si="125"/>
        <v>2028</v>
      </c>
      <c r="C1622" s="27">
        <f t="shared" si="126"/>
        <v>6</v>
      </c>
      <c r="D1622" s="27">
        <f t="shared" si="127"/>
        <v>8</v>
      </c>
      <c r="E1622" s="27">
        <f t="shared" si="128"/>
        <v>5</v>
      </c>
      <c r="F1622" s="27">
        <f>VLOOKUP(E1622,[1]t_calendarioPolitica!A:C,3,FALSE)</f>
        <v>1</v>
      </c>
      <c r="G1622" s="1">
        <v>1</v>
      </c>
      <c r="H1622" s="1">
        <v>1</v>
      </c>
      <c r="I1622" s="1">
        <f t="shared" si="129"/>
        <v>1</v>
      </c>
    </row>
    <row r="1623" spans="1:9" x14ac:dyDescent="0.3">
      <c r="A1623" s="26">
        <v>46913</v>
      </c>
      <c r="B1623" s="27">
        <f t="shared" si="125"/>
        <v>2028</v>
      </c>
      <c r="C1623" s="27">
        <f t="shared" si="126"/>
        <v>6</v>
      </c>
      <c r="D1623" s="27">
        <f t="shared" si="127"/>
        <v>9</v>
      </c>
      <c r="E1623" s="27">
        <f t="shared" si="128"/>
        <v>6</v>
      </c>
      <c r="F1623" s="27">
        <f>VLOOKUP(E1623,[1]t_calendarioPolitica!A:C,3,FALSE)</f>
        <v>1</v>
      </c>
      <c r="G1623" s="1">
        <v>1</v>
      </c>
      <c r="H1623" s="1">
        <v>1</v>
      </c>
      <c r="I1623" s="1">
        <f t="shared" si="129"/>
        <v>1</v>
      </c>
    </row>
    <row r="1624" spans="1:9" x14ac:dyDescent="0.3">
      <c r="A1624" s="26">
        <v>46914</v>
      </c>
      <c r="B1624" s="27">
        <f t="shared" si="125"/>
        <v>2028</v>
      </c>
      <c r="C1624" s="27">
        <f t="shared" si="126"/>
        <v>6</v>
      </c>
      <c r="D1624" s="27">
        <f t="shared" si="127"/>
        <v>10</v>
      </c>
      <c r="E1624" s="27">
        <f t="shared" si="128"/>
        <v>7</v>
      </c>
      <c r="F1624" s="27">
        <f>VLOOKUP(E1624,[1]t_calendarioPolitica!A:C,3,FALSE)</f>
        <v>2</v>
      </c>
      <c r="G1624" s="1">
        <v>1</v>
      </c>
      <c r="H1624" s="1">
        <v>1</v>
      </c>
      <c r="I1624" s="1">
        <f t="shared" si="129"/>
        <v>1</v>
      </c>
    </row>
    <row r="1625" spans="1:9" x14ac:dyDescent="0.3">
      <c r="A1625" s="26">
        <v>46915</v>
      </c>
      <c r="B1625" s="27">
        <f t="shared" si="125"/>
        <v>2028</v>
      </c>
      <c r="C1625" s="27">
        <f t="shared" si="126"/>
        <v>6</v>
      </c>
      <c r="D1625" s="27">
        <f t="shared" si="127"/>
        <v>11</v>
      </c>
      <c r="E1625" s="27">
        <f t="shared" si="128"/>
        <v>1</v>
      </c>
      <c r="F1625" s="27">
        <f>VLOOKUP(E1625,[1]t_calendarioPolitica!A:C,3,FALSE)</f>
        <v>0</v>
      </c>
      <c r="G1625" s="1">
        <v>1</v>
      </c>
      <c r="H1625" s="1">
        <v>1</v>
      </c>
      <c r="I1625" s="1">
        <f t="shared" si="129"/>
        <v>0</v>
      </c>
    </row>
    <row r="1626" spans="1:9" x14ac:dyDescent="0.3">
      <c r="A1626" s="26">
        <v>46916</v>
      </c>
      <c r="B1626" s="27">
        <f t="shared" si="125"/>
        <v>2028</v>
      </c>
      <c r="C1626" s="27">
        <f t="shared" si="126"/>
        <v>6</v>
      </c>
      <c r="D1626" s="27">
        <f t="shared" si="127"/>
        <v>12</v>
      </c>
      <c r="E1626" s="27">
        <f t="shared" si="128"/>
        <v>2</v>
      </c>
      <c r="F1626" s="27">
        <f>VLOOKUP(E1626,[1]t_calendarioPolitica!A:C,3,FALSE)</f>
        <v>1</v>
      </c>
      <c r="G1626" s="1">
        <v>1</v>
      </c>
      <c r="H1626" s="1">
        <v>1</v>
      </c>
      <c r="I1626" s="1">
        <f t="shared" si="129"/>
        <v>1</v>
      </c>
    </row>
    <row r="1627" spans="1:9" x14ac:dyDescent="0.3">
      <c r="A1627" s="26">
        <v>46917</v>
      </c>
      <c r="B1627" s="27">
        <f t="shared" si="125"/>
        <v>2028</v>
      </c>
      <c r="C1627" s="27">
        <f t="shared" si="126"/>
        <v>6</v>
      </c>
      <c r="D1627" s="27">
        <f t="shared" si="127"/>
        <v>13</v>
      </c>
      <c r="E1627" s="27">
        <f t="shared" si="128"/>
        <v>3</v>
      </c>
      <c r="F1627" s="27">
        <f>VLOOKUP(E1627,[1]t_calendarioPolitica!A:C,3,FALSE)</f>
        <v>1</v>
      </c>
      <c r="G1627" s="1">
        <v>1</v>
      </c>
      <c r="H1627" s="1">
        <v>1</v>
      </c>
      <c r="I1627" s="1">
        <f t="shared" si="129"/>
        <v>1</v>
      </c>
    </row>
    <row r="1628" spans="1:9" x14ac:dyDescent="0.3">
      <c r="A1628" s="26">
        <v>46918</v>
      </c>
      <c r="B1628" s="27">
        <f t="shared" si="125"/>
        <v>2028</v>
      </c>
      <c r="C1628" s="27">
        <f t="shared" si="126"/>
        <v>6</v>
      </c>
      <c r="D1628" s="27">
        <f t="shared" si="127"/>
        <v>14</v>
      </c>
      <c r="E1628" s="27">
        <f t="shared" si="128"/>
        <v>4</v>
      </c>
      <c r="F1628" s="27">
        <f>VLOOKUP(E1628,[1]t_calendarioPolitica!A:C,3,FALSE)</f>
        <v>1</v>
      </c>
      <c r="G1628" s="1">
        <v>1</v>
      </c>
      <c r="H1628" s="1">
        <v>1</v>
      </c>
      <c r="I1628" s="1">
        <f t="shared" si="129"/>
        <v>1</v>
      </c>
    </row>
    <row r="1629" spans="1:9" x14ac:dyDescent="0.3">
      <c r="A1629" s="26">
        <v>46919</v>
      </c>
      <c r="B1629" s="27">
        <f t="shared" si="125"/>
        <v>2028</v>
      </c>
      <c r="C1629" s="27">
        <f t="shared" si="126"/>
        <v>6</v>
      </c>
      <c r="D1629" s="27">
        <f t="shared" si="127"/>
        <v>15</v>
      </c>
      <c r="E1629" s="27">
        <f t="shared" si="128"/>
        <v>5</v>
      </c>
      <c r="F1629" s="27">
        <f>VLOOKUP(E1629,[1]t_calendarioPolitica!A:C,3,FALSE)</f>
        <v>1</v>
      </c>
      <c r="G1629" s="1">
        <v>1</v>
      </c>
      <c r="H1629" s="1">
        <v>1</v>
      </c>
      <c r="I1629" s="1">
        <f t="shared" si="129"/>
        <v>1</v>
      </c>
    </row>
    <row r="1630" spans="1:9" x14ac:dyDescent="0.3">
      <c r="A1630" s="26">
        <v>46920</v>
      </c>
      <c r="B1630" s="27">
        <f t="shared" si="125"/>
        <v>2028</v>
      </c>
      <c r="C1630" s="27">
        <f t="shared" si="126"/>
        <v>6</v>
      </c>
      <c r="D1630" s="27">
        <f t="shared" si="127"/>
        <v>16</v>
      </c>
      <c r="E1630" s="27">
        <f t="shared" si="128"/>
        <v>6</v>
      </c>
      <c r="F1630" s="27">
        <f>VLOOKUP(E1630,[1]t_calendarioPolitica!A:C,3,FALSE)</f>
        <v>1</v>
      </c>
      <c r="G1630" s="1">
        <v>1</v>
      </c>
      <c r="H1630" s="1">
        <v>1</v>
      </c>
      <c r="I1630" s="1">
        <f t="shared" si="129"/>
        <v>1</v>
      </c>
    </row>
    <row r="1631" spans="1:9" x14ac:dyDescent="0.3">
      <c r="A1631" s="26">
        <v>46921</v>
      </c>
      <c r="B1631" s="27">
        <f t="shared" si="125"/>
        <v>2028</v>
      </c>
      <c r="C1631" s="27">
        <f t="shared" si="126"/>
        <v>6</v>
      </c>
      <c r="D1631" s="27">
        <f t="shared" si="127"/>
        <v>17</v>
      </c>
      <c r="E1631" s="27">
        <f t="shared" si="128"/>
        <v>7</v>
      </c>
      <c r="F1631" s="27">
        <f>VLOOKUP(E1631,[1]t_calendarioPolitica!A:C,3,FALSE)</f>
        <v>2</v>
      </c>
      <c r="G1631" s="1">
        <v>1</v>
      </c>
      <c r="H1631" s="1">
        <v>1</v>
      </c>
      <c r="I1631" s="1">
        <f t="shared" si="129"/>
        <v>1</v>
      </c>
    </row>
    <row r="1632" spans="1:9" x14ac:dyDescent="0.3">
      <c r="A1632" s="26">
        <v>46922</v>
      </c>
      <c r="B1632" s="27">
        <f t="shared" si="125"/>
        <v>2028</v>
      </c>
      <c r="C1632" s="27">
        <f t="shared" si="126"/>
        <v>6</v>
      </c>
      <c r="D1632" s="27">
        <f t="shared" si="127"/>
        <v>18</v>
      </c>
      <c r="E1632" s="27">
        <f t="shared" si="128"/>
        <v>1</v>
      </c>
      <c r="F1632" s="27">
        <f>VLOOKUP(E1632,[1]t_calendarioPolitica!A:C,3,FALSE)</f>
        <v>0</v>
      </c>
      <c r="G1632" s="1">
        <v>1</v>
      </c>
      <c r="H1632" s="1">
        <v>1</v>
      </c>
      <c r="I1632" s="1">
        <f t="shared" si="129"/>
        <v>0</v>
      </c>
    </row>
    <row r="1633" spans="1:9" x14ac:dyDescent="0.3">
      <c r="A1633" s="26">
        <v>46923</v>
      </c>
      <c r="B1633" s="27">
        <f t="shared" si="125"/>
        <v>2028</v>
      </c>
      <c r="C1633" s="27">
        <f t="shared" si="126"/>
        <v>6</v>
      </c>
      <c r="D1633" s="27">
        <f t="shared" si="127"/>
        <v>19</v>
      </c>
      <c r="E1633" s="27">
        <f t="shared" si="128"/>
        <v>2</v>
      </c>
      <c r="F1633" s="27">
        <f>VLOOKUP(E1633,[1]t_calendarioPolitica!A:C,3,FALSE)</f>
        <v>1</v>
      </c>
      <c r="G1633" s="1">
        <v>1</v>
      </c>
      <c r="H1633" s="1">
        <v>1</v>
      </c>
      <c r="I1633" s="1">
        <f t="shared" si="129"/>
        <v>1</v>
      </c>
    </row>
    <row r="1634" spans="1:9" x14ac:dyDescent="0.3">
      <c r="A1634" s="26">
        <v>46924</v>
      </c>
      <c r="B1634" s="27">
        <f t="shared" si="125"/>
        <v>2028</v>
      </c>
      <c r="C1634" s="27">
        <f t="shared" si="126"/>
        <v>6</v>
      </c>
      <c r="D1634" s="27">
        <f t="shared" si="127"/>
        <v>20</v>
      </c>
      <c r="E1634" s="27">
        <f t="shared" si="128"/>
        <v>3</v>
      </c>
      <c r="F1634" s="27">
        <f>VLOOKUP(E1634,[1]t_calendarioPolitica!A:C,3,FALSE)</f>
        <v>1</v>
      </c>
      <c r="G1634" s="1">
        <v>1</v>
      </c>
      <c r="H1634" s="1">
        <v>1</v>
      </c>
      <c r="I1634" s="1">
        <f t="shared" si="129"/>
        <v>1</v>
      </c>
    </row>
    <row r="1635" spans="1:9" x14ac:dyDescent="0.3">
      <c r="A1635" s="26">
        <v>46925</v>
      </c>
      <c r="B1635" s="27">
        <f t="shared" si="125"/>
        <v>2028</v>
      </c>
      <c r="C1635" s="27">
        <f t="shared" si="126"/>
        <v>6</v>
      </c>
      <c r="D1635" s="27">
        <f t="shared" si="127"/>
        <v>21</v>
      </c>
      <c r="E1635" s="27">
        <f t="shared" si="128"/>
        <v>4</v>
      </c>
      <c r="F1635" s="27">
        <f>VLOOKUP(E1635,[1]t_calendarioPolitica!A:C,3,FALSE)</f>
        <v>1</v>
      </c>
      <c r="G1635" s="1">
        <v>1</v>
      </c>
      <c r="H1635" s="1">
        <v>1</v>
      </c>
      <c r="I1635" s="1">
        <f t="shared" si="129"/>
        <v>1</v>
      </c>
    </row>
    <row r="1636" spans="1:9" x14ac:dyDescent="0.3">
      <c r="A1636" s="26">
        <v>46926</v>
      </c>
      <c r="B1636" s="27">
        <f t="shared" si="125"/>
        <v>2028</v>
      </c>
      <c r="C1636" s="27">
        <f t="shared" si="126"/>
        <v>6</v>
      </c>
      <c r="D1636" s="27">
        <f t="shared" si="127"/>
        <v>22</v>
      </c>
      <c r="E1636" s="27">
        <f t="shared" si="128"/>
        <v>5</v>
      </c>
      <c r="F1636" s="27">
        <f>VLOOKUP(E1636,[1]t_calendarioPolitica!A:C,3,FALSE)</f>
        <v>1</v>
      </c>
      <c r="G1636" s="1">
        <v>1</v>
      </c>
      <c r="H1636" s="1">
        <v>1</v>
      </c>
      <c r="I1636" s="1">
        <f t="shared" si="129"/>
        <v>1</v>
      </c>
    </row>
    <row r="1637" spans="1:9" x14ac:dyDescent="0.3">
      <c r="A1637" s="26">
        <v>46927</v>
      </c>
      <c r="B1637" s="27">
        <f t="shared" si="125"/>
        <v>2028</v>
      </c>
      <c r="C1637" s="27">
        <f t="shared" si="126"/>
        <v>6</v>
      </c>
      <c r="D1637" s="27">
        <f t="shared" si="127"/>
        <v>23</v>
      </c>
      <c r="E1637" s="27">
        <f t="shared" si="128"/>
        <v>6</v>
      </c>
      <c r="F1637" s="27">
        <f>VLOOKUP(E1637,[1]t_calendarioPolitica!A:C,3,FALSE)</f>
        <v>1</v>
      </c>
      <c r="G1637" s="1">
        <v>1</v>
      </c>
      <c r="H1637" s="1">
        <v>1</v>
      </c>
      <c r="I1637" s="1">
        <f t="shared" si="129"/>
        <v>1</v>
      </c>
    </row>
    <row r="1638" spans="1:9" x14ac:dyDescent="0.3">
      <c r="A1638" s="26">
        <v>46928</v>
      </c>
      <c r="B1638" s="27">
        <f t="shared" si="125"/>
        <v>2028</v>
      </c>
      <c r="C1638" s="27">
        <f t="shared" si="126"/>
        <v>6</v>
      </c>
      <c r="D1638" s="27">
        <f t="shared" si="127"/>
        <v>24</v>
      </c>
      <c r="E1638" s="27">
        <f t="shared" si="128"/>
        <v>7</v>
      </c>
      <c r="F1638" s="27">
        <f>VLOOKUP(E1638,[1]t_calendarioPolitica!A:C,3,FALSE)</f>
        <v>2</v>
      </c>
      <c r="G1638" s="1">
        <v>1</v>
      </c>
      <c r="H1638" s="1">
        <v>1</v>
      </c>
      <c r="I1638" s="1">
        <f t="shared" si="129"/>
        <v>1</v>
      </c>
    </row>
    <row r="1639" spans="1:9" x14ac:dyDescent="0.3">
      <c r="A1639" s="26">
        <v>46929</v>
      </c>
      <c r="B1639" s="27">
        <f t="shared" si="125"/>
        <v>2028</v>
      </c>
      <c r="C1639" s="27">
        <f t="shared" si="126"/>
        <v>6</v>
      </c>
      <c r="D1639" s="27">
        <f t="shared" si="127"/>
        <v>25</v>
      </c>
      <c r="E1639" s="27">
        <f t="shared" si="128"/>
        <v>1</v>
      </c>
      <c r="F1639" s="27">
        <f>VLOOKUP(E1639,[1]t_calendarioPolitica!A:C,3,FALSE)</f>
        <v>0</v>
      </c>
      <c r="G1639" s="1">
        <v>1</v>
      </c>
      <c r="H1639" s="1">
        <v>1</v>
      </c>
      <c r="I1639" s="1">
        <f t="shared" si="129"/>
        <v>0</v>
      </c>
    </row>
    <row r="1640" spans="1:9" x14ac:dyDescent="0.3">
      <c r="A1640" s="26">
        <v>46930</v>
      </c>
      <c r="B1640" s="27">
        <f t="shared" si="125"/>
        <v>2028</v>
      </c>
      <c r="C1640" s="27">
        <f t="shared" si="126"/>
        <v>6</v>
      </c>
      <c r="D1640" s="27">
        <f t="shared" si="127"/>
        <v>26</v>
      </c>
      <c r="E1640" s="27">
        <f t="shared" si="128"/>
        <v>2</v>
      </c>
      <c r="F1640" s="27">
        <f>VLOOKUP(E1640,[1]t_calendarioPolitica!A:C,3,FALSE)</f>
        <v>1</v>
      </c>
      <c r="G1640" s="1">
        <v>1</v>
      </c>
      <c r="H1640" s="1">
        <v>1</v>
      </c>
      <c r="I1640" s="1">
        <f t="shared" si="129"/>
        <v>1</v>
      </c>
    </row>
    <row r="1641" spans="1:9" x14ac:dyDescent="0.3">
      <c r="A1641" s="26">
        <v>46931</v>
      </c>
      <c r="B1641" s="27">
        <f t="shared" si="125"/>
        <v>2028</v>
      </c>
      <c r="C1641" s="27">
        <f t="shared" si="126"/>
        <v>6</v>
      </c>
      <c r="D1641" s="27">
        <f t="shared" si="127"/>
        <v>27</v>
      </c>
      <c r="E1641" s="27">
        <f t="shared" si="128"/>
        <v>3</v>
      </c>
      <c r="F1641" s="27">
        <f>VLOOKUP(E1641,[1]t_calendarioPolitica!A:C,3,FALSE)</f>
        <v>1</v>
      </c>
      <c r="G1641" s="1">
        <v>1</v>
      </c>
      <c r="H1641" s="1">
        <v>1</v>
      </c>
      <c r="I1641" s="1">
        <f t="shared" si="129"/>
        <v>1</v>
      </c>
    </row>
    <row r="1642" spans="1:9" x14ac:dyDescent="0.3">
      <c r="A1642" s="26">
        <v>46932</v>
      </c>
      <c r="B1642" s="27">
        <f t="shared" si="125"/>
        <v>2028</v>
      </c>
      <c r="C1642" s="27">
        <f t="shared" si="126"/>
        <v>6</v>
      </c>
      <c r="D1642" s="27">
        <f t="shared" si="127"/>
        <v>28</v>
      </c>
      <c r="E1642" s="27">
        <f t="shared" si="128"/>
        <v>4</v>
      </c>
      <c r="F1642" s="27">
        <f>VLOOKUP(E1642,[1]t_calendarioPolitica!A:C,3,FALSE)</f>
        <v>1</v>
      </c>
      <c r="G1642" s="1">
        <v>1</v>
      </c>
      <c r="H1642" s="1">
        <v>1</v>
      </c>
      <c r="I1642" s="1">
        <f t="shared" si="129"/>
        <v>1</v>
      </c>
    </row>
    <row r="1643" spans="1:9" x14ac:dyDescent="0.3">
      <c r="A1643" s="26">
        <v>46933</v>
      </c>
      <c r="B1643" s="27">
        <f t="shared" si="125"/>
        <v>2028</v>
      </c>
      <c r="C1643" s="27">
        <f t="shared" si="126"/>
        <v>6</v>
      </c>
      <c r="D1643" s="27">
        <f t="shared" si="127"/>
        <v>29</v>
      </c>
      <c r="E1643" s="27">
        <f t="shared" si="128"/>
        <v>5</v>
      </c>
      <c r="F1643" s="27">
        <f>VLOOKUP(E1643,[1]t_calendarioPolitica!A:C,3,FALSE)</f>
        <v>1</v>
      </c>
      <c r="G1643" s="1">
        <v>1</v>
      </c>
      <c r="H1643" s="1">
        <v>1</v>
      </c>
      <c r="I1643" s="1">
        <f t="shared" si="129"/>
        <v>1</v>
      </c>
    </row>
    <row r="1644" spans="1:9" x14ac:dyDescent="0.3">
      <c r="A1644" s="26">
        <v>46934</v>
      </c>
      <c r="B1644" s="27">
        <f t="shared" si="125"/>
        <v>2028</v>
      </c>
      <c r="C1644" s="27">
        <f t="shared" si="126"/>
        <v>6</v>
      </c>
      <c r="D1644" s="27">
        <f t="shared" si="127"/>
        <v>30</v>
      </c>
      <c r="E1644" s="27">
        <f t="shared" si="128"/>
        <v>6</v>
      </c>
      <c r="F1644" s="27">
        <f>VLOOKUP(E1644,[1]t_calendarioPolitica!A:C,3,FALSE)</f>
        <v>1</v>
      </c>
      <c r="G1644" s="1">
        <v>1</v>
      </c>
      <c r="H1644" s="1">
        <v>1</v>
      </c>
      <c r="I1644" s="1">
        <f t="shared" si="129"/>
        <v>1</v>
      </c>
    </row>
    <row r="1645" spans="1:9" x14ac:dyDescent="0.3">
      <c r="A1645" s="26">
        <v>46935</v>
      </c>
      <c r="B1645" s="27">
        <f t="shared" si="125"/>
        <v>2028</v>
      </c>
      <c r="C1645" s="27">
        <f t="shared" si="126"/>
        <v>7</v>
      </c>
      <c r="D1645" s="27">
        <f t="shared" si="127"/>
        <v>1</v>
      </c>
      <c r="E1645" s="27">
        <f t="shared" si="128"/>
        <v>7</v>
      </c>
      <c r="F1645" s="27">
        <f>VLOOKUP(E1645,[1]t_calendarioPolitica!A:C,3,FALSE)</f>
        <v>2</v>
      </c>
      <c r="G1645" s="1">
        <v>1</v>
      </c>
      <c r="H1645" s="1">
        <v>1</v>
      </c>
      <c r="I1645" s="1">
        <f t="shared" si="129"/>
        <v>1</v>
      </c>
    </row>
    <row r="1646" spans="1:9" x14ac:dyDescent="0.3">
      <c r="A1646" s="26">
        <v>46936</v>
      </c>
      <c r="B1646" s="27">
        <f t="shared" si="125"/>
        <v>2028</v>
      </c>
      <c r="C1646" s="27">
        <f t="shared" si="126"/>
        <v>7</v>
      </c>
      <c r="D1646" s="27">
        <f t="shared" si="127"/>
        <v>2</v>
      </c>
      <c r="E1646" s="27">
        <f t="shared" si="128"/>
        <v>1</v>
      </c>
      <c r="F1646" s="27">
        <f>VLOOKUP(E1646,[1]t_calendarioPolitica!A:C,3,FALSE)</f>
        <v>0</v>
      </c>
      <c r="G1646" s="1">
        <v>1</v>
      </c>
      <c r="H1646" s="1">
        <v>1</v>
      </c>
      <c r="I1646" s="1">
        <f t="shared" si="129"/>
        <v>0</v>
      </c>
    </row>
    <row r="1647" spans="1:9" x14ac:dyDescent="0.3">
      <c r="A1647" s="26">
        <v>46937</v>
      </c>
      <c r="B1647" s="27">
        <f t="shared" si="125"/>
        <v>2028</v>
      </c>
      <c r="C1647" s="27">
        <f t="shared" si="126"/>
        <v>7</v>
      </c>
      <c r="D1647" s="27">
        <f t="shared" si="127"/>
        <v>3</v>
      </c>
      <c r="E1647" s="27">
        <f t="shared" si="128"/>
        <v>2</v>
      </c>
      <c r="F1647" s="27">
        <f>VLOOKUP(E1647,[1]t_calendarioPolitica!A:C,3,FALSE)</f>
        <v>1</v>
      </c>
      <c r="G1647" s="1">
        <v>1</v>
      </c>
      <c r="H1647" s="1">
        <v>1</v>
      </c>
      <c r="I1647" s="1">
        <f t="shared" si="129"/>
        <v>1</v>
      </c>
    </row>
    <row r="1648" spans="1:9" x14ac:dyDescent="0.3">
      <c r="A1648" s="26">
        <v>46938</v>
      </c>
      <c r="B1648" s="27">
        <f t="shared" si="125"/>
        <v>2028</v>
      </c>
      <c r="C1648" s="27">
        <f t="shared" si="126"/>
        <v>7</v>
      </c>
      <c r="D1648" s="27">
        <f t="shared" si="127"/>
        <v>4</v>
      </c>
      <c r="E1648" s="27">
        <f t="shared" si="128"/>
        <v>3</v>
      </c>
      <c r="F1648" s="27">
        <f>VLOOKUP(E1648,[1]t_calendarioPolitica!A:C,3,FALSE)</f>
        <v>1</v>
      </c>
      <c r="G1648" s="1">
        <v>1</v>
      </c>
      <c r="H1648" s="1">
        <v>1</v>
      </c>
      <c r="I1648" s="1">
        <f t="shared" si="129"/>
        <v>1</v>
      </c>
    </row>
    <row r="1649" spans="1:9" x14ac:dyDescent="0.3">
      <c r="A1649" s="26">
        <v>46939</v>
      </c>
      <c r="B1649" s="27">
        <f t="shared" si="125"/>
        <v>2028</v>
      </c>
      <c r="C1649" s="27">
        <f t="shared" si="126"/>
        <v>7</v>
      </c>
      <c r="D1649" s="27">
        <f t="shared" si="127"/>
        <v>5</v>
      </c>
      <c r="E1649" s="27">
        <f t="shared" si="128"/>
        <v>4</v>
      </c>
      <c r="F1649" s="27">
        <f>VLOOKUP(E1649,[1]t_calendarioPolitica!A:C,3,FALSE)</f>
        <v>1</v>
      </c>
      <c r="G1649" s="1">
        <v>1</v>
      </c>
      <c r="H1649" s="1">
        <v>1</v>
      </c>
      <c r="I1649" s="1">
        <f t="shared" si="129"/>
        <v>1</v>
      </c>
    </row>
    <row r="1650" spans="1:9" x14ac:dyDescent="0.3">
      <c r="A1650" s="26">
        <v>46940</v>
      </c>
      <c r="B1650" s="27">
        <f t="shared" si="125"/>
        <v>2028</v>
      </c>
      <c r="C1650" s="27">
        <f t="shared" si="126"/>
        <v>7</v>
      </c>
      <c r="D1650" s="27">
        <f t="shared" si="127"/>
        <v>6</v>
      </c>
      <c r="E1650" s="27">
        <f t="shared" si="128"/>
        <v>5</v>
      </c>
      <c r="F1650" s="27">
        <f>VLOOKUP(E1650,[1]t_calendarioPolitica!A:C,3,FALSE)</f>
        <v>1</v>
      </c>
      <c r="G1650" s="1">
        <v>1</v>
      </c>
      <c r="H1650" s="1">
        <v>1</v>
      </c>
      <c r="I1650" s="1">
        <f t="shared" si="129"/>
        <v>1</v>
      </c>
    </row>
    <row r="1651" spans="1:9" x14ac:dyDescent="0.3">
      <c r="A1651" s="26">
        <v>46941</v>
      </c>
      <c r="B1651" s="27">
        <f t="shared" si="125"/>
        <v>2028</v>
      </c>
      <c r="C1651" s="27">
        <f t="shared" si="126"/>
        <v>7</v>
      </c>
      <c r="D1651" s="27">
        <f t="shared" si="127"/>
        <v>7</v>
      </c>
      <c r="E1651" s="27">
        <f t="shared" si="128"/>
        <v>6</v>
      </c>
      <c r="F1651" s="27">
        <f>VLOOKUP(E1651,[1]t_calendarioPolitica!A:C,3,FALSE)</f>
        <v>1</v>
      </c>
      <c r="G1651" s="1">
        <v>1</v>
      </c>
      <c r="H1651" s="1">
        <v>1</v>
      </c>
      <c r="I1651" s="1">
        <f t="shared" si="129"/>
        <v>1</v>
      </c>
    </row>
    <row r="1652" spans="1:9" x14ac:dyDescent="0.3">
      <c r="A1652" s="26">
        <v>46942</v>
      </c>
      <c r="B1652" s="27">
        <f t="shared" si="125"/>
        <v>2028</v>
      </c>
      <c r="C1652" s="27">
        <f t="shared" si="126"/>
        <v>7</v>
      </c>
      <c r="D1652" s="27">
        <f t="shared" si="127"/>
        <v>8</v>
      </c>
      <c r="E1652" s="27">
        <f t="shared" si="128"/>
        <v>7</v>
      </c>
      <c r="F1652" s="27">
        <f>VLOOKUP(E1652,[1]t_calendarioPolitica!A:C,3,FALSE)</f>
        <v>2</v>
      </c>
      <c r="G1652" s="1">
        <v>1</v>
      </c>
      <c r="H1652" s="1">
        <v>1</v>
      </c>
      <c r="I1652" s="1">
        <f t="shared" si="129"/>
        <v>1</v>
      </c>
    </row>
    <row r="1653" spans="1:9" x14ac:dyDescent="0.3">
      <c r="A1653" s="26">
        <v>46943</v>
      </c>
      <c r="B1653" s="27">
        <f t="shared" si="125"/>
        <v>2028</v>
      </c>
      <c r="C1653" s="27">
        <f t="shared" si="126"/>
        <v>7</v>
      </c>
      <c r="D1653" s="27">
        <f t="shared" si="127"/>
        <v>9</v>
      </c>
      <c r="E1653" s="27">
        <f t="shared" si="128"/>
        <v>1</v>
      </c>
      <c r="F1653" s="27">
        <f>VLOOKUP(E1653,[1]t_calendarioPolitica!A:C,3,FALSE)</f>
        <v>0</v>
      </c>
      <c r="G1653" s="1">
        <v>1</v>
      </c>
      <c r="H1653" s="1">
        <v>1</v>
      </c>
      <c r="I1653" s="1">
        <f t="shared" si="129"/>
        <v>0</v>
      </c>
    </row>
    <row r="1654" spans="1:9" x14ac:dyDescent="0.3">
      <c r="A1654" s="26">
        <v>46944</v>
      </c>
      <c r="B1654" s="27">
        <f t="shared" si="125"/>
        <v>2028</v>
      </c>
      <c r="C1654" s="27">
        <f t="shared" si="126"/>
        <v>7</v>
      </c>
      <c r="D1654" s="27">
        <f t="shared" si="127"/>
        <v>10</v>
      </c>
      <c r="E1654" s="27">
        <f t="shared" si="128"/>
        <v>2</v>
      </c>
      <c r="F1654" s="27">
        <f>VLOOKUP(E1654,[1]t_calendarioPolitica!A:C,3,FALSE)</f>
        <v>1</v>
      </c>
      <c r="G1654" s="1">
        <v>1</v>
      </c>
      <c r="H1654" s="1">
        <v>1</v>
      </c>
      <c r="I1654" s="1">
        <f t="shared" si="129"/>
        <v>1</v>
      </c>
    </row>
    <row r="1655" spans="1:9" x14ac:dyDescent="0.3">
      <c r="A1655" s="26">
        <v>46945</v>
      </c>
      <c r="B1655" s="27">
        <f t="shared" si="125"/>
        <v>2028</v>
      </c>
      <c r="C1655" s="27">
        <f t="shared" si="126"/>
        <v>7</v>
      </c>
      <c r="D1655" s="27">
        <f t="shared" si="127"/>
        <v>11</v>
      </c>
      <c r="E1655" s="27">
        <f t="shared" si="128"/>
        <v>3</v>
      </c>
      <c r="F1655" s="27">
        <f>VLOOKUP(E1655,[1]t_calendarioPolitica!A:C,3,FALSE)</f>
        <v>1</v>
      </c>
      <c r="G1655" s="1">
        <v>1</v>
      </c>
      <c r="H1655" s="1">
        <v>1</v>
      </c>
      <c r="I1655" s="1">
        <f t="shared" si="129"/>
        <v>1</v>
      </c>
    </row>
    <row r="1656" spans="1:9" x14ac:dyDescent="0.3">
      <c r="A1656" s="26">
        <v>46946</v>
      </c>
      <c r="B1656" s="27">
        <f t="shared" si="125"/>
        <v>2028</v>
      </c>
      <c r="C1656" s="27">
        <f t="shared" si="126"/>
        <v>7</v>
      </c>
      <c r="D1656" s="27">
        <f t="shared" si="127"/>
        <v>12</v>
      </c>
      <c r="E1656" s="27">
        <f t="shared" si="128"/>
        <v>4</v>
      </c>
      <c r="F1656" s="27">
        <f>VLOOKUP(E1656,[1]t_calendarioPolitica!A:C,3,FALSE)</f>
        <v>1</v>
      </c>
      <c r="G1656" s="1">
        <v>1</v>
      </c>
      <c r="H1656" s="1">
        <v>1</v>
      </c>
      <c r="I1656" s="1">
        <f t="shared" si="129"/>
        <v>1</v>
      </c>
    </row>
    <row r="1657" spans="1:9" x14ac:dyDescent="0.3">
      <c r="A1657" s="26">
        <v>46947</v>
      </c>
      <c r="B1657" s="27">
        <f t="shared" si="125"/>
        <v>2028</v>
      </c>
      <c r="C1657" s="27">
        <f t="shared" si="126"/>
        <v>7</v>
      </c>
      <c r="D1657" s="27">
        <f t="shared" si="127"/>
        <v>13</v>
      </c>
      <c r="E1657" s="27">
        <f t="shared" si="128"/>
        <v>5</v>
      </c>
      <c r="F1657" s="27">
        <f>VLOOKUP(E1657,[1]t_calendarioPolitica!A:C,3,FALSE)</f>
        <v>1</v>
      </c>
      <c r="G1657" s="1">
        <v>1</v>
      </c>
      <c r="H1657" s="1">
        <v>1</v>
      </c>
      <c r="I1657" s="1">
        <f t="shared" si="129"/>
        <v>1</v>
      </c>
    </row>
    <row r="1658" spans="1:9" x14ac:dyDescent="0.3">
      <c r="A1658" s="26">
        <v>46948</v>
      </c>
      <c r="B1658" s="27">
        <f t="shared" si="125"/>
        <v>2028</v>
      </c>
      <c r="C1658" s="27">
        <f t="shared" si="126"/>
        <v>7</v>
      </c>
      <c r="D1658" s="27">
        <f t="shared" si="127"/>
        <v>14</v>
      </c>
      <c r="E1658" s="27">
        <f t="shared" si="128"/>
        <v>6</v>
      </c>
      <c r="F1658" s="27">
        <f>VLOOKUP(E1658,[1]t_calendarioPolitica!A:C,3,FALSE)</f>
        <v>1</v>
      </c>
      <c r="G1658" s="1">
        <v>1</v>
      </c>
      <c r="H1658" s="1">
        <v>1</v>
      </c>
      <c r="I1658" s="1">
        <f t="shared" si="129"/>
        <v>1</v>
      </c>
    </row>
    <row r="1659" spans="1:9" x14ac:dyDescent="0.3">
      <c r="A1659" s="26">
        <v>46949</v>
      </c>
      <c r="B1659" s="27">
        <f t="shared" si="125"/>
        <v>2028</v>
      </c>
      <c r="C1659" s="27">
        <f t="shared" si="126"/>
        <v>7</v>
      </c>
      <c r="D1659" s="27">
        <f t="shared" si="127"/>
        <v>15</v>
      </c>
      <c r="E1659" s="27">
        <f t="shared" si="128"/>
        <v>7</v>
      </c>
      <c r="F1659" s="27">
        <f>VLOOKUP(E1659,[1]t_calendarioPolitica!A:C,3,FALSE)</f>
        <v>2</v>
      </c>
      <c r="G1659" s="1">
        <v>1</v>
      </c>
      <c r="H1659" s="1">
        <v>1</v>
      </c>
      <c r="I1659" s="1">
        <f t="shared" si="129"/>
        <v>1</v>
      </c>
    </row>
    <row r="1660" spans="1:9" x14ac:dyDescent="0.3">
      <c r="A1660" s="26">
        <v>46950</v>
      </c>
      <c r="B1660" s="27">
        <f t="shared" si="125"/>
        <v>2028</v>
      </c>
      <c r="C1660" s="27">
        <f t="shared" si="126"/>
        <v>7</v>
      </c>
      <c r="D1660" s="27">
        <f t="shared" si="127"/>
        <v>16</v>
      </c>
      <c r="E1660" s="27">
        <f t="shared" si="128"/>
        <v>1</v>
      </c>
      <c r="F1660" s="27">
        <f>VLOOKUP(E1660,[1]t_calendarioPolitica!A:C,3,FALSE)</f>
        <v>0</v>
      </c>
      <c r="G1660" s="1">
        <v>1</v>
      </c>
      <c r="H1660" s="1">
        <v>1</v>
      </c>
      <c r="I1660" s="1">
        <f t="shared" si="129"/>
        <v>0</v>
      </c>
    </row>
    <row r="1661" spans="1:9" x14ac:dyDescent="0.3">
      <c r="A1661" s="26">
        <v>46951</v>
      </c>
      <c r="B1661" s="27">
        <f t="shared" si="125"/>
        <v>2028</v>
      </c>
      <c r="C1661" s="27">
        <f t="shared" si="126"/>
        <v>7</v>
      </c>
      <c r="D1661" s="27">
        <f t="shared" si="127"/>
        <v>17</v>
      </c>
      <c r="E1661" s="27">
        <f t="shared" si="128"/>
        <v>2</v>
      </c>
      <c r="F1661" s="27">
        <f>VLOOKUP(E1661,[1]t_calendarioPolitica!A:C,3,FALSE)</f>
        <v>1</v>
      </c>
      <c r="G1661" s="1">
        <v>1</v>
      </c>
      <c r="H1661" s="1">
        <v>1</v>
      </c>
      <c r="I1661" s="1">
        <f t="shared" si="129"/>
        <v>1</v>
      </c>
    </row>
    <row r="1662" spans="1:9" x14ac:dyDescent="0.3">
      <c r="A1662" s="26">
        <v>46952</v>
      </c>
      <c r="B1662" s="27">
        <f t="shared" si="125"/>
        <v>2028</v>
      </c>
      <c r="C1662" s="27">
        <f t="shared" si="126"/>
        <v>7</v>
      </c>
      <c r="D1662" s="27">
        <f t="shared" si="127"/>
        <v>18</v>
      </c>
      <c r="E1662" s="27">
        <f t="shared" si="128"/>
        <v>3</v>
      </c>
      <c r="F1662" s="27">
        <f>VLOOKUP(E1662,[1]t_calendarioPolitica!A:C,3,FALSE)</f>
        <v>1</v>
      </c>
      <c r="G1662" s="1">
        <v>1</v>
      </c>
      <c r="H1662" s="1">
        <v>1</v>
      </c>
      <c r="I1662" s="1">
        <f t="shared" si="129"/>
        <v>1</v>
      </c>
    </row>
    <row r="1663" spans="1:9" x14ac:dyDescent="0.3">
      <c r="A1663" s="26">
        <v>46953</v>
      </c>
      <c r="B1663" s="27">
        <f t="shared" si="125"/>
        <v>2028</v>
      </c>
      <c r="C1663" s="27">
        <f t="shared" si="126"/>
        <v>7</v>
      </c>
      <c r="D1663" s="27">
        <f t="shared" si="127"/>
        <v>19</v>
      </c>
      <c r="E1663" s="27">
        <f t="shared" si="128"/>
        <v>4</v>
      </c>
      <c r="F1663" s="27">
        <f>VLOOKUP(E1663,[1]t_calendarioPolitica!A:C,3,FALSE)</f>
        <v>1</v>
      </c>
      <c r="G1663" s="1">
        <v>1</v>
      </c>
      <c r="H1663" s="1">
        <v>1</v>
      </c>
      <c r="I1663" s="1">
        <f t="shared" si="129"/>
        <v>1</v>
      </c>
    </row>
    <row r="1664" spans="1:9" x14ac:dyDescent="0.3">
      <c r="A1664" s="26">
        <v>46954</v>
      </c>
      <c r="B1664" s="27">
        <f t="shared" si="125"/>
        <v>2028</v>
      </c>
      <c r="C1664" s="27">
        <f t="shared" si="126"/>
        <v>7</v>
      </c>
      <c r="D1664" s="27">
        <f t="shared" si="127"/>
        <v>20</v>
      </c>
      <c r="E1664" s="27">
        <f t="shared" si="128"/>
        <v>5</v>
      </c>
      <c r="F1664" s="27">
        <f>VLOOKUP(E1664,[1]t_calendarioPolitica!A:C,3,FALSE)</f>
        <v>1</v>
      </c>
      <c r="G1664" s="1">
        <v>1</v>
      </c>
      <c r="H1664" s="1">
        <v>1</v>
      </c>
      <c r="I1664" s="1">
        <f t="shared" si="129"/>
        <v>1</v>
      </c>
    </row>
    <row r="1665" spans="1:9" x14ac:dyDescent="0.3">
      <c r="A1665" s="26">
        <v>46955</v>
      </c>
      <c r="B1665" s="27">
        <f t="shared" si="125"/>
        <v>2028</v>
      </c>
      <c r="C1665" s="27">
        <f t="shared" si="126"/>
        <v>7</v>
      </c>
      <c r="D1665" s="27">
        <f t="shared" si="127"/>
        <v>21</v>
      </c>
      <c r="E1665" s="27">
        <f t="shared" si="128"/>
        <v>6</v>
      </c>
      <c r="F1665" s="27">
        <f>VLOOKUP(E1665,[1]t_calendarioPolitica!A:C,3,FALSE)</f>
        <v>1</v>
      </c>
      <c r="G1665" s="1">
        <v>1</v>
      </c>
      <c r="H1665" s="1">
        <v>1</v>
      </c>
      <c r="I1665" s="1">
        <f t="shared" si="129"/>
        <v>1</v>
      </c>
    </row>
    <row r="1666" spans="1:9" x14ac:dyDescent="0.3">
      <c r="A1666" s="26">
        <v>46956</v>
      </c>
      <c r="B1666" s="27">
        <f t="shared" si="125"/>
        <v>2028</v>
      </c>
      <c r="C1666" s="27">
        <f t="shared" si="126"/>
        <v>7</v>
      </c>
      <c r="D1666" s="27">
        <f t="shared" si="127"/>
        <v>22</v>
      </c>
      <c r="E1666" s="27">
        <f t="shared" si="128"/>
        <v>7</v>
      </c>
      <c r="F1666" s="27">
        <f>VLOOKUP(E1666,[1]t_calendarioPolitica!A:C,3,FALSE)</f>
        <v>2</v>
      </c>
      <c r="G1666" s="1">
        <v>1</v>
      </c>
      <c r="H1666" s="1">
        <v>1</v>
      </c>
      <c r="I1666" s="1">
        <f t="shared" si="129"/>
        <v>1</v>
      </c>
    </row>
    <row r="1667" spans="1:9" x14ac:dyDescent="0.3">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VLOOKUP(E1667,[1]t_calendarioPolitica!A:C,3,FALSE)</f>
        <v>0</v>
      </c>
      <c r="G1667" s="1">
        <v>1</v>
      </c>
      <c r="H1667" s="1">
        <v>1</v>
      </c>
      <c r="I1667" s="1">
        <f t="shared" ref="I1667:I1730" si="134">IF(AND(F1667&lt;&gt;0, H1667&lt;&gt;0,G1667&lt;&gt;0), 1, 0)</f>
        <v>0</v>
      </c>
    </row>
    <row r="1668" spans="1:9" x14ac:dyDescent="0.3">
      <c r="A1668" s="26">
        <v>46958</v>
      </c>
      <c r="B1668" s="27">
        <f t="shared" si="130"/>
        <v>2028</v>
      </c>
      <c r="C1668" s="27">
        <f t="shared" si="131"/>
        <v>7</v>
      </c>
      <c r="D1668" s="27">
        <f t="shared" si="132"/>
        <v>24</v>
      </c>
      <c r="E1668" s="27">
        <f t="shared" si="133"/>
        <v>2</v>
      </c>
      <c r="F1668" s="27">
        <f>VLOOKUP(E1668,[1]t_calendarioPolitica!A:C,3,FALSE)</f>
        <v>1</v>
      </c>
      <c r="G1668" s="1">
        <v>1</v>
      </c>
      <c r="H1668" s="1">
        <v>1</v>
      </c>
      <c r="I1668" s="1">
        <f t="shared" si="134"/>
        <v>1</v>
      </c>
    </row>
    <row r="1669" spans="1:9" x14ac:dyDescent="0.3">
      <c r="A1669" s="26">
        <v>46959</v>
      </c>
      <c r="B1669" s="27">
        <f t="shared" si="130"/>
        <v>2028</v>
      </c>
      <c r="C1669" s="27">
        <f t="shared" si="131"/>
        <v>7</v>
      </c>
      <c r="D1669" s="27">
        <f t="shared" si="132"/>
        <v>25</v>
      </c>
      <c r="E1669" s="27">
        <f t="shared" si="133"/>
        <v>3</v>
      </c>
      <c r="F1669" s="27">
        <f>VLOOKUP(E1669,[1]t_calendarioPolitica!A:C,3,FALSE)</f>
        <v>1</v>
      </c>
      <c r="G1669" s="1">
        <v>1</v>
      </c>
      <c r="H1669" s="1">
        <v>1</v>
      </c>
      <c r="I1669" s="1">
        <f t="shared" si="134"/>
        <v>1</v>
      </c>
    </row>
    <row r="1670" spans="1:9" x14ac:dyDescent="0.3">
      <c r="A1670" s="26">
        <v>46960</v>
      </c>
      <c r="B1670" s="27">
        <f t="shared" si="130"/>
        <v>2028</v>
      </c>
      <c r="C1670" s="27">
        <f t="shared" si="131"/>
        <v>7</v>
      </c>
      <c r="D1670" s="27">
        <f t="shared" si="132"/>
        <v>26</v>
      </c>
      <c r="E1670" s="27">
        <f t="shared" si="133"/>
        <v>4</v>
      </c>
      <c r="F1670" s="27">
        <f>VLOOKUP(E1670,[1]t_calendarioPolitica!A:C,3,FALSE)</f>
        <v>1</v>
      </c>
      <c r="G1670" s="1">
        <v>1</v>
      </c>
      <c r="H1670" s="1">
        <v>1</v>
      </c>
      <c r="I1670" s="1">
        <f t="shared" si="134"/>
        <v>1</v>
      </c>
    </row>
    <row r="1671" spans="1:9" x14ac:dyDescent="0.3">
      <c r="A1671" s="26">
        <v>46961</v>
      </c>
      <c r="B1671" s="27">
        <f t="shared" si="130"/>
        <v>2028</v>
      </c>
      <c r="C1671" s="27">
        <f t="shared" si="131"/>
        <v>7</v>
      </c>
      <c r="D1671" s="27">
        <f t="shared" si="132"/>
        <v>27</v>
      </c>
      <c r="E1671" s="27">
        <f t="shared" si="133"/>
        <v>5</v>
      </c>
      <c r="F1671" s="27">
        <f>VLOOKUP(E1671,[1]t_calendarioPolitica!A:C,3,FALSE)</f>
        <v>1</v>
      </c>
      <c r="G1671" s="1">
        <v>1</v>
      </c>
      <c r="H1671" s="1">
        <v>1</v>
      </c>
      <c r="I1671" s="1">
        <f t="shared" si="134"/>
        <v>1</v>
      </c>
    </row>
    <row r="1672" spans="1:9" x14ac:dyDescent="0.3">
      <c r="A1672" s="26">
        <v>46962</v>
      </c>
      <c r="B1672" s="27">
        <f t="shared" si="130"/>
        <v>2028</v>
      </c>
      <c r="C1672" s="27">
        <f t="shared" si="131"/>
        <v>7</v>
      </c>
      <c r="D1672" s="27">
        <f t="shared" si="132"/>
        <v>28</v>
      </c>
      <c r="E1672" s="27">
        <f t="shared" si="133"/>
        <v>6</v>
      </c>
      <c r="F1672" s="27">
        <f>VLOOKUP(E1672,[1]t_calendarioPolitica!A:C,3,FALSE)</f>
        <v>1</v>
      </c>
      <c r="G1672" s="1">
        <v>1</v>
      </c>
      <c r="H1672" s="1">
        <v>1</v>
      </c>
      <c r="I1672" s="1">
        <f t="shared" si="134"/>
        <v>1</v>
      </c>
    </row>
    <row r="1673" spans="1:9" x14ac:dyDescent="0.3">
      <c r="A1673" s="26">
        <v>46963</v>
      </c>
      <c r="B1673" s="27">
        <f t="shared" si="130"/>
        <v>2028</v>
      </c>
      <c r="C1673" s="27">
        <f t="shared" si="131"/>
        <v>7</v>
      </c>
      <c r="D1673" s="27">
        <f t="shared" si="132"/>
        <v>29</v>
      </c>
      <c r="E1673" s="27">
        <f t="shared" si="133"/>
        <v>7</v>
      </c>
      <c r="F1673" s="27">
        <f>VLOOKUP(E1673,[1]t_calendarioPolitica!A:C,3,FALSE)</f>
        <v>2</v>
      </c>
      <c r="G1673" s="1">
        <v>1</v>
      </c>
      <c r="H1673" s="1">
        <v>1</v>
      </c>
      <c r="I1673" s="1">
        <f t="shared" si="134"/>
        <v>1</v>
      </c>
    </row>
    <row r="1674" spans="1:9" x14ac:dyDescent="0.3">
      <c r="A1674" s="26">
        <v>46964</v>
      </c>
      <c r="B1674" s="27">
        <f t="shared" si="130"/>
        <v>2028</v>
      </c>
      <c r="C1674" s="27">
        <f t="shared" si="131"/>
        <v>7</v>
      </c>
      <c r="D1674" s="27">
        <f t="shared" si="132"/>
        <v>30</v>
      </c>
      <c r="E1674" s="27">
        <f t="shared" si="133"/>
        <v>1</v>
      </c>
      <c r="F1674" s="27">
        <f>VLOOKUP(E1674,[1]t_calendarioPolitica!A:C,3,FALSE)</f>
        <v>0</v>
      </c>
      <c r="G1674" s="1">
        <v>1</v>
      </c>
      <c r="H1674" s="1">
        <v>1</v>
      </c>
      <c r="I1674" s="1">
        <f t="shared" si="134"/>
        <v>0</v>
      </c>
    </row>
    <row r="1675" spans="1:9" x14ac:dyDescent="0.3">
      <c r="A1675" s="26">
        <v>46965</v>
      </c>
      <c r="B1675" s="27">
        <f t="shared" si="130"/>
        <v>2028</v>
      </c>
      <c r="C1675" s="27">
        <f t="shared" si="131"/>
        <v>7</v>
      </c>
      <c r="D1675" s="27">
        <f t="shared" si="132"/>
        <v>31</v>
      </c>
      <c r="E1675" s="27">
        <f t="shared" si="133"/>
        <v>2</v>
      </c>
      <c r="F1675" s="27">
        <f>VLOOKUP(E1675,[1]t_calendarioPolitica!A:C,3,FALSE)</f>
        <v>1</v>
      </c>
      <c r="G1675" s="1">
        <v>1</v>
      </c>
      <c r="H1675" s="1">
        <v>1</v>
      </c>
      <c r="I1675" s="1">
        <f t="shared" si="134"/>
        <v>1</v>
      </c>
    </row>
    <row r="1676" spans="1:9" x14ac:dyDescent="0.3">
      <c r="A1676" s="26">
        <v>46966</v>
      </c>
      <c r="B1676" s="27">
        <f t="shared" si="130"/>
        <v>2028</v>
      </c>
      <c r="C1676" s="27">
        <f t="shared" si="131"/>
        <v>8</v>
      </c>
      <c r="D1676" s="27">
        <f t="shared" si="132"/>
        <v>1</v>
      </c>
      <c r="E1676" s="27">
        <f t="shared" si="133"/>
        <v>3</v>
      </c>
      <c r="F1676" s="27">
        <f>VLOOKUP(E1676,[1]t_calendarioPolitica!A:C,3,FALSE)</f>
        <v>1</v>
      </c>
      <c r="G1676" s="1">
        <v>1</v>
      </c>
      <c r="H1676" s="1">
        <v>1</v>
      </c>
      <c r="I1676" s="1">
        <f t="shared" si="134"/>
        <v>1</v>
      </c>
    </row>
    <row r="1677" spans="1:9" x14ac:dyDescent="0.3">
      <c r="A1677" s="26">
        <v>46967</v>
      </c>
      <c r="B1677" s="27">
        <f t="shared" si="130"/>
        <v>2028</v>
      </c>
      <c r="C1677" s="27">
        <f t="shared" si="131"/>
        <v>8</v>
      </c>
      <c r="D1677" s="27">
        <f t="shared" si="132"/>
        <v>2</v>
      </c>
      <c r="E1677" s="27">
        <f t="shared" si="133"/>
        <v>4</v>
      </c>
      <c r="F1677" s="27">
        <f>VLOOKUP(E1677,[1]t_calendarioPolitica!A:C,3,FALSE)</f>
        <v>1</v>
      </c>
      <c r="G1677" s="1">
        <v>1</v>
      </c>
      <c r="H1677" s="1">
        <v>1</v>
      </c>
      <c r="I1677" s="1">
        <f t="shared" si="134"/>
        <v>1</v>
      </c>
    </row>
    <row r="1678" spans="1:9" x14ac:dyDescent="0.3">
      <c r="A1678" s="26">
        <v>46968</v>
      </c>
      <c r="B1678" s="27">
        <f t="shared" si="130"/>
        <v>2028</v>
      </c>
      <c r="C1678" s="27">
        <f t="shared" si="131"/>
        <v>8</v>
      </c>
      <c r="D1678" s="27">
        <f t="shared" si="132"/>
        <v>3</v>
      </c>
      <c r="E1678" s="27">
        <f t="shared" si="133"/>
        <v>5</v>
      </c>
      <c r="F1678" s="27">
        <f>VLOOKUP(E1678,[1]t_calendarioPolitica!A:C,3,FALSE)</f>
        <v>1</v>
      </c>
      <c r="G1678" s="1">
        <v>1</v>
      </c>
      <c r="H1678" s="1">
        <v>1</v>
      </c>
      <c r="I1678" s="1">
        <f t="shared" si="134"/>
        <v>1</v>
      </c>
    </row>
    <row r="1679" spans="1:9" x14ac:dyDescent="0.3">
      <c r="A1679" s="26">
        <v>46969</v>
      </c>
      <c r="B1679" s="27">
        <f t="shared" si="130"/>
        <v>2028</v>
      </c>
      <c r="C1679" s="27">
        <f t="shared" si="131"/>
        <v>8</v>
      </c>
      <c r="D1679" s="27">
        <f t="shared" si="132"/>
        <v>4</v>
      </c>
      <c r="E1679" s="27">
        <f t="shared" si="133"/>
        <v>6</v>
      </c>
      <c r="F1679" s="27">
        <f>VLOOKUP(E1679,[1]t_calendarioPolitica!A:C,3,FALSE)</f>
        <v>1</v>
      </c>
      <c r="G1679" s="1">
        <v>1</v>
      </c>
      <c r="H1679" s="1">
        <v>1</v>
      </c>
      <c r="I1679" s="1">
        <f t="shared" si="134"/>
        <v>1</v>
      </c>
    </row>
    <row r="1680" spans="1:9" x14ac:dyDescent="0.3">
      <c r="A1680" s="26">
        <v>46970</v>
      </c>
      <c r="B1680" s="27">
        <f t="shared" si="130"/>
        <v>2028</v>
      </c>
      <c r="C1680" s="27">
        <f t="shared" si="131"/>
        <v>8</v>
      </c>
      <c r="D1680" s="27">
        <f t="shared" si="132"/>
        <v>5</v>
      </c>
      <c r="E1680" s="27">
        <f t="shared" si="133"/>
        <v>7</v>
      </c>
      <c r="F1680" s="27">
        <f>VLOOKUP(E1680,[1]t_calendarioPolitica!A:C,3,FALSE)</f>
        <v>2</v>
      </c>
      <c r="G1680" s="1">
        <v>1</v>
      </c>
      <c r="H1680" s="1">
        <v>1</v>
      </c>
      <c r="I1680" s="1">
        <f t="shared" si="134"/>
        <v>1</v>
      </c>
    </row>
    <row r="1681" spans="1:9" x14ac:dyDescent="0.3">
      <c r="A1681" s="26">
        <v>46971</v>
      </c>
      <c r="B1681" s="27">
        <f t="shared" si="130"/>
        <v>2028</v>
      </c>
      <c r="C1681" s="27">
        <f t="shared" si="131"/>
        <v>8</v>
      </c>
      <c r="D1681" s="27">
        <f t="shared" si="132"/>
        <v>6</v>
      </c>
      <c r="E1681" s="27">
        <f t="shared" si="133"/>
        <v>1</v>
      </c>
      <c r="F1681" s="27">
        <f>VLOOKUP(E1681,[1]t_calendarioPolitica!A:C,3,FALSE)</f>
        <v>0</v>
      </c>
      <c r="G1681" s="1">
        <v>1</v>
      </c>
      <c r="H1681" s="1">
        <v>1</v>
      </c>
      <c r="I1681" s="1">
        <f t="shared" si="134"/>
        <v>0</v>
      </c>
    </row>
    <row r="1682" spans="1:9" x14ac:dyDescent="0.3">
      <c r="A1682" s="26">
        <v>46972</v>
      </c>
      <c r="B1682" s="27">
        <f t="shared" si="130"/>
        <v>2028</v>
      </c>
      <c r="C1682" s="27">
        <f t="shared" si="131"/>
        <v>8</v>
      </c>
      <c r="D1682" s="27">
        <f t="shared" si="132"/>
        <v>7</v>
      </c>
      <c r="E1682" s="27">
        <f t="shared" si="133"/>
        <v>2</v>
      </c>
      <c r="F1682" s="27">
        <f>VLOOKUP(E1682,[1]t_calendarioPolitica!A:C,3,FALSE)</f>
        <v>1</v>
      </c>
      <c r="G1682" s="1">
        <v>1</v>
      </c>
      <c r="H1682" s="1">
        <v>1</v>
      </c>
      <c r="I1682" s="1">
        <f t="shared" si="134"/>
        <v>1</v>
      </c>
    </row>
    <row r="1683" spans="1:9" x14ac:dyDescent="0.3">
      <c r="A1683" s="26">
        <v>46973</v>
      </c>
      <c r="B1683" s="27">
        <f t="shared" si="130"/>
        <v>2028</v>
      </c>
      <c r="C1683" s="27">
        <f t="shared" si="131"/>
        <v>8</v>
      </c>
      <c r="D1683" s="27">
        <f t="shared" si="132"/>
        <v>8</v>
      </c>
      <c r="E1683" s="27">
        <f t="shared" si="133"/>
        <v>3</v>
      </c>
      <c r="F1683" s="27">
        <f>VLOOKUP(E1683,[1]t_calendarioPolitica!A:C,3,FALSE)</f>
        <v>1</v>
      </c>
      <c r="G1683" s="1">
        <v>1</v>
      </c>
      <c r="H1683" s="1">
        <v>1</v>
      </c>
      <c r="I1683" s="1">
        <f t="shared" si="134"/>
        <v>1</v>
      </c>
    </row>
    <row r="1684" spans="1:9" x14ac:dyDescent="0.3">
      <c r="A1684" s="26">
        <v>46974</v>
      </c>
      <c r="B1684" s="27">
        <f t="shared" si="130"/>
        <v>2028</v>
      </c>
      <c r="C1684" s="27">
        <f t="shared" si="131"/>
        <v>8</v>
      </c>
      <c r="D1684" s="27">
        <f t="shared" si="132"/>
        <v>9</v>
      </c>
      <c r="E1684" s="27">
        <f t="shared" si="133"/>
        <v>4</v>
      </c>
      <c r="F1684" s="27">
        <f>VLOOKUP(E1684,[1]t_calendarioPolitica!A:C,3,FALSE)</f>
        <v>1</v>
      </c>
      <c r="G1684" s="1">
        <v>1</v>
      </c>
      <c r="H1684" s="1">
        <v>1</v>
      </c>
      <c r="I1684" s="1">
        <f t="shared" si="134"/>
        <v>1</v>
      </c>
    </row>
    <row r="1685" spans="1:9" x14ac:dyDescent="0.3">
      <c r="A1685" s="26">
        <v>46975</v>
      </c>
      <c r="B1685" s="27">
        <f t="shared" si="130"/>
        <v>2028</v>
      </c>
      <c r="C1685" s="27">
        <f t="shared" si="131"/>
        <v>8</v>
      </c>
      <c r="D1685" s="27">
        <f t="shared" si="132"/>
        <v>10</v>
      </c>
      <c r="E1685" s="27">
        <f t="shared" si="133"/>
        <v>5</v>
      </c>
      <c r="F1685" s="27">
        <f>VLOOKUP(E1685,[1]t_calendarioPolitica!A:C,3,FALSE)</f>
        <v>1</v>
      </c>
      <c r="G1685" s="1">
        <v>1</v>
      </c>
      <c r="H1685" s="1">
        <v>1</v>
      </c>
      <c r="I1685" s="1">
        <f t="shared" si="134"/>
        <v>1</v>
      </c>
    </row>
    <row r="1686" spans="1:9" x14ac:dyDescent="0.3">
      <c r="A1686" s="26">
        <v>46976</v>
      </c>
      <c r="B1686" s="27">
        <f t="shared" si="130"/>
        <v>2028</v>
      </c>
      <c r="C1686" s="27">
        <f t="shared" si="131"/>
        <v>8</v>
      </c>
      <c r="D1686" s="27">
        <f t="shared" si="132"/>
        <v>11</v>
      </c>
      <c r="E1686" s="27">
        <f t="shared" si="133"/>
        <v>6</v>
      </c>
      <c r="F1686" s="27">
        <f>VLOOKUP(E1686,[1]t_calendarioPolitica!A:C,3,FALSE)</f>
        <v>1</v>
      </c>
      <c r="G1686" s="1">
        <v>1</v>
      </c>
      <c r="H1686" s="1">
        <v>1</v>
      </c>
      <c r="I1686" s="1">
        <f t="shared" si="134"/>
        <v>1</v>
      </c>
    </row>
    <row r="1687" spans="1:9" x14ac:dyDescent="0.3">
      <c r="A1687" s="26">
        <v>46977</v>
      </c>
      <c r="B1687" s="27">
        <f t="shared" si="130"/>
        <v>2028</v>
      </c>
      <c r="C1687" s="27">
        <f t="shared" si="131"/>
        <v>8</v>
      </c>
      <c r="D1687" s="27">
        <f t="shared" si="132"/>
        <v>12</v>
      </c>
      <c r="E1687" s="27">
        <f t="shared" si="133"/>
        <v>7</v>
      </c>
      <c r="F1687" s="27">
        <f>VLOOKUP(E1687,[1]t_calendarioPolitica!A:C,3,FALSE)</f>
        <v>2</v>
      </c>
      <c r="G1687" s="1">
        <v>1</v>
      </c>
      <c r="H1687" s="1">
        <v>1</v>
      </c>
      <c r="I1687" s="1">
        <f t="shared" si="134"/>
        <v>1</v>
      </c>
    </row>
    <row r="1688" spans="1:9" x14ac:dyDescent="0.3">
      <c r="A1688" s="26">
        <v>46978</v>
      </c>
      <c r="B1688" s="27">
        <f t="shared" si="130"/>
        <v>2028</v>
      </c>
      <c r="C1688" s="27">
        <f t="shared" si="131"/>
        <v>8</v>
      </c>
      <c r="D1688" s="27">
        <f t="shared" si="132"/>
        <v>13</v>
      </c>
      <c r="E1688" s="27">
        <f t="shared" si="133"/>
        <v>1</v>
      </c>
      <c r="F1688" s="27">
        <f>VLOOKUP(E1688,[1]t_calendarioPolitica!A:C,3,FALSE)</f>
        <v>0</v>
      </c>
      <c r="G1688" s="1">
        <v>1</v>
      </c>
      <c r="H1688" s="1">
        <v>1</v>
      </c>
      <c r="I1688" s="1">
        <f t="shared" si="134"/>
        <v>0</v>
      </c>
    </row>
    <row r="1689" spans="1:9" x14ac:dyDescent="0.3">
      <c r="A1689" s="26">
        <v>46979</v>
      </c>
      <c r="B1689" s="27">
        <f t="shared" si="130"/>
        <v>2028</v>
      </c>
      <c r="C1689" s="27">
        <f t="shared" si="131"/>
        <v>8</v>
      </c>
      <c r="D1689" s="27">
        <f t="shared" si="132"/>
        <v>14</v>
      </c>
      <c r="E1689" s="27">
        <f t="shared" si="133"/>
        <v>2</v>
      </c>
      <c r="F1689" s="27">
        <f>VLOOKUP(E1689,[1]t_calendarioPolitica!A:C,3,FALSE)</f>
        <v>1</v>
      </c>
      <c r="G1689" s="1">
        <v>1</v>
      </c>
      <c r="H1689" s="1">
        <v>1</v>
      </c>
      <c r="I1689" s="1">
        <f t="shared" si="134"/>
        <v>1</v>
      </c>
    </row>
    <row r="1690" spans="1:9" x14ac:dyDescent="0.3">
      <c r="A1690" s="26">
        <v>46980</v>
      </c>
      <c r="B1690" s="27">
        <f t="shared" si="130"/>
        <v>2028</v>
      </c>
      <c r="C1690" s="27">
        <f t="shared" si="131"/>
        <v>8</v>
      </c>
      <c r="D1690" s="27">
        <f t="shared" si="132"/>
        <v>15</v>
      </c>
      <c r="E1690" s="27">
        <f t="shared" si="133"/>
        <v>3</v>
      </c>
      <c r="F1690" s="27">
        <f>VLOOKUP(E1690,[1]t_calendarioPolitica!A:C,3,FALSE)</f>
        <v>1</v>
      </c>
      <c r="G1690" s="1">
        <v>1</v>
      </c>
      <c r="H1690" s="1">
        <v>1</v>
      </c>
      <c r="I1690" s="1">
        <f t="shared" si="134"/>
        <v>1</v>
      </c>
    </row>
    <row r="1691" spans="1:9" x14ac:dyDescent="0.3">
      <c r="A1691" s="26">
        <v>46981</v>
      </c>
      <c r="B1691" s="27">
        <f t="shared" si="130"/>
        <v>2028</v>
      </c>
      <c r="C1691" s="27">
        <f t="shared" si="131"/>
        <v>8</v>
      </c>
      <c r="D1691" s="27">
        <f t="shared" si="132"/>
        <v>16</v>
      </c>
      <c r="E1691" s="27">
        <f t="shared" si="133"/>
        <v>4</v>
      </c>
      <c r="F1691" s="27">
        <f>VLOOKUP(E1691,[1]t_calendarioPolitica!A:C,3,FALSE)</f>
        <v>1</v>
      </c>
      <c r="G1691" s="1">
        <v>1</v>
      </c>
      <c r="H1691" s="1">
        <v>1</v>
      </c>
      <c r="I1691" s="1">
        <f t="shared" si="134"/>
        <v>1</v>
      </c>
    </row>
    <row r="1692" spans="1:9" x14ac:dyDescent="0.3">
      <c r="A1692" s="26">
        <v>46982</v>
      </c>
      <c r="B1692" s="27">
        <f t="shared" si="130"/>
        <v>2028</v>
      </c>
      <c r="C1692" s="27">
        <f t="shared" si="131"/>
        <v>8</v>
      </c>
      <c r="D1692" s="27">
        <f t="shared" si="132"/>
        <v>17</v>
      </c>
      <c r="E1692" s="27">
        <f t="shared" si="133"/>
        <v>5</v>
      </c>
      <c r="F1692" s="27">
        <f>VLOOKUP(E1692,[1]t_calendarioPolitica!A:C,3,FALSE)</f>
        <v>1</v>
      </c>
      <c r="G1692" s="1">
        <v>1</v>
      </c>
      <c r="H1692" s="1">
        <v>1</v>
      </c>
      <c r="I1692" s="1">
        <f t="shared" si="134"/>
        <v>1</v>
      </c>
    </row>
    <row r="1693" spans="1:9" x14ac:dyDescent="0.3">
      <c r="A1693" s="26">
        <v>46983</v>
      </c>
      <c r="B1693" s="27">
        <f t="shared" si="130"/>
        <v>2028</v>
      </c>
      <c r="C1693" s="27">
        <f t="shared" si="131"/>
        <v>8</v>
      </c>
      <c r="D1693" s="27">
        <f t="shared" si="132"/>
        <v>18</v>
      </c>
      <c r="E1693" s="27">
        <f t="shared" si="133"/>
        <v>6</v>
      </c>
      <c r="F1693" s="27">
        <f>VLOOKUP(E1693,[1]t_calendarioPolitica!A:C,3,FALSE)</f>
        <v>1</v>
      </c>
      <c r="G1693" s="1">
        <v>1</v>
      </c>
      <c r="H1693" s="1">
        <v>1</v>
      </c>
      <c r="I1693" s="1">
        <f t="shared" si="134"/>
        <v>1</v>
      </c>
    </row>
    <row r="1694" spans="1:9" x14ac:dyDescent="0.3">
      <c r="A1694" s="26">
        <v>46984</v>
      </c>
      <c r="B1694" s="27">
        <f t="shared" si="130"/>
        <v>2028</v>
      </c>
      <c r="C1694" s="27">
        <f t="shared" si="131"/>
        <v>8</v>
      </c>
      <c r="D1694" s="27">
        <f t="shared" si="132"/>
        <v>19</v>
      </c>
      <c r="E1694" s="27">
        <f t="shared" si="133"/>
        <v>7</v>
      </c>
      <c r="F1694" s="27">
        <f>VLOOKUP(E1694,[1]t_calendarioPolitica!A:C,3,FALSE)</f>
        <v>2</v>
      </c>
      <c r="G1694" s="1">
        <v>1</v>
      </c>
      <c r="H1694" s="1">
        <v>1</v>
      </c>
      <c r="I1694" s="1">
        <f t="shared" si="134"/>
        <v>1</v>
      </c>
    </row>
    <row r="1695" spans="1:9" x14ac:dyDescent="0.3">
      <c r="A1695" s="26">
        <v>46985</v>
      </c>
      <c r="B1695" s="27">
        <f t="shared" si="130"/>
        <v>2028</v>
      </c>
      <c r="C1695" s="27">
        <f t="shared" si="131"/>
        <v>8</v>
      </c>
      <c r="D1695" s="27">
        <f t="shared" si="132"/>
        <v>20</v>
      </c>
      <c r="E1695" s="27">
        <f t="shared" si="133"/>
        <v>1</v>
      </c>
      <c r="F1695" s="27">
        <f>VLOOKUP(E1695,[1]t_calendarioPolitica!A:C,3,FALSE)</f>
        <v>0</v>
      </c>
      <c r="G1695" s="1">
        <v>1</v>
      </c>
      <c r="H1695" s="1">
        <v>1</v>
      </c>
      <c r="I1695" s="1">
        <f t="shared" si="134"/>
        <v>0</v>
      </c>
    </row>
    <row r="1696" spans="1:9" x14ac:dyDescent="0.3">
      <c r="A1696" s="26">
        <v>46986</v>
      </c>
      <c r="B1696" s="27">
        <f t="shared" si="130"/>
        <v>2028</v>
      </c>
      <c r="C1696" s="27">
        <f t="shared" si="131"/>
        <v>8</v>
      </c>
      <c r="D1696" s="27">
        <f t="shared" si="132"/>
        <v>21</v>
      </c>
      <c r="E1696" s="27">
        <f t="shared" si="133"/>
        <v>2</v>
      </c>
      <c r="F1696" s="27">
        <f>VLOOKUP(E1696,[1]t_calendarioPolitica!A:C,3,FALSE)</f>
        <v>1</v>
      </c>
      <c r="G1696" s="1">
        <v>1</v>
      </c>
      <c r="H1696" s="1">
        <v>1</v>
      </c>
      <c r="I1696" s="1">
        <f t="shared" si="134"/>
        <v>1</v>
      </c>
    </row>
    <row r="1697" spans="1:9" x14ac:dyDescent="0.3">
      <c r="A1697" s="26">
        <v>46987</v>
      </c>
      <c r="B1697" s="27">
        <f t="shared" si="130"/>
        <v>2028</v>
      </c>
      <c r="C1697" s="27">
        <f t="shared" si="131"/>
        <v>8</v>
      </c>
      <c r="D1697" s="27">
        <f t="shared" si="132"/>
        <v>22</v>
      </c>
      <c r="E1697" s="27">
        <f t="shared" si="133"/>
        <v>3</v>
      </c>
      <c r="F1697" s="27">
        <f>VLOOKUP(E1697,[1]t_calendarioPolitica!A:C,3,FALSE)</f>
        <v>1</v>
      </c>
      <c r="G1697" s="1">
        <v>1</v>
      </c>
      <c r="H1697" s="1">
        <v>1</v>
      </c>
      <c r="I1697" s="1">
        <f t="shared" si="134"/>
        <v>1</v>
      </c>
    </row>
    <row r="1698" spans="1:9" x14ac:dyDescent="0.3">
      <c r="A1698" s="26">
        <v>46988</v>
      </c>
      <c r="B1698" s="27">
        <f t="shared" si="130"/>
        <v>2028</v>
      </c>
      <c r="C1698" s="27">
        <f t="shared" si="131"/>
        <v>8</v>
      </c>
      <c r="D1698" s="27">
        <f t="shared" si="132"/>
        <v>23</v>
      </c>
      <c r="E1698" s="27">
        <f t="shared" si="133"/>
        <v>4</v>
      </c>
      <c r="F1698" s="27">
        <f>VLOOKUP(E1698,[1]t_calendarioPolitica!A:C,3,FALSE)</f>
        <v>1</v>
      </c>
      <c r="G1698" s="1">
        <v>1</v>
      </c>
      <c r="H1698" s="1">
        <v>1</v>
      </c>
      <c r="I1698" s="1">
        <f t="shared" si="134"/>
        <v>1</v>
      </c>
    </row>
    <row r="1699" spans="1:9" x14ac:dyDescent="0.3">
      <c r="A1699" s="26">
        <v>46989</v>
      </c>
      <c r="B1699" s="27">
        <f t="shared" si="130"/>
        <v>2028</v>
      </c>
      <c r="C1699" s="27">
        <f t="shared" si="131"/>
        <v>8</v>
      </c>
      <c r="D1699" s="27">
        <f t="shared" si="132"/>
        <v>24</v>
      </c>
      <c r="E1699" s="27">
        <f t="shared" si="133"/>
        <v>5</v>
      </c>
      <c r="F1699" s="27">
        <f>VLOOKUP(E1699,[1]t_calendarioPolitica!A:C,3,FALSE)</f>
        <v>1</v>
      </c>
      <c r="G1699" s="1">
        <v>1</v>
      </c>
      <c r="H1699" s="1">
        <v>1</v>
      </c>
      <c r="I1699" s="1">
        <f t="shared" si="134"/>
        <v>1</v>
      </c>
    </row>
    <row r="1700" spans="1:9" x14ac:dyDescent="0.3">
      <c r="A1700" s="26">
        <v>46990</v>
      </c>
      <c r="B1700" s="27">
        <f t="shared" si="130"/>
        <v>2028</v>
      </c>
      <c r="C1700" s="27">
        <f t="shared" si="131"/>
        <v>8</v>
      </c>
      <c r="D1700" s="27">
        <f t="shared" si="132"/>
        <v>25</v>
      </c>
      <c r="E1700" s="27">
        <f t="shared" si="133"/>
        <v>6</v>
      </c>
      <c r="F1700" s="27">
        <f>VLOOKUP(E1700,[1]t_calendarioPolitica!A:C,3,FALSE)</f>
        <v>1</v>
      </c>
      <c r="G1700" s="1">
        <v>1</v>
      </c>
      <c r="H1700" s="1">
        <v>1</v>
      </c>
      <c r="I1700" s="1">
        <f t="shared" si="134"/>
        <v>1</v>
      </c>
    </row>
    <row r="1701" spans="1:9" x14ac:dyDescent="0.3">
      <c r="A1701" s="26">
        <v>46991</v>
      </c>
      <c r="B1701" s="27">
        <f t="shared" si="130"/>
        <v>2028</v>
      </c>
      <c r="C1701" s="27">
        <f t="shared" si="131"/>
        <v>8</v>
      </c>
      <c r="D1701" s="27">
        <f t="shared" si="132"/>
        <v>26</v>
      </c>
      <c r="E1701" s="27">
        <f t="shared" si="133"/>
        <v>7</v>
      </c>
      <c r="F1701" s="27">
        <f>VLOOKUP(E1701,[1]t_calendarioPolitica!A:C,3,FALSE)</f>
        <v>2</v>
      </c>
      <c r="G1701" s="1">
        <v>1</v>
      </c>
      <c r="H1701" s="1">
        <v>1</v>
      </c>
      <c r="I1701" s="1">
        <f t="shared" si="134"/>
        <v>1</v>
      </c>
    </row>
    <row r="1702" spans="1:9" x14ac:dyDescent="0.3">
      <c r="A1702" s="26">
        <v>46992</v>
      </c>
      <c r="B1702" s="27">
        <f t="shared" si="130"/>
        <v>2028</v>
      </c>
      <c r="C1702" s="27">
        <f t="shared" si="131"/>
        <v>8</v>
      </c>
      <c r="D1702" s="27">
        <f t="shared" si="132"/>
        <v>27</v>
      </c>
      <c r="E1702" s="27">
        <f t="shared" si="133"/>
        <v>1</v>
      </c>
      <c r="F1702" s="27">
        <f>VLOOKUP(E1702,[1]t_calendarioPolitica!A:C,3,FALSE)</f>
        <v>0</v>
      </c>
      <c r="G1702" s="1">
        <v>1</v>
      </c>
      <c r="H1702" s="1">
        <v>1</v>
      </c>
      <c r="I1702" s="1">
        <f t="shared" si="134"/>
        <v>0</v>
      </c>
    </row>
    <row r="1703" spans="1:9" x14ac:dyDescent="0.3">
      <c r="A1703" s="26">
        <v>46993</v>
      </c>
      <c r="B1703" s="27">
        <f t="shared" si="130"/>
        <v>2028</v>
      </c>
      <c r="C1703" s="27">
        <f t="shared" si="131"/>
        <v>8</v>
      </c>
      <c r="D1703" s="27">
        <f t="shared" si="132"/>
        <v>28</v>
      </c>
      <c r="E1703" s="27">
        <f t="shared" si="133"/>
        <v>2</v>
      </c>
      <c r="F1703" s="27">
        <f>VLOOKUP(E1703,[1]t_calendarioPolitica!A:C,3,FALSE)</f>
        <v>1</v>
      </c>
      <c r="G1703" s="1">
        <v>1</v>
      </c>
      <c r="H1703" s="1">
        <v>1</v>
      </c>
      <c r="I1703" s="1">
        <f t="shared" si="134"/>
        <v>1</v>
      </c>
    </row>
    <row r="1704" spans="1:9" x14ac:dyDescent="0.3">
      <c r="A1704" s="26">
        <v>46994</v>
      </c>
      <c r="B1704" s="27">
        <f t="shared" si="130"/>
        <v>2028</v>
      </c>
      <c r="C1704" s="27">
        <f t="shared" si="131"/>
        <v>8</v>
      </c>
      <c r="D1704" s="27">
        <f t="shared" si="132"/>
        <v>29</v>
      </c>
      <c r="E1704" s="27">
        <f t="shared" si="133"/>
        <v>3</v>
      </c>
      <c r="F1704" s="27">
        <f>VLOOKUP(E1704,[1]t_calendarioPolitica!A:C,3,FALSE)</f>
        <v>1</v>
      </c>
      <c r="G1704" s="1">
        <v>1</v>
      </c>
      <c r="H1704" s="1">
        <v>1</v>
      </c>
      <c r="I1704" s="1">
        <f t="shared" si="134"/>
        <v>1</v>
      </c>
    </row>
    <row r="1705" spans="1:9" x14ac:dyDescent="0.3">
      <c r="A1705" s="26">
        <v>46995</v>
      </c>
      <c r="B1705" s="27">
        <f t="shared" si="130"/>
        <v>2028</v>
      </c>
      <c r="C1705" s="27">
        <f t="shared" si="131"/>
        <v>8</v>
      </c>
      <c r="D1705" s="27">
        <f t="shared" si="132"/>
        <v>30</v>
      </c>
      <c r="E1705" s="27">
        <f t="shared" si="133"/>
        <v>4</v>
      </c>
      <c r="F1705" s="27">
        <f>VLOOKUP(E1705,[1]t_calendarioPolitica!A:C,3,FALSE)</f>
        <v>1</v>
      </c>
      <c r="G1705" s="1">
        <v>1</v>
      </c>
      <c r="H1705" s="1">
        <v>1</v>
      </c>
      <c r="I1705" s="1">
        <f t="shared" si="134"/>
        <v>1</v>
      </c>
    </row>
    <row r="1706" spans="1:9" x14ac:dyDescent="0.3">
      <c r="A1706" s="26">
        <v>46996</v>
      </c>
      <c r="B1706" s="27">
        <f t="shared" si="130"/>
        <v>2028</v>
      </c>
      <c r="C1706" s="27">
        <f t="shared" si="131"/>
        <v>8</v>
      </c>
      <c r="D1706" s="27">
        <f t="shared" si="132"/>
        <v>31</v>
      </c>
      <c r="E1706" s="27">
        <f t="shared" si="133"/>
        <v>5</v>
      </c>
      <c r="F1706" s="27">
        <f>VLOOKUP(E1706,[1]t_calendarioPolitica!A:C,3,FALSE)</f>
        <v>1</v>
      </c>
      <c r="G1706" s="1">
        <v>1</v>
      </c>
      <c r="H1706" s="1">
        <v>1</v>
      </c>
      <c r="I1706" s="1">
        <f t="shared" si="134"/>
        <v>1</v>
      </c>
    </row>
    <row r="1707" spans="1:9" x14ac:dyDescent="0.3">
      <c r="A1707" s="26">
        <v>46997</v>
      </c>
      <c r="B1707" s="27">
        <f t="shared" si="130"/>
        <v>2028</v>
      </c>
      <c r="C1707" s="27">
        <f t="shared" si="131"/>
        <v>9</v>
      </c>
      <c r="D1707" s="27">
        <f t="shared" si="132"/>
        <v>1</v>
      </c>
      <c r="E1707" s="27">
        <f t="shared" si="133"/>
        <v>6</v>
      </c>
      <c r="F1707" s="27">
        <f>VLOOKUP(E1707,[1]t_calendarioPolitica!A:C,3,FALSE)</f>
        <v>1</v>
      </c>
      <c r="G1707" s="1">
        <v>1</v>
      </c>
      <c r="H1707" s="1">
        <v>1</v>
      </c>
      <c r="I1707" s="1">
        <f t="shared" si="134"/>
        <v>1</v>
      </c>
    </row>
    <row r="1708" spans="1:9" x14ac:dyDescent="0.3">
      <c r="A1708" s="26">
        <v>46998</v>
      </c>
      <c r="B1708" s="27">
        <f t="shared" si="130"/>
        <v>2028</v>
      </c>
      <c r="C1708" s="27">
        <f t="shared" si="131"/>
        <v>9</v>
      </c>
      <c r="D1708" s="27">
        <f t="shared" si="132"/>
        <v>2</v>
      </c>
      <c r="E1708" s="27">
        <f t="shared" si="133"/>
        <v>7</v>
      </c>
      <c r="F1708" s="27">
        <f>VLOOKUP(E1708,[1]t_calendarioPolitica!A:C,3,FALSE)</f>
        <v>2</v>
      </c>
      <c r="G1708" s="1">
        <v>1</v>
      </c>
      <c r="H1708" s="1">
        <v>1</v>
      </c>
      <c r="I1708" s="1">
        <f t="shared" si="134"/>
        <v>1</v>
      </c>
    </row>
    <row r="1709" spans="1:9" x14ac:dyDescent="0.3">
      <c r="A1709" s="26">
        <v>46999</v>
      </c>
      <c r="B1709" s="27">
        <f t="shared" si="130"/>
        <v>2028</v>
      </c>
      <c r="C1709" s="27">
        <f t="shared" si="131"/>
        <v>9</v>
      </c>
      <c r="D1709" s="27">
        <f t="shared" si="132"/>
        <v>3</v>
      </c>
      <c r="E1709" s="27">
        <f t="shared" si="133"/>
        <v>1</v>
      </c>
      <c r="F1709" s="27">
        <f>VLOOKUP(E1709,[1]t_calendarioPolitica!A:C,3,FALSE)</f>
        <v>0</v>
      </c>
      <c r="G1709" s="1">
        <v>1</v>
      </c>
      <c r="H1709" s="1">
        <v>1</v>
      </c>
      <c r="I1709" s="1">
        <f t="shared" si="134"/>
        <v>0</v>
      </c>
    </row>
    <row r="1710" spans="1:9" x14ac:dyDescent="0.3">
      <c r="A1710" s="26">
        <v>47000</v>
      </c>
      <c r="B1710" s="27">
        <f t="shared" si="130"/>
        <v>2028</v>
      </c>
      <c r="C1710" s="27">
        <f t="shared" si="131"/>
        <v>9</v>
      </c>
      <c r="D1710" s="27">
        <f t="shared" si="132"/>
        <v>4</v>
      </c>
      <c r="E1710" s="27">
        <f t="shared" si="133"/>
        <v>2</v>
      </c>
      <c r="F1710" s="27">
        <f>VLOOKUP(E1710,[1]t_calendarioPolitica!A:C,3,FALSE)</f>
        <v>1</v>
      </c>
      <c r="G1710" s="1">
        <v>1</v>
      </c>
      <c r="H1710" s="1">
        <v>1</v>
      </c>
      <c r="I1710" s="1">
        <f t="shared" si="134"/>
        <v>1</v>
      </c>
    </row>
    <row r="1711" spans="1:9" x14ac:dyDescent="0.3">
      <c r="A1711" s="26">
        <v>47001</v>
      </c>
      <c r="B1711" s="27">
        <f t="shared" si="130"/>
        <v>2028</v>
      </c>
      <c r="C1711" s="27">
        <f t="shared" si="131"/>
        <v>9</v>
      </c>
      <c r="D1711" s="27">
        <f t="shared" si="132"/>
        <v>5</v>
      </c>
      <c r="E1711" s="27">
        <f t="shared" si="133"/>
        <v>3</v>
      </c>
      <c r="F1711" s="27">
        <f>VLOOKUP(E1711,[1]t_calendarioPolitica!A:C,3,FALSE)</f>
        <v>1</v>
      </c>
      <c r="G1711" s="1">
        <v>1</v>
      </c>
      <c r="H1711" s="1">
        <v>1</v>
      </c>
      <c r="I1711" s="1">
        <f t="shared" si="134"/>
        <v>1</v>
      </c>
    </row>
    <row r="1712" spans="1:9" x14ac:dyDescent="0.3">
      <c r="A1712" s="26">
        <v>47002</v>
      </c>
      <c r="B1712" s="27">
        <f t="shared" si="130"/>
        <v>2028</v>
      </c>
      <c r="C1712" s="27">
        <f t="shared" si="131"/>
        <v>9</v>
      </c>
      <c r="D1712" s="27">
        <f t="shared" si="132"/>
        <v>6</v>
      </c>
      <c r="E1712" s="27">
        <f t="shared" si="133"/>
        <v>4</v>
      </c>
      <c r="F1712" s="27">
        <f>VLOOKUP(E1712,[1]t_calendarioPolitica!A:C,3,FALSE)</f>
        <v>1</v>
      </c>
      <c r="G1712" s="1">
        <v>1</v>
      </c>
      <c r="H1712" s="1">
        <v>1</v>
      </c>
      <c r="I1712" s="1">
        <f t="shared" si="134"/>
        <v>1</v>
      </c>
    </row>
    <row r="1713" spans="1:9" x14ac:dyDescent="0.3">
      <c r="A1713" s="26">
        <v>47003</v>
      </c>
      <c r="B1713" s="27">
        <f t="shared" si="130"/>
        <v>2028</v>
      </c>
      <c r="C1713" s="27">
        <f t="shared" si="131"/>
        <v>9</v>
      </c>
      <c r="D1713" s="27">
        <f t="shared" si="132"/>
        <v>7</v>
      </c>
      <c r="E1713" s="27">
        <f t="shared" si="133"/>
        <v>5</v>
      </c>
      <c r="F1713" s="27">
        <f>VLOOKUP(E1713,[1]t_calendarioPolitica!A:C,3,FALSE)</f>
        <v>1</v>
      </c>
      <c r="G1713" s="1">
        <v>1</v>
      </c>
      <c r="H1713" s="1">
        <v>1</v>
      </c>
      <c r="I1713" s="1">
        <f t="shared" si="134"/>
        <v>1</v>
      </c>
    </row>
    <row r="1714" spans="1:9" x14ac:dyDescent="0.3">
      <c r="A1714" s="26">
        <v>47004</v>
      </c>
      <c r="B1714" s="27">
        <f t="shared" si="130"/>
        <v>2028</v>
      </c>
      <c r="C1714" s="27">
        <f t="shared" si="131"/>
        <v>9</v>
      </c>
      <c r="D1714" s="27">
        <f t="shared" si="132"/>
        <v>8</v>
      </c>
      <c r="E1714" s="27">
        <f t="shared" si="133"/>
        <v>6</v>
      </c>
      <c r="F1714" s="27">
        <f>VLOOKUP(E1714,[1]t_calendarioPolitica!A:C,3,FALSE)</f>
        <v>1</v>
      </c>
      <c r="G1714" s="1">
        <v>1</v>
      </c>
      <c r="H1714" s="1">
        <v>1</v>
      </c>
      <c r="I1714" s="1">
        <f t="shared" si="134"/>
        <v>1</v>
      </c>
    </row>
    <row r="1715" spans="1:9" x14ac:dyDescent="0.3">
      <c r="A1715" s="26">
        <v>47005</v>
      </c>
      <c r="B1715" s="27">
        <f t="shared" si="130"/>
        <v>2028</v>
      </c>
      <c r="C1715" s="27">
        <f t="shared" si="131"/>
        <v>9</v>
      </c>
      <c r="D1715" s="27">
        <f t="shared" si="132"/>
        <v>9</v>
      </c>
      <c r="E1715" s="27">
        <f t="shared" si="133"/>
        <v>7</v>
      </c>
      <c r="F1715" s="27">
        <f>VLOOKUP(E1715,[1]t_calendarioPolitica!A:C,3,FALSE)</f>
        <v>2</v>
      </c>
      <c r="G1715" s="1">
        <v>1</v>
      </c>
      <c r="H1715" s="1">
        <v>1</v>
      </c>
      <c r="I1715" s="1">
        <f t="shared" si="134"/>
        <v>1</v>
      </c>
    </row>
    <row r="1716" spans="1:9" x14ac:dyDescent="0.3">
      <c r="A1716" s="26">
        <v>47006</v>
      </c>
      <c r="B1716" s="27">
        <f t="shared" si="130"/>
        <v>2028</v>
      </c>
      <c r="C1716" s="27">
        <f t="shared" si="131"/>
        <v>9</v>
      </c>
      <c r="D1716" s="27">
        <f t="shared" si="132"/>
        <v>10</v>
      </c>
      <c r="E1716" s="27">
        <f t="shared" si="133"/>
        <v>1</v>
      </c>
      <c r="F1716" s="27">
        <f>VLOOKUP(E1716,[1]t_calendarioPolitica!A:C,3,FALSE)</f>
        <v>0</v>
      </c>
      <c r="G1716" s="1">
        <v>1</v>
      </c>
      <c r="H1716" s="1">
        <v>1</v>
      </c>
      <c r="I1716" s="1">
        <f t="shared" si="134"/>
        <v>0</v>
      </c>
    </row>
    <row r="1717" spans="1:9" x14ac:dyDescent="0.3">
      <c r="A1717" s="26">
        <v>47007</v>
      </c>
      <c r="B1717" s="27">
        <f t="shared" si="130"/>
        <v>2028</v>
      </c>
      <c r="C1717" s="27">
        <f t="shared" si="131"/>
        <v>9</v>
      </c>
      <c r="D1717" s="27">
        <f t="shared" si="132"/>
        <v>11</v>
      </c>
      <c r="E1717" s="27">
        <f t="shared" si="133"/>
        <v>2</v>
      </c>
      <c r="F1717" s="27">
        <f>VLOOKUP(E1717,[1]t_calendarioPolitica!A:C,3,FALSE)</f>
        <v>1</v>
      </c>
      <c r="G1717" s="1">
        <v>1</v>
      </c>
      <c r="H1717" s="1">
        <v>1</v>
      </c>
      <c r="I1717" s="1">
        <f t="shared" si="134"/>
        <v>1</v>
      </c>
    </row>
    <row r="1718" spans="1:9" x14ac:dyDescent="0.3">
      <c r="A1718" s="26">
        <v>47008</v>
      </c>
      <c r="B1718" s="27">
        <f t="shared" si="130"/>
        <v>2028</v>
      </c>
      <c r="C1718" s="27">
        <f t="shared" si="131"/>
        <v>9</v>
      </c>
      <c r="D1718" s="27">
        <f t="shared" si="132"/>
        <v>12</v>
      </c>
      <c r="E1718" s="27">
        <f t="shared" si="133"/>
        <v>3</v>
      </c>
      <c r="F1718" s="27">
        <f>VLOOKUP(E1718,[1]t_calendarioPolitica!A:C,3,FALSE)</f>
        <v>1</v>
      </c>
      <c r="G1718" s="1">
        <v>1</v>
      </c>
      <c r="H1718" s="1">
        <v>1</v>
      </c>
      <c r="I1718" s="1">
        <f t="shared" si="134"/>
        <v>1</v>
      </c>
    </row>
    <row r="1719" spans="1:9" x14ac:dyDescent="0.3">
      <c r="A1719" s="26">
        <v>47009</v>
      </c>
      <c r="B1719" s="27">
        <f t="shared" si="130"/>
        <v>2028</v>
      </c>
      <c r="C1719" s="27">
        <f t="shared" si="131"/>
        <v>9</v>
      </c>
      <c r="D1719" s="27">
        <f t="shared" si="132"/>
        <v>13</v>
      </c>
      <c r="E1719" s="27">
        <f t="shared" si="133"/>
        <v>4</v>
      </c>
      <c r="F1719" s="27">
        <f>VLOOKUP(E1719,[1]t_calendarioPolitica!A:C,3,FALSE)</f>
        <v>1</v>
      </c>
      <c r="G1719" s="1">
        <v>1</v>
      </c>
      <c r="H1719" s="1">
        <v>1</v>
      </c>
      <c r="I1719" s="1">
        <f t="shared" si="134"/>
        <v>1</v>
      </c>
    </row>
    <row r="1720" spans="1:9" x14ac:dyDescent="0.3">
      <c r="A1720" s="26">
        <v>47010</v>
      </c>
      <c r="B1720" s="27">
        <f t="shared" si="130"/>
        <v>2028</v>
      </c>
      <c r="C1720" s="27">
        <f t="shared" si="131"/>
        <v>9</v>
      </c>
      <c r="D1720" s="27">
        <f t="shared" si="132"/>
        <v>14</v>
      </c>
      <c r="E1720" s="27">
        <f t="shared" si="133"/>
        <v>5</v>
      </c>
      <c r="F1720" s="27">
        <f>VLOOKUP(E1720,[1]t_calendarioPolitica!A:C,3,FALSE)</f>
        <v>1</v>
      </c>
      <c r="G1720" s="1">
        <v>1</v>
      </c>
      <c r="H1720" s="1">
        <v>1</v>
      </c>
      <c r="I1720" s="1">
        <f t="shared" si="134"/>
        <v>1</v>
      </c>
    </row>
    <row r="1721" spans="1:9" x14ac:dyDescent="0.3">
      <c r="A1721" s="26">
        <v>47011</v>
      </c>
      <c r="B1721" s="27">
        <f t="shared" si="130"/>
        <v>2028</v>
      </c>
      <c r="C1721" s="27">
        <f t="shared" si="131"/>
        <v>9</v>
      </c>
      <c r="D1721" s="27">
        <f t="shared" si="132"/>
        <v>15</v>
      </c>
      <c r="E1721" s="27">
        <f t="shared" si="133"/>
        <v>6</v>
      </c>
      <c r="F1721" s="27">
        <f>VLOOKUP(E1721,[1]t_calendarioPolitica!A:C,3,FALSE)</f>
        <v>1</v>
      </c>
      <c r="G1721" s="1">
        <v>1</v>
      </c>
      <c r="H1721" s="1">
        <v>0</v>
      </c>
      <c r="I1721" s="1">
        <f t="shared" si="134"/>
        <v>0</v>
      </c>
    </row>
    <row r="1722" spans="1:9" x14ac:dyDescent="0.3">
      <c r="A1722" s="26">
        <v>47012</v>
      </c>
      <c r="B1722" s="27">
        <f t="shared" si="130"/>
        <v>2028</v>
      </c>
      <c r="C1722" s="27">
        <f t="shared" si="131"/>
        <v>9</v>
      </c>
      <c r="D1722" s="27">
        <f t="shared" si="132"/>
        <v>16</v>
      </c>
      <c r="E1722" s="27">
        <f t="shared" si="133"/>
        <v>7</v>
      </c>
      <c r="F1722" s="27">
        <f>VLOOKUP(E1722,[1]t_calendarioPolitica!A:C,3,FALSE)</f>
        <v>2</v>
      </c>
      <c r="G1722" s="1">
        <v>0</v>
      </c>
      <c r="H1722" s="1">
        <v>1</v>
      </c>
      <c r="I1722" s="1">
        <f t="shared" si="134"/>
        <v>0</v>
      </c>
    </row>
    <row r="1723" spans="1:9" x14ac:dyDescent="0.3">
      <c r="A1723" s="26">
        <v>47013</v>
      </c>
      <c r="B1723" s="27">
        <f t="shared" si="130"/>
        <v>2028</v>
      </c>
      <c r="C1723" s="27">
        <f t="shared" si="131"/>
        <v>9</v>
      </c>
      <c r="D1723" s="27">
        <f t="shared" si="132"/>
        <v>17</v>
      </c>
      <c r="E1723" s="27">
        <f t="shared" si="133"/>
        <v>1</v>
      </c>
      <c r="F1723" s="27">
        <f>VLOOKUP(E1723,[1]t_calendarioPolitica!A:C,3,FALSE)</f>
        <v>0</v>
      </c>
      <c r="G1723" s="1">
        <v>1</v>
      </c>
      <c r="H1723" s="1">
        <v>1</v>
      </c>
      <c r="I1723" s="1">
        <f t="shared" si="134"/>
        <v>0</v>
      </c>
    </row>
    <row r="1724" spans="1:9" x14ac:dyDescent="0.3">
      <c r="A1724" s="26">
        <v>47014</v>
      </c>
      <c r="B1724" s="27">
        <f t="shared" si="130"/>
        <v>2028</v>
      </c>
      <c r="C1724" s="27">
        <f t="shared" si="131"/>
        <v>9</v>
      </c>
      <c r="D1724" s="27">
        <f t="shared" si="132"/>
        <v>18</v>
      </c>
      <c r="E1724" s="27">
        <f t="shared" si="133"/>
        <v>2</v>
      </c>
      <c r="F1724" s="27">
        <f>VLOOKUP(E1724,[1]t_calendarioPolitica!A:C,3,FALSE)</f>
        <v>1</v>
      </c>
      <c r="G1724" s="1">
        <v>1</v>
      </c>
      <c r="H1724" s="1">
        <v>1</v>
      </c>
      <c r="I1724" s="1">
        <f t="shared" si="134"/>
        <v>1</v>
      </c>
    </row>
    <row r="1725" spans="1:9" x14ac:dyDescent="0.3">
      <c r="A1725" s="26">
        <v>47015</v>
      </c>
      <c r="B1725" s="27">
        <f t="shared" si="130"/>
        <v>2028</v>
      </c>
      <c r="C1725" s="27">
        <f t="shared" si="131"/>
        <v>9</v>
      </c>
      <c r="D1725" s="27">
        <f t="shared" si="132"/>
        <v>19</v>
      </c>
      <c r="E1725" s="27">
        <f t="shared" si="133"/>
        <v>3</v>
      </c>
      <c r="F1725" s="27">
        <f>VLOOKUP(E1725,[1]t_calendarioPolitica!A:C,3,FALSE)</f>
        <v>1</v>
      </c>
      <c r="G1725" s="1">
        <v>1</v>
      </c>
      <c r="H1725" s="1">
        <v>1</v>
      </c>
      <c r="I1725" s="1">
        <f t="shared" si="134"/>
        <v>1</v>
      </c>
    </row>
    <row r="1726" spans="1:9" x14ac:dyDescent="0.3">
      <c r="A1726" s="26">
        <v>47016</v>
      </c>
      <c r="B1726" s="27">
        <f t="shared" si="130"/>
        <v>2028</v>
      </c>
      <c r="C1726" s="27">
        <f t="shared" si="131"/>
        <v>9</v>
      </c>
      <c r="D1726" s="27">
        <f t="shared" si="132"/>
        <v>20</v>
      </c>
      <c r="E1726" s="27">
        <f t="shared" si="133"/>
        <v>4</v>
      </c>
      <c r="F1726" s="27">
        <f>VLOOKUP(E1726,[1]t_calendarioPolitica!A:C,3,FALSE)</f>
        <v>1</v>
      </c>
      <c r="G1726" s="1">
        <v>1</v>
      </c>
      <c r="H1726" s="1">
        <v>1</v>
      </c>
      <c r="I1726" s="1">
        <f t="shared" si="134"/>
        <v>1</v>
      </c>
    </row>
    <row r="1727" spans="1:9" x14ac:dyDescent="0.3">
      <c r="A1727" s="26">
        <v>47017</v>
      </c>
      <c r="B1727" s="27">
        <f t="shared" si="130"/>
        <v>2028</v>
      </c>
      <c r="C1727" s="27">
        <f t="shared" si="131"/>
        <v>9</v>
      </c>
      <c r="D1727" s="27">
        <f t="shared" si="132"/>
        <v>21</v>
      </c>
      <c r="E1727" s="27">
        <f t="shared" si="133"/>
        <v>5</v>
      </c>
      <c r="F1727" s="27">
        <f>VLOOKUP(E1727,[1]t_calendarioPolitica!A:C,3,FALSE)</f>
        <v>1</v>
      </c>
      <c r="G1727" s="1">
        <v>1</v>
      </c>
      <c r="H1727" s="1">
        <v>1</v>
      </c>
      <c r="I1727" s="1">
        <f t="shared" si="134"/>
        <v>1</v>
      </c>
    </row>
    <row r="1728" spans="1:9" x14ac:dyDescent="0.3">
      <c r="A1728" s="26">
        <v>47018</v>
      </c>
      <c r="B1728" s="27">
        <f t="shared" si="130"/>
        <v>2028</v>
      </c>
      <c r="C1728" s="27">
        <f t="shared" si="131"/>
        <v>9</v>
      </c>
      <c r="D1728" s="27">
        <f t="shared" si="132"/>
        <v>22</v>
      </c>
      <c r="E1728" s="27">
        <f t="shared" si="133"/>
        <v>6</v>
      </c>
      <c r="F1728" s="27">
        <f>VLOOKUP(E1728,[1]t_calendarioPolitica!A:C,3,FALSE)</f>
        <v>1</v>
      </c>
      <c r="G1728" s="1">
        <v>1</v>
      </c>
      <c r="H1728" s="1">
        <v>1</v>
      </c>
      <c r="I1728" s="1">
        <f t="shared" si="134"/>
        <v>1</v>
      </c>
    </row>
    <row r="1729" spans="1:9" x14ac:dyDescent="0.3">
      <c r="A1729" s="26">
        <v>47019</v>
      </c>
      <c r="B1729" s="27">
        <f t="shared" si="130"/>
        <v>2028</v>
      </c>
      <c r="C1729" s="27">
        <f t="shared" si="131"/>
        <v>9</v>
      </c>
      <c r="D1729" s="27">
        <f t="shared" si="132"/>
        <v>23</v>
      </c>
      <c r="E1729" s="27">
        <f t="shared" si="133"/>
        <v>7</v>
      </c>
      <c r="F1729" s="27">
        <f>VLOOKUP(E1729,[1]t_calendarioPolitica!A:C,3,FALSE)</f>
        <v>2</v>
      </c>
      <c r="G1729" s="1">
        <v>1</v>
      </c>
      <c r="H1729" s="1">
        <v>1</v>
      </c>
      <c r="I1729" s="1">
        <f t="shared" si="134"/>
        <v>1</v>
      </c>
    </row>
    <row r="1730" spans="1:9" x14ac:dyDescent="0.3">
      <c r="A1730" s="26">
        <v>47020</v>
      </c>
      <c r="B1730" s="27">
        <f t="shared" si="130"/>
        <v>2028</v>
      </c>
      <c r="C1730" s="27">
        <f t="shared" si="131"/>
        <v>9</v>
      </c>
      <c r="D1730" s="27">
        <f t="shared" si="132"/>
        <v>24</v>
      </c>
      <c r="E1730" s="27">
        <f t="shared" si="133"/>
        <v>1</v>
      </c>
      <c r="F1730" s="27">
        <f>VLOOKUP(E1730,[1]t_calendarioPolitica!A:C,3,FALSE)</f>
        <v>0</v>
      </c>
      <c r="G1730" s="1">
        <v>1</v>
      </c>
      <c r="H1730" s="1">
        <v>1</v>
      </c>
      <c r="I1730" s="1">
        <f t="shared" si="134"/>
        <v>0</v>
      </c>
    </row>
    <row r="1731" spans="1:9" x14ac:dyDescent="0.3">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VLOOKUP(E1731,[1]t_calendarioPolitica!A:C,3,FALSE)</f>
        <v>1</v>
      </c>
      <c r="G1731" s="1">
        <v>1</v>
      </c>
      <c r="H1731" s="1">
        <v>1</v>
      </c>
      <c r="I1731" s="1">
        <f t="shared" ref="I1731:I1794" si="139">IF(AND(F1731&lt;&gt;0, H1731&lt;&gt;0,G1731&lt;&gt;0), 1, 0)</f>
        <v>1</v>
      </c>
    </row>
    <row r="1732" spans="1:9" x14ac:dyDescent="0.3">
      <c r="A1732" s="26">
        <v>47022</v>
      </c>
      <c r="B1732" s="27">
        <f t="shared" si="135"/>
        <v>2028</v>
      </c>
      <c r="C1732" s="27">
        <f t="shared" si="136"/>
        <v>9</v>
      </c>
      <c r="D1732" s="27">
        <f t="shared" si="137"/>
        <v>26</v>
      </c>
      <c r="E1732" s="27">
        <f t="shared" si="138"/>
        <v>3</v>
      </c>
      <c r="F1732" s="27">
        <f>VLOOKUP(E1732,[1]t_calendarioPolitica!A:C,3,FALSE)</f>
        <v>1</v>
      </c>
      <c r="G1732" s="1">
        <v>1</v>
      </c>
      <c r="H1732" s="1">
        <v>1</v>
      </c>
      <c r="I1732" s="1">
        <f t="shared" si="139"/>
        <v>1</v>
      </c>
    </row>
    <row r="1733" spans="1:9" x14ac:dyDescent="0.3">
      <c r="A1733" s="26">
        <v>47023</v>
      </c>
      <c r="B1733" s="27">
        <f t="shared" si="135"/>
        <v>2028</v>
      </c>
      <c r="C1733" s="27">
        <f t="shared" si="136"/>
        <v>9</v>
      </c>
      <c r="D1733" s="27">
        <f t="shared" si="137"/>
        <v>27</v>
      </c>
      <c r="E1733" s="27">
        <f t="shared" si="138"/>
        <v>4</v>
      </c>
      <c r="F1733" s="27">
        <f>VLOOKUP(E1733,[1]t_calendarioPolitica!A:C,3,FALSE)</f>
        <v>1</v>
      </c>
      <c r="G1733" s="1">
        <v>1</v>
      </c>
      <c r="H1733" s="1">
        <v>1</v>
      </c>
      <c r="I1733" s="1">
        <f t="shared" si="139"/>
        <v>1</v>
      </c>
    </row>
    <row r="1734" spans="1:9" x14ac:dyDescent="0.3">
      <c r="A1734" s="26">
        <v>47024</v>
      </c>
      <c r="B1734" s="27">
        <f t="shared" si="135"/>
        <v>2028</v>
      </c>
      <c r="C1734" s="27">
        <f t="shared" si="136"/>
        <v>9</v>
      </c>
      <c r="D1734" s="27">
        <f t="shared" si="137"/>
        <v>28</v>
      </c>
      <c r="E1734" s="27">
        <f t="shared" si="138"/>
        <v>5</v>
      </c>
      <c r="F1734" s="27">
        <f>VLOOKUP(E1734,[1]t_calendarioPolitica!A:C,3,FALSE)</f>
        <v>1</v>
      </c>
      <c r="G1734" s="1">
        <v>1</v>
      </c>
      <c r="H1734" s="1">
        <v>1</v>
      </c>
      <c r="I1734" s="1">
        <f t="shared" si="139"/>
        <v>1</v>
      </c>
    </row>
    <row r="1735" spans="1:9" x14ac:dyDescent="0.3">
      <c r="A1735" s="26">
        <v>47025</v>
      </c>
      <c r="B1735" s="27">
        <f t="shared" si="135"/>
        <v>2028</v>
      </c>
      <c r="C1735" s="27">
        <f t="shared" si="136"/>
        <v>9</v>
      </c>
      <c r="D1735" s="27">
        <f t="shared" si="137"/>
        <v>29</v>
      </c>
      <c r="E1735" s="27">
        <f t="shared" si="138"/>
        <v>6</v>
      </c>
      <c r="F1735" s="27">
        <f>VLOOKUP(E1735,[1]t_calendarioPolitica!A:C,3,FALSE)</f>
        <v>1</v>
      </c>
      <c r="G1735" s="1">
        <v>1</v>
      </c>
      <c r="H1735" s="1">
        <v>1</v>
      </c>
      <c r="I1735" s="1">
        <f t="shared" si="139"/>
        <v>1</v>
      </c>
    </row>
    <row r="1736" spans="1:9" x14ac:dyDescent="0.3">
      <c r="A1736" s="26">
        <v>47026</v>
      </c>
      <c r="B1736" s="27">
        <f t="shared" si="135"/>
        <v>2028</v>
      </c>
      <c r="C1736" s="27">
        <f t="shared" si="136"/>
        <v>9</v>
      </c>
      <c r="D1736" s="27">
        <f t="shared" si="137"/>
        <v>30</v>
      </c>
      <c r="E1736" s="27">
        <f t="shared" si="138"/>
        <v>7</v>
      </c>
      <c r="F1736" s="27">
        <f>VLOOKUP(E1736,[1]t_calendarioPolitica!A:C,3,FALSE)</f>
        <v>2</v>
      </c>
      <c r="G1736" s="1">
        <v>1</v>
      </c>
      <c r="H1736" s="1">
        <v>1</v>
      </c>
      <c r="I1736" s="1">
        <f t="shared" si="139"/>
        <v>1</v>
      </c>
    </row>
    <row r="1737" spans="1:9" x14ac:dyDescent="0.3">
      <c r="A1737" s="26">
        <v>47027</v>
      </c>
      <c r="B1737" s="27">
        <f t="shared" si="135"/>
        <v>2028</v>
      </c>
      <c r="C1737" s="27">
        <f t="shared" si="136"/>
        <v>10</v>
      </c>
      <c r="D1737" s="27">
        <f t="shared" si="137"/>
        <v>1</v>
      </c>
      <c r="E1737" s="27">
        <f t="shared" si="138"/>
        <v>1</v>
      </c>
      <c r="F1737" s="27">
        <f>VLOOKUP(E1737,[1]t_calendarioPolitica!A:C,3,FALSE)</f>
        <v>0</v>
      </c>
      <c r="G1737" s="1">
        <v>1</v>
      </c>
      <c r="H1737" s="1">
        <v>1</v>
      </c>
      <c r="I1737" s="1">
        <f t="shared" si="139"/>
        <v>0</v>
      </c>
    </row>
    <row r="1738" spans="1:9" x14ac:dyDescent="0.3">
      <c r="A1738" s="26">
        <v>47028</v>
      </c>
      <c r="B1738" s="27">
        <f t="shared" si="135"/>
        <v>2028</v>
      </c>
      <c r="C1738" s="27">
        <f t="shared" si="136"/>
        <v>10</v>
      </c>
      <c r="D1738" s="27">
        <f t="shared" si="137"/>
        <v>2</v>
      </c>
      <c r="E1738" s="27">
        <f t="shared" si="138"/>
        <v>2</v>
      </c>
      <c r="F1738" s="27">
        <f>VLOOKUP(E1738,[1]t_calendarioPolitica!A:C,3,FALSE)</f>
        <v>1</v>
      </c>
      <c r="G1738" s="1">
        <v>1</v>
      </c>
      <c r="H1738" s="1">
        <v>1</v>
      </c>
      <c r="I1738" s="1">
        <f t="shared" si="139"/>
        <v>1</v>
      </c>
    </row>
    <row r="1739" spans="1:9" x14ac:dyDescent="0.3">
      <c r="A1739" s="26">
        <v>47029</v>
      </c>
      <c r="B1739" s="27">
        <f t="shared" si="135"/>
        <v>2028</v>
      </c>
      <c r="C1739" s="27">
        <f t="shared" si="136"/>
        <v>10</v>
      </c>
      <c r="D1739" s="27">
        <f t="shared" si="137"/>
        <v>3</v>
      </c>
      <c r="E1739" s="27">
        <f t="shared" si="138"/>
        <v>3</v>
      </c>
      <c r="F1739" s="27">
        <f>VLOOKUP(E1739,[1]t_calendarioPolitica!A:C,3,FALSE)</f>
        <v>1</v>
      </c>
      <c r="G1739" s="1">
        <v>1</v>
      </c>
      <c r="H1739" s="1">
        <v>1</v>
      </c>
      <c r="I1739" s="1">
        <f t="shared" si="139"/>
        <v>1</v>
      </c>
    </row>
    <row r="1740" spans="1:9" x14ac:dyDescent="0.3">
      <c r="A1740" s="26">
        <v>47030</v>
      </c>
      <c r="B1740" s="27">
        <f t="shared" si="135"/>
        <v>2028</v>
      </c>
      <c r="C1740" s="27">
        <f t="shared" si="136"/>
        <v>10</v>
      </c>
      <c r="D1740" s="27">
        <f t="shared" si="137"/>
        <v>4</v>
      </c>
      <c r="E1740" s="27">
        <f t="shared" si="138"/>
        <v>4</v>
      </c>
      <c r="F1740" s="27">
        <f>VLOOKUP(E1740,[1]t_calendarioPolitica!A:C,3,FALSE)</f>
        <v>1</v>
      </c>
      <c r="G1740" s="1">
        <v>1</v>
      </c>
      <c r="H1740" s="1">
        <v>1</v>
      </c>
      <c r="I1740" s="1">
        <f t="shared" si="139"/>
        <v>1</v>
      </c>
    </row>
    <row r="1741" spans="1:9" x14ac:dyDescent="0.3">
      <c r="A1741" s="26">
        <v>47031</v>
      </c>
      <c r="B1741" s="27">
        <f t="shared" si="135"/>
        <v>2028</v>
      </c>
      <c r="C1741" s="27">
        <f t="shared" si="136"/>
        <v>10</v>
      </c>
      <c r="D1741" s="27">
        <f t="shared" si="137"/>
        <v>5</v>
      </c>
      <c r="E1741" s="27">
        <f t="shared" si="138"/>
        <v>5</v>
      </c>
      <c r="F1741" s="27">
        <f>VLOOKUP(E1741,[1]t_calendarioPolitica!A:C,3,FALSE)</f>
        <v>1</v>
      </c>
      <c r="G1741" s="1">
        <v>1</v>
      </c>
      <c r="H1741" s="1">
        <v>1</v>
      </c>
      <c r="I1741" s="1">
        <f t="shared" si="139"/>
        <v>1</v>
      </c>
    </row>
    <row r="1742" spans="1:9" x14ac:dyDescent="0.3">
      <c r="A1742" s="26">
        <v>47032</v>
      </c>
      <c r="B1742" s="27">
        <f t="shared" si="135"/>
        <v>2028</v>
      </c>
      <c r="C1742" s="27">
        <f t="shared" si="136"/>
        <v>10</v>
      </c>
      <c r="D1742" s="27">
        <f t="shared" si="137"/>
        <v>6</v>
      </c>
      <c r="E1742" s="27">
        <f t="shared" si="138"/>
        <v>6</v>
      </c>
      <c r="F1742" s="27">
        <f>VLOOKUP(E1742,[1]t_calendarioPolitica!A:C,3,FALSE)</f>
        <v>1</v>
      </c>
      <c r="G1742" s="1">
        <v>1</v>
      </c>
      <c r="H1742" s="1">
        <v>1</v>
      </c>
      <c r="I1742" s="1">
        <f t="shared" si="139"/>
        <v>1</v>
      </c>
    </row>
    <row r="1743" spans="1:9" x14ac:dyDescent="0.3">
      <c r="A1743" s="26">
        <v>47033</v>
      </c>
      <c r="B1743" s="27">
        <f t="shared" si="135"/>
        <v>2028</v>
      </c>
      <c r="C1743" s="27">
        <f t="shared" si="136"/>
        <v>10</v>
      </c>
      <c r="D1743" s="27">
        <f t="shared" si="137"/>
        <v>7</v>
      </c>
      <c r="E1743" s="27">
        <f t="shared" si="138"/>
        <v>7</v>
      </c>
      <c r="F1743" s="27">
        <f>VLOOKUP(E1743,[1]t_calendarioPolitica!A:C,3,FALSE)</f>
        <v>2</v>
      </c>
      <c r="G1743" s="1">
        <v>1</v>
      </c>
      <c r="H1743" s="1">
        <v>1</v>
      </c>
      <c r="I1743" s="1">
        <f t="shared" si="139"/>
        <v>1</v>
      </c>
    </row>
    <row r="1744" spans="1:9" x14ac:dyDescent="0.3">
      <c r="A1744" s="26">
        <v>47034</v>
      </c>
      <c r="B1744" s="27">
        <f t="shared" si="135"/>
        <v>2028</v>
      </c>
      <c r="C1744" s="27">
        <f t="shared" si="136"/>
        <v>10</v>
      </c>
      <c r="D1744" s="27">
        <f t="shared" si="137"/>
        <v>8</v>
      </c>
      <c r="E1744" s="27">
        <f t="shared" si="138"/>
        <v>1</v>
      </c>
      <c r="F1744" s="27">
        <f>VLOOKUP(E1744,[1]t_calendarioPolitica!A:C,3,FALSE)</f>
        <v>0</v>
      </c>
      <c r="G1744" s="1">
        <v>1</v>
      </c>
      <c r="H1744" s="1">
        <v>1</v>
      </c>
      <c r="I1744" s="1">
        <f t="shared" si="139"/>
        <v>0</v>
      </c>
    </row>
    <row r="1745" spans="1:9" x14ac:dyDescent="0.3">
      <c r="A1745" s="26">
        <v>47035</v>
      </c>
      <c r="B1745" s="27">
        <f t="shared" si="135"/>
        <v>2028</v>
      </c>
      <c r="C1745" s="27">
        <f t="shared" si="136"/>
        <v>10</v>
      </c>
      <c r="D1745" s="27">
        <f t="shared" si="137"/>
        <v>9</v>
      </c>
      <c r="E1745" s="27">
        <f t="shared" si="138"/>
        <v>2</v>
      </c>
      <c r="F1745" s="27">
        <f>VLOOKUP(E1745,[1]t_calendarioPolitica!A:C,3,FALSE)</f>
        <v>1</v>
      </c>
      <c r="G1745" s="1">
        <v>1</v>
      </c>
      <c r="H1745" s="1">
        <v>1</v>
      </c>
      <c r="I1745" s="1">
        <f t="shared" si="139"/>
        <v>1</v>
      </c>
    </row>
    <row r="1746" spans="1:9" x14ac:dyDescent="0.3">
      <c r="A1746" s="26">
        <v>47036</v>
      </c>
      <c r="B1746" s="27">
        <f t="shared" si="135"/>
        <v>2028</v>
      </c>
      <c r="C1746" s="27">
        <f t="shared" si="136"/>
        <v>10</v>
      </c>
      <c r="D1746" s="27">
        <f t="shared" si="137"/>
        <v>10</v>
      </c>
      <c r="E1746" s="27">
        <f t="shared" si="138"/>
        <v>3</v>
      </c>
      <c r="F1746" s="27">
        <f>VLOOKUP(E1746,[1]t_calendarioPolitica!A:C,3,FALSE)</f>
        <v>1</v>
      </c>
      <c r="G1746" s="1">
        <v>1</v>
      </c>
      <c r="H1746" s="1">
        <v>1</v>
      </c>
      <c r="I1746" s="1">
        <f t="shared" si="139"/>
        <v>1</v>
      </c>
    </row>
    <row r="1747" spans="1:9" x14ac:dyDescent="0.3">
      <c r="A1747" s="26">
        <v>47037</v>
      </c>
      <c r="B1747" s="27">
        <f t="shared" si="135"/>
        <v>2028</v>
      </c>
      <c r="C1747" s="27">
        <f t="shared" si="136"/>
        <v>10</v>
      </c>
      <c r="D1747" s="27">
        <f t="shared" si="137"/>
        <v>11</v>
      </c>
      <c r="E1747" s="27">
        <f t="shared" si="138"/>
        <v>4</v>
      </c>
      <c r="F1747" s="27">
        <f>VLOOKUP(E1747,[1]t_calendarioPolitica!A:C,3,FALSE)</f>
        <v>1</v>
      </c>
      <c r="G1747" s="1">
        <v>1</v>
      </c>
      <c r="H1747" s="1">
        <v>1</v>
      </c>
      <c r="I1747" s="1">
        <f t="shared" si="139"/>
        <v>1</v>
      </c>
    </row>
    <row r="1748" spans="1:9" x14ac:dyDescent="0.3">
      <c r="A1748" s="26">
        <v>47038</v>
      </c>
      <c r="B1748" s="27">
        <f t="shared" si="135"/>
        <v>2028</v>
      </c>
      <c r="C1748" s="27">
        <f t="shared" si="136"/>
        <v>10</v>
      </c>
      <c r="D1748" s="27">
        <f t="shared" si="137"/>
        <v>12</v>
      </c>
      <c r="E1748" s="27">
        <f t="shared" si="138"/>
        <v>5</v>
      </c>
      <c r="F1748" s="27">
        <f>VLOOKUP(E1748,[1]t_calendarioPolitica!A:C,3,FALSE)</f>
        <v>1</v>
      </c>
      <c r="G1748" s="1">
        <v>1</v>
      </c>
      <c r="H1748" s="1">
        <v>1</v>
      </c>
      <c r="I1748" s="1">
        <f t="shared" si="139"/>
        <v>1</v>
      </c>
    </row>
    <row r="1749" spans="1:9" x14ac:dyDescent="0.3">
      <c r="A1749" s="26">
        <v>47039</v>
      </c>
      <c r="B1749" s="27">
        <f t="shared" si="135"/>
        <v>2028</v>
      </c>
      <c r="C1749" s="27">
        <f t="shared" si="136"/>
        <v>10</v>
      </c>
      <c r="D1749" s="27">
        <f t="shared" si="137"/>
        <v>13</v>
      </c>
      <c r="E1749" s="27">
        <f t="shared" si="138"/>
        <v>6</v>
      </c>
      <c r="F1749" s="27">
        <f>VLOOKUP(E1749,[1]t_calendarioPolitica!A:C,3,FALSE)</f>
        <v>1</v>
      </c>
      <c r="G1749" s="1">
        <v>1</v>
      </c>
      <c r="H1749" s="1">
        <v>1</v>
      </c>
      <c r="I1749" s="1">
        <f t="shared" si="139"/>
        <v>1</v>
      </c>
    </row>
    <row r="1750" spans="1:9" x14ac:dyDescent="0.3">
      <c r="A1750" s="26">
        <v>47040</v>
      </c>
      <c r="B1750" s="27">
        <f t="shared" si="135"/>
        <v>2028</v>
      </c>
      <c r="C1750" s="27">
        <f t="shared" si="136"/>
        <v>10</v>
      </c>
      <c r="D1750" s="27">
        <f t="shared" si="137"/>
        <v>14</v>
      </c>
      <c r="E1750" s="27">
        <f t="shared" si="138"/>
        <v>7</v>
      </c>
      <c r="F1750" s="27">
        <f>VLOOKUP(E1750,[1]t_calendarioPolitica!A:C,3,FALSE)</f>
        <v>2</v>
      </c>
      <c r="G1750" s="1">
        <v>1</v>
      </c>
      <c r="H1750" s="1">
        <v>1</v>
      </c>
      <c r="I1750" s="1">
        <f t="shared" si="139"/>
        <v>1</v>
      </c>
    </row>
    <row r="1751" spans="1:9" x14ac:dyDescent="0.3">
      <c r="A1751" s="26">
        <v>47041</v>
      </c>
      <c r="B1751" s="27">
        <f t="shared" si="135"/>
        <v>2028</v>
      </c>
      <c r="C1751" s="27">
        <f t="shared" si="136"/>
        <v>10</v>
      </c>
      <c r="D1751" s="27">
        <f t="shared" si="137"/>
        <v>15</v>
      </c>
      <c r="E1751" s="27">
        <f t="shared" si="138"/>
        <v>1</v>
      </c>
      <c r="F1751" s="27">
        <f>VLOOKUP(E1751,[1]t_calendarioPolitica!A:C,3,FALSE)</f>
        <v>0</v>
      </c>
      <c r="G1751" s="1">
        <v>1</v>
      </c>
      <c r="H1751" s="1">
        <v>1</v>
      </c>
      <c r="I1751" s="1">
        <f t="shared" si="139"/>
        <v>0</v>
      </c>
    </row>
    <row r="1752" spans="1:9" x14ac:dyDescent="0.3">
      <c r="A1752" s="26">
        <v>47042</v>
      </c>
      <c r="B1752" s="27">
        <f t="shared" si="135"/>
        <v>2028</v>
      </c>
      <c r="C1752" s="27">
        <f t="shared" si="136"/>
        <v>10</v>
      </c>
      <c r="D1752" s="27">
        <f t="shared" si="137"/>
        <v>16</v>
      </c>
      <c r="E1752" s="27">
        <f t="shared" si="138"/>
        <v>2</v>
      </c>
      <c r="F1752" s="27">
        <f>VLOOKUP(E1752,[1]t_calendarioPolitica!A:C,3,FALSE)</f>
        <v>1</v>
      </c>
      <c r="G1752" s="1">
        <v>1</v>
      </c>
      <c r="H1752" s="1">
        <v>1</v>
      </c>
      <c r="I1752" s="1">
        <f t="shared" si="139"/>
        <v>1</v>
      </c>
    </row>
    <row r="1753" spans="1:9" x14ac:dyDescent="0.3">
      <c r="A1753" s="26">
        <v>47043</v>
      </c>
      <c r="B1753" s="27">
        <f t="shared" si="135"/>
        <v>2028</v>
      </c>
      <c r="C1753" s="27">
        <f t="shared" si="136"/>
        <v>10</v>
      </c>
      <c r="D1753" s="27">
        <f t="shared" si="137"/>
        <v>17</v>
      </c>
      <c r="E1753" s="27">
        <f t="shared" si="138"/>
        <v>3</v>
      </c>
      <c r="F1753" s="27">
        <f>VLOOKUP(E1753,[1]t_calendarioPolitica!A:C,3,FALSE)</f>
        <v>1</v>
      </c>
      <c r="G1753" s="1">
        <v>1</v>
      </c>
      <c r="H1753" s="1">
        <v>1</v>
      </c>
      <c r="I1753" s="1">
        <f t="shared" si="139"/>
        <v>1</v>
      </c>
    </row>
    <row r="1754" spans="1:9" x14ac:dyDescent="0.3">
      <c r="A1754" s="26">
        <v>47044</v>
      </c>
      <c r="B1754" s="27">
        <f t="shared" si="135"/>
        <v>2028</v>
      </c>
      <c r="C1754" s="27">
        <f t="shared" si="136"/>
        <v>10</v>
      </c>
      <c r="D1754" s="27">
        <f t="shared" si="137"/>
        <v>18</v>
      </c>
      <c r="E1754" s="27">
        <f t="shared" si="138"/>
        <v>4</v>
      </c>
      <c r="F1754" s="27">
        <f>VLOOKUP(E1754,[1]t_calendarioPolitica!A:C,3,FALSE)</f>
        <v>1</v>
      </c>
      <c r="G1754" s="1">
        <v>1</v>
      </c>
      <c r="H1754" s="1">
        <v>1</v>
      </c>
      <c r="I1754" s="1">
        <f t="shared" si="139"/>
        <v>1</v>
      </c>
    </row>
    <row r="1755" spans="1:9" x14ac:dyDescent="0.3">
      <c r="A1755" s="26">
        <v>47045</v>
      </c>
      <c r="B1755" s="27">
        <f t="shared" si="135"/>
        <v>2028</v>
      </c>
      <c r="C1755" s="27">
        <f t="shared" si="136"/>
        <v>10</v>
      </c>
      <c r="D1755" s="27">
        <f t="shared" si="137"/>
        <v>19</v>
      </c>
      <c r="E1755" s="27">
        <f t="shared" si="138"/>
        <v>5</v>
      </c>
      <c r="F1755" s="27">
        <f>VLOOKUP(E1755,[1]t_calendarioPolitica!A:C,3,FALSE)</f>
        <v>1</v>
      </c>
      <c r="G1755" s="1">
        <v>1</v>
      </c>
      <c r="H1755" s="1">
        <v>1</v>
      </c>
      <c r="I1755" s="1">
        <f t="shared" si="139"/>
        <v>1</v>
      </c>
    </row>
    <row r="1756" spans="1:9" x14ac:dyDescent="0.3">
      <c r="A1756" s="26">
        <v>47046</v>
      </c>
      <c r="B1756" s="27">
        <f t="shared" si="135"/>
        <v>2028</v>
      </c>
      <c r="C1756" s="27">
        <f t="shared" si="136"/>
        <v>10</v>
      </c>
      <c r="D1756" s="27">
        <f t="shared" si="137"/>
        <v>20</v>
      </c>
      <c r="E1756" s="27">
        <f t="shared" si="138"/>
        <v>6</v>
      </c>
      <c r="F1756" s="27">
        <f>VLOOKUP(E1756,[1]t_calendarioPolitica!A:C,3,FALSE)</f>
        <v>1</v>
      </c>
      <c r="G1756" s="1">
        <v>1</v>
      </c>
      <c r="H1756" s="1">
        <v>1</v>
      </c>
      <c r="I1756" s="1">
        <f t="shared" si="139"/>
        <v>1</v>
      </c>
    </row>
    <row r="1757" spans="1:9" x14ac:dyDescent="0.3">
      <c r="A1757" s="26">
        <v>47047</v>
      </c>
      <c r="B1757" s="27">
        <f t="shared" si="135"/>
        <v>2028</v>
      </c>
      <c r="C1757" s="27">
        <f t="shared" si="136"/>
        <v>10</v>
      </c>
      <c r="D1757" s="27">
        <f t="shared" si="137"/>
        <v>21</v>
      </c>
      <c r="E1757" s="27">
        <f t="shared" si="138"/>
        <v>7</v>
      </c>
      <c r="F1757" s="27">
        <f>VLOOKUP(E1757,[1]t_calendarioPolitica!A:C,3,FALSE)</f>
        <v>2</v>
      </c>
      <c r="G1757" s="1">
        <v>1</v>
      </c>
      <c r="H1757" s="1">
        <v>1</v>
      </c>
      <c r="I1757" s="1">
        <f t="shared" si="139"/>
        <v>1</v>
      </c>
    </row>
    <row r="1758" spans="1:9" x14ac:dyDescent="0.3">
      <c r="A1758" s="26">
        <v>47048</v>
      </c>
      <c r="B1758" s="27">
        <f t="shared" si="135"/>
        <v>2028</v>
      </c>
      <c r="C1758" s="27">
        <f t="shared" si="136"/>
        <v>10</v>
      </c>
      <c r="D1758" s="27">
        <f t="shared" si="137"/>
        <v>22</v>
      </c>
      <c r="E1758" s="27">
        <f t="shared" si="138"/>
        <v>1</v>
      </c>
      <c r="F1758" s="27">
        <f>VLOOKUP(E1758,[1]t_calendarioPolitica!A:C,3,FALSE)</f>
        <v>0</v>
      </c>
      <c r="G1758" s="1">
        <v>1</v>
      </c>
      <c r="H1758" s="1">
        <v>1</v>
      </c>
      <c r="I1758" s="1">
        <f t="shared" si="139"/>
        <v>0</v>
      </c>
    </row>
    <row r="1759" spans="1:9" x14ac:dyDescent="0.3">
      <c r="A1759" s="26">
        <v>47049</v>
      </c>
      <c r="B1759" s="27">
        <f t="shared" si="135"/>
        <v>2028</v>
      </c>
      <c r="C1759" s="27">
        <f t="shared" si="136"/>
        <v>10</v>
      </c>
      <c r="D1759" s="27">
        <f t="shared" si="137"/>
        <v>23</v>
      </c>
      <c r="E1759" s="27">
        <f t="shared" si="138"/>
        <v>2</v>
      </c>
      <c r="F1759" s="27">
        <f>VLOOKUP(E1759,[1]t_calendarioPolitica!A:C,3,FALSE)</f>
        <v>1</v>
      </c>
      <c r="G1759" s="1">
        <v>1</v>
      </c>
      <c r="H1759" s="1">
        <v>1</v>
      </c>
      <c r="I1759" s="1">
        <f t="shared" si="139"/>
        <v>1</v>
      </c>
    </row>
    <row r="1760" spans="1:9" x14ac:dyDescent="0.3">
      <c r="A1760" s="26">
        <v>47050</v>
      </c>
      <c r="B1760" s="27">
        <f t="shared" si="135"/>
        <v>2028</v>
      </c>
      <c r="C1760" s="27">
        <f t="shared" si="136"/>
        <v>10</v>
      </c>
      <c r="D1760" s="27">
        <f t="shared" si="137"/>
        <v>24</v>
      </c>
      <c r="E1760" s="27">
        <f t="shared" si="138"/>
        <v>3</v>
      </c>
      <c r="F1760" s="27">
        <f>VLOOKUP(E1760,[1]t_calendarioPolitica!A:C,3,FALSE)</f>
        <v>1</v>
      </c>
      <c r="G1760" s="1">
        <v>1</v>
      </c>
      <c r="H1760" s="1">
        <v>1</v>
      </c>
      <c r="I1760" s="1">
        <f t="shared" si="139"/>
        <v>1</v>
      </c>
    </row>
    <row r="1761" spans="1:9" x14ac:dyDescent="0.3">
      <c r="A1761" s="26">
        <v>47051</v>
      </c>
      <c r="B1761" s="27">
        <f t="shared" si="135"/>
        <v>2028</v>
      </c>
      <c r="C1761" s="27">
        <f t="shared" si="136"/>
        <v>10</v>
      </c>
      <c r="D1761" s="27">
        <f t="shared" si="137"/>
        <v>25</v>
      </c>
      <c r="E1761" s="27">
        <f t="shared" si="138"/>
        <v>4</v>
      </c>
      <c r="F1761" s="27">
        <f>VLOOKUP(E1761,[1]t_calendarioPolitica!A:C,3,FALSE)</f>
        <v>1</v>
      </c>
      <c r="G1761" s="1">
        <v>1</v>
      </c>
      <c r="H1761" s="1">
        <v>1</v>
      </c>
      <c r="I1761" s="1">
        <f t="shared" si="139"/>
        <v>1</v>
      </c>
    </row>
    <row r="1762" spans="1:9" x14ac:dyDescent="0.3">
      <c r="A1762" s="26">
        <v>47052</v>
      </c>
      <c r="B1762" s="27">
        <f t="shared" si="135"/>
        <v>2028</v>
      </c>
      <c r="C1762" s="27">
        <f t="shared" si="136"/>
        <v>10</v>
      </c>
      <c r="D1762" s="27">
        <f t="shared" si="137"/>
        <v>26</v>
      </c>
      <c r="E1762" s="27">
        <f t="shared" si="138"/>
        <v>5</v>
      </c>
      <c r="F1762" s="27">
        <f>VLOOKUP(E1762,[1]t_calendarioPolitica!A:C,3,FALSE)</f>
        <v>1</v>
      </c>
      <c r="G1762" s="1">
        <v>1</v>
      </c>
      <c r="H1762" s="1">
        <v>1</v>
      </c>
      <c r="I1762" s="1">
        <f t="shared" si="139"/>
        <v>1</v>
      </c>
    </row>
    <row r="1763" spans="1:9" x14ac:dyDescent="0.3">
      <c r="A1763" s="26">
        <v>47053</v>
      </c>
      <c r="B1763" s="27">
        <f t="shared" si="135"/>
        <v>2028</v>
      </c>
      <c r="C1763" s="27">
        <f t="shared" si="136"/>
        <v>10</v>
      </c>
      <c r="D1763" s="27">
        <f t="shared" si="137"/>
        <v>27</v>
      </c>
      <c r="E1763" s="27">
        <f t="shared" si="138"/>
        <v>6</v>
      </c>
      <c r="F1763" s="27">
        <f>VLOOKUP(E1763,[1]t_calendarioPolitica!A:C,3,FALSE)</f>
        <v>1</v>
      </c>
      <c r="G1763" s="1">
        <v>1</v>
      </c>
      <c r="H1763" s="1">
        <v>1</v>
      </c>
      <c r="I1763" s="1">
        <f t="shared" si="139"/>
        <v>1</v>
      </c>
    </row>
    <row r="1764" spans="1:9" x14ac:dyDescent="0.3">
      <c r="A1764" s="26">
        <v>47054</v>
      </c>
      <c r="B1764" s="27">
        <f t="shared" si="135"/>
        <v>2028</v>
      </c>
      <c r="C1764" s="27">
        <f t="shared" si="136"/>
        <v>10</v>
      </c>
      <c r="D1764" s="27">
        <f t="shared" si="137"/>
        <v>28</v>
      </c>
      <c r="E1764" s="27">
        <f t="shared" si="138"/>
        <v>7</v>
      </c>
      <c r="F1764" s="27">
        <f>VLOOKUP(E1764,[1]t_calendarioPolitica!A:C,3,FALSE)</f>
        <v>2</v>
      </c>
      <c r="G1764" s="1">
        <v>1</v>
      </c>
      <c r="H1764" s="1">
        <v>1</v>
      </c>
      <c r="I1764" s="1">
        <f t="shared" si="139"/>
        <v>1</v>
      </c>
    </row>
    <row r="1765" spans="1:9" x14ac:dyDescent="0.3">
      <c r="A1765" s="26">
        <v>47055</v>
      </c>
      <c r="B1765" s="27">
        <f t="shared" si="135"/>
        <v>2028</v>
      </c>
      <c r="C1765" s="27">
        <f t="shared" si="136"/>
        <v>10</v>
      </c>
      <c r="D1765" s="27">
        <f t="shared" si="137"/>
        <v>29</v>
      </c>
      <c r="E1765" s="27">
        <f t="shared" si="138"/>
        <v>1</v>
      </c>
      <c r="F1765" s="27">
        <f>VLOOKUP(E1765,[1]t_calendarioPolitica!A:C,3,FALSE)</f>
        <v>0</v>
      </c>
      <c r="G1765" s="1">
        <v>1</v>
      </c>
      <c r="H1765" s="1">
        <v>1</v>
      </c>
      <c r="I1765" s="1">
        <f t="shared" si="139"/>
        <v>0</v>
      </c>
    </row>
    <row r="1766" spans="1:9" x14ac:dyDescent="0.3">
      <c r="A1766" s="26">
        <v>47056</v>
      </c>
      <c r="B1766" s="27">
        <f t="shared" si="135"/>
        <v>2028</v>
      </c>
      <c r="C1766" s="27">
        <f t="shared" si="136"/>
        <v>10</v>
      </c>
      <c r="D1766" s="27">
        <f t="shared" si="137"/>
        <v>30</v>
      </c>
      <c r="E1766" s="27">
        <f t="shared" si="138"/>
        <v>2</v>
      </c>
      <c r="F1766" s="27">
        <f>VLOOKUP(E1766,[1]t_calendarioPolitica!A:C,3,FALSE)</f>
        <v>1</v>
      </c>
      <c r="G1766" s="1">
        <v>1</v>
      </c>
      <c r="H1766" s="1">
        <v>1</v>
      </c>
      <c r="I1766" s="1">
        <f t="shared" si="139"/>
        <v>1</v>
      </c>
    </row>
    <row r="1767" spans="1:9" x14ac:dyDescent="0.3">
      <c r="A1767" s="26">
        <v>47057</v>
      </c>
      <c r="B1767" s="27">
        <f t="shared" si="135"/>
        <v>2028</v>
      </c>
      <c r="C1767" s="27">
        <f t="shared" si="136"/>
        <v>10</v>
      </c>
      <c r="D1767" s="27">
        <f t="shared" si="137"/>
        <v>31</v>
      </c>
      <c r="E1767" s="27">
        <f t="shared" si="138"/>
        <v>3</v>
      </c>
      <c r="F1767" s="27">
        <f>VLOOKUP(E1767,[1]t_calendarioPolitica!A:C,3,FALSE)</f>
        <v>1</v>
      </c>
      <c r="G1767" s="1">
        <v>1</v>
      </c>
      <c r="H1767" s="1">
        <v>1</v>
      </c>
      <c r="I1767" s="1">
        <f t="shared" si="139"/>
        <v>1</v>
      </c>
    </row>
    <row r="1768" spans="1:9" x14ac:dyDescent="0.3">
      <c r="A1768" s="26">
        <v>47058</v>
      </c>
      <c r="B1768" s="27">
        <f t="shared" si="135"/>
        <v>2028</v>
      </c>
      <c r="C1768" s="27">
        <f t="shared" si="136"/>
        <v>11</v>
      </c>
      <c r="D1768" s="27">
        <f t="shared" si="137"/>
        <v>1</v>
      </c>
      <c r="E1768" s="27">
        <f t="shared" si="138"/>
        <v>4</v>
      </c>
      <c r="F1768" s="27">
        <f>VLOOKUP(E1768,[1]t_calendarioPolitica!A:C,3,FALSE)</f>
        <v>1</v>
      </c>
      <c r="G1768" s="1">
        <v>1</v>
      </c>
      <c r="H1768" s="1">
        <v>1</v>
      </c>
      <c r="I1768" s="1">
        <f t="shared" si="139"/>
        <v>1</v>
      </c>
    </row>
    <row r="1769" spans="1:9" x14ac:dyDescent="0.3">
      <c r="A1769" s="26">
        <v>47059</v>
      </c>
      <c r="B1769" s="27">
        <f t="shared" si="135"/>
        <v>2028</v>
      </c>
      <c r="C1769" s="27">
        <f t="shared" si="136"/>
        <v>11</v>
      </c>
      <c r="D1769" s="27">
        <f t="shared" si="137"/>
        <v>2</v>
      </c>
      <c r="E1769" s="27">
        <f t="shared" si="138"/>
        <v>5</v>
      </c>
      <c r="F1769" s="27">
        <f>VLOOKUP(E1769,[1]t_calendarioPolitica!A:C,3,FALSE)</f>
        <v>1</v>
      </c>
      <c r="G1769" s="1">
        <v>1</v>
      </c>
      <c r="H1769" s="1">
        <v>0</v>
      </c>
      <c r="I1769" s="1">
        <f t="shared" si="139"/>
        <v>0</v>
      </c>
    </row>
    <row r="1770" spans="1:9" x14ac:dyDescent="0.3">
      <c r="A1770" s="26">
        <v>47060</v>
      </c>
      <c r="B1770" s="27">
        <f t="shared" si="135"/>
        <v>2028</v>
      </c>
      <c r="C1770" s="27">
        <f t="shared" si="136"/>
        <v>11</v>
      </c>
      <c r="D1770" s="27">
        <f t="shared" si="137"/>
        <v>3</v>
      </c>
      <c r="E1770" s="27">
        <f t="shared" si="138"/>
        <v>6</v>
      </c>
      <c r="F1770" s="27">
        <f>VLOOKUP(E1770,[1]t_calendarioPolitica!A:C,3,FALSE)</f>
        <v>1</v>
      </c>
      <c r="G1770" s="1">
        <v>1</v>
      </c>
      <c r="H1770" s="1">
        <v>1</v>
      </c>
      <c r="I1770" s="1">
        <f t="shared" si="139"/>
        <v>1</v>
      </c>
    </row>
    <row r="1771" spans="1:9" x14ac:dyDescent="0.3">
      <c r="A1771" s="26">
        <v>47061</v>
      </c>
      <c r="B1771" s="27">
        <f t="shared" si="135"/>
        <v>2028</v>
      </c>
      <c r="C1771" s="27">
        <f t="shared" si="136"/>
        <v>11</v>
      </c>
      <c r="D1771" s="27">
        <f t="shared" si="137"/>
        <v>4</v>
      </c>
      <c r="E1771" s="27">
        <f t="shared" si="138"/>
        <v>7</v>
      </c>
      <c r="F1771" s="27">
        <f>VLOOKUP(E1771,[1]t_calendarioPolitica!A:C,3,FALSE)</f>
        <v>2</v>
      </c>
      <c r="G1771" s="1">
        <v>1</v>
      </c>
      <c r="H1771" s="1">
        <v>1</v>
      </c>
      <c r="I1771" s="1">
        <f t="shared" si="139"/>
        <v>1</v>
      </c>
    </row>
    <row r="1772" spans="1:9" x14ac:dyDescent="0.3">
      <c r="A1772" s="26">
        <v>47062</v>
      </c>
      <c r="B1772" s="27">
        <f t="shared" si="135"/>
        <v>2028</v>
      </c>
      <c r="C1772" s="27">
        <f t="shared" si="136"/>
        <v>11</v>
      </c>
      <c r="D1772" s="27">
        <f t="shared" si="137"/>
        <v>5</v>
      </c>
      <c r="E1772" s="27">
        <f t="shared" si="138"/>
        <v>1</v>
      </c>
      <c r="F1772" s="27">
        <f>VLOOKUP(E1772,[1]t_calendarioPolitica!A:C,3,FALSE)</f>
        <v>0</v>
      </c>
      <c r="G1772" s="1">
        <v>1</v>
      </c>
      <c r="H1772" s="1">
        <v>1</v>
      </c>
      <c r="I1772" s="1">
        <f t="shared" si="139"/>
        <v>0</v>
      </c>
    </row>
    <row r="1773" spans="1:9" x14ac:dyDescent="0.3">
      <c r="A1773" s="26">
        <v>47063</v>
      </c>
      <c r="B1773" s="27">
        <f t="shared" si="135"/>
        <v>2028</v>
      </c>
      <c r="C1773" s="27">
        <f t="shared" si="136"/>
        <v>11</v>
      </c>
      <c r="D1773" s="27">
        <f t="shared" si="137"/>
        <v>6</v>
      </c>
      <c r="E1773" s="27">
        <f t="shared" si="138"/>
        <v>2</v>
      </c>
      <c r="F1773" s="27">
        <f>VLOOKUP(E1773,[1]t_calendarioPolitica!A:C,3,FALSE)</f>
        <v>1</v>
      </c>
      <c r="G1773" s="1">
        <v>1</v>
      </c>
      <c r="H1773" s="1">
        <v>1</v>
      </c>
      <c r="I1773" s="1">
        <f t="shared" si="139"/>
        <v>1</v>
      </c>
    </row>
    <row r="1774" spans="1:9" x14ac:dyDescent="0.3">
      <c r="A1774" s="26">
        <v>47064</v>
      </c>
      <c r="B1774" s="27">
        <f t="shared" si="135"/>
        <v>2028</v>
      </c>
      <c r="C1774" s="27">
        <f t="shared" si="136"/>
        <v>11</v>
      </c>
      <c r="D1774" s="27">
        <f t="shared" si="137"/>
        <v>7</v>
      </c>
      <c r="E1774" s="27">
        <f t="shared" si="138"/>
        <v>3</v>
      </c>
      <c r="F1774" s="27">
        <f>VLOOKUP(E1774,[1]t_calendarioPolitica!A:C,3,FALSE)</f>
        <v>1</v>
      </c>
      <c r="G1774" s="1">
        <v>1</v>
      </c>
      <c r="H1774" s="1">
        <v>1</v>
      </c>
      <c r="I1774" s="1">
        <f t="shared" si="139"/>
        <v>1</v>
      </c>
    </row>
    <row r="1775" spans="1:9" x14ac:dyDescent="0.3">
      <c r="A1775" s="26">
        <v>47065</v>
      </c>
      <c r="B1775" s="27">
        <f t="shared" si="135"/>
        <v>2028</v>
      </c>
      <c r="C1775" s="27">
        <f t="shared" si="136"/>
        <v>11</v>
      </c>
      <c r="D1775" s="27">
        <f t="shared" si="137"/>
        <v>8</v>
      </c>
      <c r="E1775" s="27">
        <f t="shared" si="138"/>
        <v>4</v>
      </c>
      <c r="F1775" s="27">
        <f>VLOOKUP(E1775,[1]t_calendarioPolitica!A:C,3,FALSE)</f>
        <v>1</v>
      </c>
      <c r="G1775" s="1">
        <v>1</v>
      </c>
      <c r="H1775" s="1">
        <v>1</v>
      </c>
      <c r="I1775" s="1">
        <f t="shared" si="139"/>
        <v>1</v>
      </c>
    </row>
    <row r="1776" spans="1:9" x14ac:dyDescent="0.3">
      <c r="A1776" s="26">
        <v>47066</v>
      </c>
      <c r="B1776" s="27">
        <f t="shared" si="135"/>
        <v>2028</v>
      </c>
      <c r="C1776" s="27">
        <f t="shared" si="136"/>
        <v>11</v>
      </c>
      <c r="D1776" s="27">
        <f t="shared" si="137"/>
        <v>9</v>
      </c>
      <c r="E1776" s="27">
        <f t="shared" si="138"/>
        <v>5</v>
      </c>
      <c r="F1776" s="27">
        <f>VLOOKUP(E1776,[1]t_calendarioPolitica!A:C,3,FALSE)</f>
        <v>1</v>
      </c>
      <c r="G1776" s="1">
        <v>1</v>
      </c>
      <c r="H1776" s="1">
        <v>1</v>
      </c>
      <c r="I1776" s="1">
        <f t="shared" si="139"/>
        <v>1</v>
      </c>
    </row>
    <row r="1777" spans="1:9" x14ac:dyDescent="0.3">
      <c r="A1777" s="26">
        <v>47067</v>
      </c>
      <c r="B1777" s="27">
        <f t="shared" si="135"/>
        <v>2028</v>
      </c>
      <c r="C1777" s="27">
        <f t="shared" si="136"/>
        <v>11</v>
      </c>
      <c r="D1777" s="27">
        <f t="shared" si="137"/>
        <v>10</v>
      </c>
      <c r="E1777" s="27">
        <f t="shared" si="138"/>
        <v>6</v>
      </c>
      <c r="F1777" s="27">
        <f>VLOOKUP(E1777,[1]t_calendarioPolitica!A:C,3,FALSE)</f>
        <v>1</v>
      </c>
      <c r="G1777" s="1">
        <v>1</v>
      </c>
      <c r="H1777" s="1">
        <v>1</v>
      </c>
      <c r="I1777" s="1">
        <f t="shared" si="139"/>
        <v>1</v>
      </c>
    </row>
    <row r="1778" spans="1:9" x14ac:dyDescent="0.3">
      <c r="A1778" s="26">
        <v>47068</v>
      </c>
      <c r="B1778" s="27">
        <f t="shared" si="135"/>
        <v>2028</v>
      </c>
      <c r="C1778" s="27">
        <f t="shared" si="136"/>
        <v>11</v>
      </c>
      <c r="D1778" s="27">
        <f t="shared" si="137"/>
        <v>11</v>
      </c>
      <c r="E1778" s="27">
        <f t="shared" si="138"/>
        <v>7</v>
      </c>
      <c r="F1778" s="27">
        <f>VLOOKUP(E1778,[1]t_calendarioPolitica!A:C,3,FALSE)</f>
        <v>2</v>
      </c>
      <c r="G1778" s="1">
        <v>1</v>
      </c>
      <c r="H1778" s="1">
        <v>1</v>
      </c>
      <c r="I1778" s="1">
        <f t="shared" si="139"/>
        <v>1</v>
      </c>
    </row>
    <row r="1779" spans="1:9" x14ac:dyDescent="0.3">
      <c r="A1779" s="26">
        <v>47069</v>
      </c>
      <c r="B1779" s="27">
        <f t="shared" si="135"/>
        <v>2028</v>
      </c>
      <c r="C1779" s="27">
        <f t="shared" si="136"/>
        <v>11</v>
      </c>
      <c r="D1779" s="27">
        <f t="shared" si="137"/>
        <v>12</v>
      </c>
      <c r="E1779" s="27">
        <f t="shared" si="138"/>
        <v>1</v>
      </c>
      <c r="F1779" s="27">
        <f>VLOOKUP(E1779,[1]t_calendarioPolitica!A:C,3,FALSE)</f>
        <v>0</v>
      </c>
      <c r="G1779" s="1">
        <v>1</v>
      </c>
      <c r="H1779" s="1">
        <v>1</v>
      </c>
      <c r="I1779" s="1">
        <f t="shared" si="139"/>
        <v>0</v>
      </c>
    </row>
    <row r="1780" spans="1:9" x14ac:dyDescent="0.3">
      <c r="A1780" s="26">
        <v>47070</v>
      </c>
      <c r="B1780" s="27">
        <f t="shared" si="135"/>
        <v>2028</v>
      </c>
      <c r="C1780" s="27">
        <f t="shared" si="136"/>
        <v>11</v>
      </c>
      <c r="D1780" s="27">
        <f t="shared" si="137"/>
        <v>13</v>
      </c>
      <c r="E1780" s="27">
        <f t="shared" si="138"/>
        <v>2</v>
      </c>
      <c r="F1780" s="27">
        <f>VLOOKUP(E1780,[1]t_calendarioPolitica!A:C,3,FALSE)</f>
        <v>1</v>
      </c>
      <c r="G1780" s="1">
        <v>1</v>
      </c>
      <c r="H1780" s="1">
        <v>1</v>
      </c>
      <c r="I1780" s="1">
        <f t="shared" si="139"/>
        <v>1</v>
      </c>
    </row>
    <row r="1781" spans="1:9" x14ac:dyDescent="0.3">
      <c r="A1781" s="26">
        <v>47071</v>
      </c>
      <c r="B1781" s="27">
        <f t="shared" si="135"/>
        <v>2028</v>
      </c>
      <c r="C1781" s="27">
        <f t="shared" si="136"/>
        <v>11</v>
      </c>
      <c r="D1781" s="27">
        <f t="shared" si="137"/>
        <v>14</v>
      </c>
      <c r="E1781" s="27">
        <f t="shared" si="138"/>
        <v>3</v>
      </c>
      <c r="F1781" s="27">
        <f>VLOOKUP(E1781,[1]t_calendarioPolitica!A:C,3,FALSE)</f>
        <v>1</v>
      </c>
      <c r="G1781" s="1">
        <v>1</v>
      </c>
      <c r="H1781" s="1">
        <v>1</v>
      </c>
      <c r="I1781" s="1">
        <f t="shared" si="139"/>
        <v>1</v>
      </c>
    </row>
    <row r="1782" spans="1:9" x14ac:dyDescent="0.3">
      <c r="A1782" s="26">
        <v>47072</v>
      </c>
      <c r="B1782" s="27">
        <f t="shared" si="135"/>
        <v>2028</v>
      </c>
      <c r="C1782" s="27">
        <f t="shared" si="136"/>
        <v>11</v>
      </c>
      <c r="D1782" s="27">
        <f t="shared" si="137"/>
        <v>15</v>
      </c>
      <c r="E1782" s="27">
        <f t="shared" si="138"/>
        <v>4</v>
      </c>
      <c r="F1782" s="27">
        <f>VLOOKUP(E1782,[1]t_calendarioPolitica!A:C,3,FALSE)</f>
        <v>1</v>
      </c>
      <c r="G1782" s="1">
        <v>1</v>
      </c>
      <c r="H1782" s="1">
        <v>1</v>
      </c>
      <c r="I1782" s="1">
        <f t="shared" si="139"/>
        <v>1</v>
      </c>
    </row>
    <row r="1783" spans="1:9" x14ac:dyDescent="0.3">
      <c r="A1783" s="26">
        <v>47073</v>
      </c>
      <c r="B1783" s="27">
        <f t="shared" si="135"/>
        <v>2028</v>
      </c>
      <c r="C1783" s="27">
        <f t="shared" si="136"/>
        <v>11</v>
      </c>
      <c r="D1783" s="27">
        <f t="shared" si="137"/>
        <v>16</v>
      </c>
      <c r="E1783" s="27">
        <f t="shared" si="138"/>
        <v>5</v>
      </c>
      <c r="F1783" s="27">
        <f>VLOOKUP(E1783,[1]t_calendarioPolitica!A:C,3,FALSE)</f>
        <v>1</v>
      </c>
      <c r="G1783" s="1">
        <v>1</v>
      </c>
      <c r="H1783" s="1">
        <v>1</v>
      </c>
      <c r="I1783" s="1">
        <f t="shared" si="139"/>
        <v>1</v>
      </c>
    </row>
    <row r="1784" spans="1:9" x14ac:dyDescent="0.3">
      <c r="A1784" s="26">
        <v>47074</v>
      </c>
      <c r="B1784" s="27">
        <f t="shared" si="135"/>
        <v>2028</v>
      </c>
      <c r="C1784" s="27">
        <f t="shared" si="136"/>
        <v>11</v>
      </c>
      <c r="D1784" s="27">
        <f t="shared" si="137"/>
        <v>17</v>
      </c>
      <c r="E1784" s="27">
        <f t="shared" si="138"/>
        <v>6</v>
      </c>
      <c r="F1784" s="27">
        <f>VLOOKUP(E1784,[1]t_calendarioPolitica!A:C,3,FALSE)</f>
        <v>1</v>
      </c>
      <c r="G1784" s="1">
        <v>1</v>
      </c>
      <c r="H1784" s="1">
        <v>1</v>
      </c>
      <c r="I1784" s="1">
        <f t="shared" si="139"/>
        <v>1</v>
      </c>
    </row>
    <row r="1785" spans="1:9" x14ac:dyDescent="0.3">
      <c r="A1785" s="26">
        <v>47075</v>
      </c>
      <c r="B1785" s="27">
        <f t="shared" si="135"/>
        <v>2028</v>
      </c>
      <c r="C1785" s="27">
        <f t="shared" si="136"/>
        <v>11</v>
      </c>
      <c r="D1785" s="27">
        <f t="shared" si="137"/>
        <v>18</v>
      </c>
      <c r="E1785" s="27">
        <f t="shared" si="138"/>
        <v>7</v>
      </c>
      <c r="F1785" s="27">
        <f>VLOOKUP(E1785,[1]t_calendarioPolitica!A:C,3,FALSE)</f>
        <v>2</v>
      </c>
      <c r="G1785" s="1">
        <v>1</v>
      </c>
      <c r="H1785" s="1">
        <v>1</v>
      </c>
      <c r="I1785" s="1">
        <f t="shared" si="139"/>
        <v>1</v>
      </c>
    </row>
    <row r="1786" spans="1:9" x14ac:dyDescent="0.3">
      <c r="A1786" s="26">
        <v>47076</v>
      </c>
      <c r="B1786" s="27">
        <f t="shared" si="135"/>
        <v>2028</v>
      </c>
      <c r="C1786" s="27">
        <f t="shared" si="136"/>
        <v>11</v>
      </c>
      <c r="D1786" s="27">
        <f t="shared" si="137"/>
        <v>19</v>
      </c>
      <c r="E1786" s="27">
        <f t="shared" si="138"/>
        <v>1</v>
      </c>
      <c r="F1786" s="27">
        <f>VLOOKUP(E1786,[1]t_calendarioPolitica!A:C,3,FALSE)</f>
        <v>0</v>
      </c>
      <c r="G1786" s="1">
        <v>1</v>
      </c>
      <c r="H1786" s="1">
        <v>1</v>
      </c>
      <c r="I1786" s="1">
        <f t="shared" si="139"/>
        <v>0</v>
      </c>
    </row>
    <row r="1787" spans="1:9" x14ac:dyDescent="0.3">
      <c r="A1787" s="26">
        <v>47077</v>
      </c>
      <c r="B1787" s="27">
        <f t="shared" si="135"/>
        <v>2028</v>
      </c>
      <c r="C1787" s="27">
        <f t="shared" si="136"/>
        <v>11</v>
      </c>
      <c r="D1787" s="27">
        <f t="shared" si="137"/>
        <v>20</v>
      </c>
      <c r="E1787" s="27">
        <f t="shared" si="138"/>
        <v>2</v>
      </c>
      <c r="F1787" s="27">
        <f>VLOOKUP(E1787,[1]t_calendarioPolitica!A:C,3,FALSE)</f>
        <v>1</v>
      </c>
      <c r="G1787" s="1">
        <v>1</v>
      </c>
      <c r="H1787" s="1">
        <v>1</v>
      </c>
      <c r="I1787" s="1">
        <f t="shared" si="139"/>
        <v>1</v>
      </c>
    </row>
    <row r="1788" spans="1:9" x14ac:dyDescent="0.3">
      <c r="A1788" s="26">
        <v>47078</v>
      </c>
      <c r="B1788" s="27">
        <f t="shared" si="135"/>
        <v>2028</v>
      </c>
      <c r="C1788" s="27">
        <f t="shared" si="136"/>
        <v>11</v>
      </c>
      <c r="D1788" s="27">
        <f t="shared" si="137"/>
        <v>21</v>
      </c>
      <c r="E1788" s="27">
        <f t="shared" si="138"/>
        <v>3</v>
      </c>
      <c r="F1788" s="27">
        <f>VLOOKUP(E1788,[1]t_calendarioPolitica!A:C,3,FALSE)</f>
        <v>1</v>
      </c>
      <c r="G1788" s="1">
        <v>1</v>
      </c>
      <c r="H1788" s="1">
        <v>1</v>
      </c>
      <c r="I1788" s="1">
        <f t="shared" si="139"/>
        <v>1</v>
      </c>
    </row>
    <row r="1789" spans="1:9" x14ac:dyDescent="0.3">
      <c r="A1789" s="26">
        <v>47079</v>
      </c>
      <c r="B1789" s="27">
        <f t="shared" si="135"/>
        <v>2028</v>
      </c>
      <c r="C1789" s="27">
        <f t="shared" si="136"/>
        <v>11</v>
      </c>
      <c r="D1789" s="27">
        <f t="shared" si="137"/>
        <v>22</v>
      </c>
      <c r="E1789" s="27">
        <f t="shared" si="138"/>
        <v>4</v>
      </c>
      <c r="F1789" s="27">
        <f>VLOOKUP(E1789,[1]t_calendarioPolitica!A:C,3,FALSE)</f>
        <v>1</v>
      </c>
      <c r="G1789" s="1">
        <v>1</v>
      </c>
      <c r="H1789" s="1">
        <v>1</v>
      </c>
      <c r="I1789" s="1">
        <f t="shared" si="139"/>
        <v>1</v>
      </c>
    </row>
    <row r="1790" spans="1:9" x14ac:dyDescent="0.3">
      <c r="A1790" s="26">
        <v>47080</v>
      </c>
      <c r="B1790" s="27">
        <f t="shared" si="135"/>
        <v>2028</v>
      </c>
      <c r="C1790" s="27">
        <f t="shared" si="136"/>
        <v>11</v>
      </c>
      <c r="D1790" s="27">
        <f t="shared" si="137"/>
        <v>23</v>
      </c>
      <c r="E1790" s="27">
        <f t="shared" si="138"/>
        <v>5</v>
      </c>
      <c r="F1790" s="27">
        <f>VLOOKUP(E1790,[1]t_calendarioPolitica!A:C,3,FALSE)</f>
        <v>1</v>
      </c>
      <c r="G1790" s="1">
        <v>1</v>
      </c>
      <c r="H1790" s="1">
        <v>1</v>
      </c>
      <c r="I1790" s="1">
        <f t="shared" si="139"/>
        <v>1</v>
      </c>
    </row>
    <row r="1791" spans="1:9" x14ac:dyDescent="0.3">
      <c r="A1791" s="26">
        <v>47081</v>
      </c>
      <c r="B1791" s="27">
        <f t="shared" si="135"/>
        <v>2028</v>
      </c>
      <c r="C1791" s="27">
        <f t="shared" si="136"/>
        <v>11</v>
      </c>
      <c r="D1791" s="27">
        <f t="shared" si="137"/>
        <v>24</v>
      </c>
      <c r="E1791" s="27">
        <f t="shared" si="138"/>
        <v>6</v>
      </c>
      <c r="F1791" s="27">
        <f>VLOOKUP(E1791,[1]t_calendarioPolitica!A:C,3,FALSE)</f>
        <v>1</v>
      </c>
      <c r="G1791" s="1">
        <v>1</v>
      </c>
      <c r="H1791" s="1">
        <v>1</v>
      </c>
      <c r="I1791" s="1">
        <f t="shared" si="139"/>
        <v>1</v>
      </c>
    </row>
    <row r="1792" spans="1:9" x14ac:dyDescent="0.3">
      <c r="A1792" s="26">
        <v>47082</v>
      </c>
      <c r="B1792" s="27">
        <f t="shared" si="135"/>
        <v>2028</v>
      </c>
      <c r="C1792" s="27">
        <f t="shared" si="136"/>
        <v>11</v>
      </c>
      <c r="D1792" s="27">
        <f t="shared" si="137"/>
        <v>25</v>
      </c>
      <c r="E1792" s="27">
        <f t="shared" si="138"/>
        <v>7</v>
      </c>
      <c r="F1792" s="27">
        <f>VLOOKUP(E1792,[1]t_calendarioPolitica!A:C,3,FALSE)</f>
        <v>2</v>
      </c>
      <c r="G1792" s="1">
        <v>1</v>
      </c>
      <c r="H1792" s="1">
        <v>1</v>
      </c>
      <c r="I1792" s="1">
        <f t="shared" si="139"/>
        <v>1</v>
      </c>
    </row>
    <row r="1793" spans="1:9" x14ac:dyDescent="0.3">
      <c r="A1793" s="26">
        <v>47083</v>
      </c>
      <c r="B1793" s="27">
        <f t="shared" si="135"/>
        <v>2028</v>
      </c>
      <c r="C1793" s="27">
        <f t="shared" si="136"/>
        <v>11</v>
      </c>
      <c r="D1793" s="27">
        <f t="shared" si="137"/>
        <v>26</v>
      </c>
      <c r="E1793" s="27">
        <f t="shared" si="138"/>
        <v>1</v>
      </c>
      <c r="F1793" s="27">
        <f>VLOOKUP(E1793,[1]t_calendarioPolitica!A:C,3,FALSE)</f>
        <v>0</v>
      </c>
      <c r="G1793" s="1">
        <v>1</v>
      </c>
      <c r="H1793" s="1">
        <v>1</v>
      </c>
      <c r="I1793" s="1">
        <f t="shared" si="139"/>
        <v>0</v>
      </c>
    </row>
    <row r="1794" spans="1:9" x14ac:dyDescent="0.3">
      <c r="A1794" s="26">
        <v>47084</v>
      </c>
      <c r="B1794" s="27">
        <f t="shared" si="135"/>
        <v>2028</v>
      </c>
      <c r="C1794" s="27">
        <f t="shared" si="136"/>
        <v>11</v>
      </c>
      <c r="D1794" s="27">
        <f t="shared" si="137"/>
        <v>27</v>
      </c>
      <c r="E1794" s="27">
        <f t="shared" si="138"/>
        <v>2</v>
      </c>
      <c r="F1794" s="27">
        <f>VLOOKUP(E1794,[1]t_calendarioPolitica!A:C,3,FALSE)</f>
        <v>1</v>
      </c>
      <c r="G1794" s="1">
        <v>1</v>
      </c>
      <c r="H1794" s="1">
        <v>1</v>
      </c>
      <c r="I1794" s="1">
        <f t="shared" si="139"/>
        <v>1</v>
      </c>
    </row>
    <row r="1795" spans="1:9" x14ac:dyDescent="0.3">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VLOOKUP(E1795,[1]t_calendarioPolitica!A:C,3,FALSE)</f>
        <v>1</v>
      </c>
      <c r="G1795" s="1">
        <v>1</v>
      </c>
      <c r="H1795" s="1">
        <v>1</v>
      </c>
      <c r="I1795" s="1">
        <f t="shared" ref="I1795:I1858" si="144">IF(AND(F1795&lt;&gt;0, H1795&lt;&gt;0,G1795&lt;&gt;0), 1, 0)</f>
        <v>1</v>
      </c>
    </row>
    <row r="1796" spans="1:9" x14ac:dyDescent="0.3">
      <c r="A1796" s="26">
        <v>47086</v>
      </c>
      <c r="B1796" s="27">
        <f t="shared" si="140"/>
        <v>2028</v>
      </c>
      <c r="C1796" s="27">
        <f t="shared" si="141"/>
        <v>11</v>
      </c>
      <c r="D1796" s="27">
        <f t="shared" si="142"/>
        <v>29</v>
      </c>
      <c r="E1796" s="27">
        <f t="shared" si="143"/>
        <v>4</v>
      </c>
      <c r="F1796" s="27">
        <f>VLOOKUP(E1796,[1]t_calendarioPolitica!A:C,3,FALSE)</f>
        <v>1</v>
      </c>
      <c r="G1796" s="1">
        <v>1</v>
      </c>
      <c r="H1796" s="1">
        <v>1</v>
      </c>
      <c r="I1796" s="1">
        <f t="shared" si="144"/>
        <v>1</v>
      </c>
    </row>
    <row r="1797" spans="1:9" x14ac:dyDescent="0.3">
      <c r="A1797" s="26">
        <v>47087</v>
      </c>
      <c r="B1797" s="27">
        <f t="shared" si="140"/>
        <v>2028</v>
      </c>
      <c r="C1797" s="27">
        <f t="shared" si="141"/>
        <v>11</v>
      </c>
      <c r="D1797" s="27">
        <f t="shared" si="142"/>
        <v>30</v>
      </c>
      <c r="E1797" s="27">
        <f t="shared" si="143"/>
        <v>5</v>
      </c>
      <c r="F1797" s="27">
        <f>VLOOKUP(E1797,[1]t_calendarioPolitica!A:C,3,FALSE)</f>
        <v>1</v>
      </c>
      <c r="G1797" s="1">
        <v>1</v>
      </c>
      <c r="H1797" s="1">
        <v>1</v>
      </c>
      <c r="I1797" s="1">
        <f t="shared" si="144"/>
        <v>1</v>
      </c>
    </row>
    <row r="1798" spans="1:9" x14ac:dyDescent="0.3">
      <c r="A1798" s="26">
        <v>47088</v>
      </c>
      <c r="B1798" s="27">
        <f t="shared" si="140"/>
        <v>2028</v>
      </c>
      <c r="C1798" s="27">
        <f t="shared" si="141"/>
        <v>12</v>
      </c>
      <c r="D1798" s="27">
        <f t="shared" si="142"/>
        <v>1</v>
      </c>
      <c r="E1798" s="27">
        <f t="shared" si="143"/>
        <v>6</v>
      </c>
      <c r="F1798" s="27">
        <f>VLOOKUP(E1798,[1]t_calendarioPolitica!A:C,3,FALSE)</f>
        <v>1</v>
      </c>
      <c r="G1798" s="1">
        <v>1</v>
      </c>
      <c r="H1798" s="1">
        <v>1</v>
      </c>
      <c r="I1798" s="1">
        <f t="shared" si="144"/>
        <v>1</v>
      </c>
    </row>
    <row r="1799" spans="1:9" x14ac:dyDescent="0.3">
      <c r="A1799" s="26">
        <v>47089</v>
      </c>
      <c r="B1799" s="27">
        <f t="shared" si="140"/>
        <v>2028</v>
      </c>
      <c r="C1799" s="27">
        <f t="shared" si="141"/>
        <v>12</v>
      </c>
      <c r="D1799" s="27">
        <f t="shared" si="142"/>
        <v>2</v>
      </c>
      <c r="E1799" s="27">
        <f t="shared" si="143"/>
        <v>7</v>
      </c>
      <c r="F1799" s="27">
        <f>VLOOKUP(E1799,[1]t_calendarioPolitica!A:C,3,FALSE)</f>
        <v>2</v>
      </c>
      <c r="G1799" s="1">
        <v>1</v>
      </c>
      <c r="H1799" s="1">
        <v>1</v>
      </c>
      <c r="I1799" s="1">
        <f t="shared" si="144"/>
        <v>1</v>
      </c>
    </row>
    <row r="1800" spans="1:9" x14ac:dyDescent="0.3">
      <c r="A1800" s="26">
        <v>47090</v>
      </c>
      <c r="B1800" s="27">
        <f t="shared" si="140"/>
        <v>2028</v>
      </c>
      <c r="C1800" s="27">
        <f t="shared" si="141"/>
        <v>12</v>
      </c>
      <c r="D1800" s="27">
        <f t="shared" si="142"/>
        <v>3</v>
      </c>
      <c r="E1800" s="27">
        <f t="shared" si="143"/>
        <v>1</v>
      </c>
      <c r="F1800" s="27">
        <f>VLOOKUP(E1800,[1]t_calendarioPolitica!A:C,3,FALSE)</f>
        <v>0</v>
      </c>
      <c r="G1800" s="1">
        <v>1</v>
      </c>
      <c r="H1800" s="1">
        <v>1</v>
      </c>
      <c r="I1800" s="1">
        <f t="shared" si="144"/>
        <v>0</v>
      </c>
    </row>
    <row r="1801" spans="1:9" x14ac:dyDescent="0.3">
      <c r="A1801" s="26">
        <v>47091</v>
      </c>
      <c r="B1801" s="27">
        <f t="shared" si="140"/>
        <v>2028</v>
      </c>
      <c r="C1801" s="27">
        <f t="shared" si="141"/>
        <v>12</v>
      </c>
      <c r="D1801" s="27">
        <f t="shared" si="142"/>
        <v>4</v>
      </c>
      <c r="E1801" s="27">
        <f t="shared" si="143"/>
        <v>2</v>
      </c>
      <c r="F1801" s="27">
        <f>VLOOKUP(E1801,[1]t_calendarioPolitica!A:C,3,FALSE)</f>
        <v>1</v>
      </c>
      <c r="G1801" s="1">
        <v>1</v>
      </c>
      <c r="H1801" s="1">
        <v>1</v>
      </c>
      <c r="I1801" s="1">
        <f t="shared" si="144"/>
        <v>1</v>
      </c>
    </row>
    <row r="1802" spans="1:9" x14ac:dyDescent="0.3">
      <c r="A1802" s="26">
        <v>47092</v>
      </c>
      <c r="B1802" s="27">
        <f t="shared" si="140"/>
        <v>2028</v>
      </c>
      <c r="C1802" s="27">
        <f t="shared" si="141"/>
        <v>12</v>
      </c>
      <c r="D1802" s="27">
        <f t="shared" si="142"/>
        <v>5</v>
      </c>
      <c r="E1802" s="27">
        <f t="shared" si="143"/>
        <v>3</v>
      </c>
      <c r="F1802" s="27">
        <f>VLOOKUP(E1802,[1]t_calendarioPolitica!A:C,3,FALSE)</f>
        <v>1</v>
      </c>
      <c r="G1802" s="1">
        <v>1</v>
      </c>
      <c r="H1802" s="1">
        <v>1</v>
      </c>
      <c r="I1802" s="1">
        <f t="shared" si="144"/>
        <v>1</v>
      </c>
    </row>
    <row r="1803" spans="1:9" x14ac:dyDescent="0.3">
      <c r="A1803" s="26">
        <v>47093</v>
      </c>
      <c r="B1803" s="27">
        <f t="shared" si="140"/>
        <v>2028</v>
      </c>
      <c r="C1803" s="27">
        <f t="shared" si="141"/>
        <v>12</v>
      </c>
      <c r="D1803" s="27">
        <f t="shared" si="142"/>
        <v>6</v>
      </c>
      <c r="E1803" s="27">
        <f t="shared" si="143"/>
        <v>4</v>
      </c>
      <c r="F1803" s="27">
        <f>VLOOKUP(E1803,[1]t_calendarioPolitica!A:C,3,FALSE)</f>
        <v>1</v>
      </c>
      <c r="G1803" s="1">
        <v>1</v>
      </c>
      <c r="H1803" s="1">
        <v>1</v>
      </c>
      <c r="I1803" s="1">
        <f t="shared" si="144"/>
        <v>1</v>
      </c>
    </row>
    <row r="1804" spans="1:9" x14ac:dyDescent="0.3">
      <c r="A1804" s="26">
        <v>47094</v>
      </c>
      <c r="B1804" s="27">
        <f t="shared" si="140"/>
        <v>2028</v>
      </c>
      <c r="C1804" s="27">
        <f t="shared" si="141"/>
        <v>12</v>
      </c>
      <c r="D1804" s="27">
        <f t="shared" si="142"/>
        <v>7</v>
      </c>
      <c r="E1804" s="27">
        <f t="shared" si="143"/>
        <v>5</v>
      </c>
      <c r="F1804" s="27">
        <f>VLOOKUP(E1804,[1]t_calendarioPolitica!A:C,3,FALSE)</f>
        <v>1</v>
      </c>
      <c r="G1804" s="1">
        <v>1</v>
      </c>
      <c r="H1804" s="1">
        <v>1</v>
      </c>
      <c r="I1804" s="1">
        <f t="shared" si="144"/>
        <v>1</v>
      </c>
    </row>
    <row r="1805" spans="1:9" x14ac:dyDescent="0.3">
      <c r="A1805" s="26">
        <v>47095</v>
      </c>
      <c r="B1805" s="27">
        <f t="shared" si="140"/>
        <v>2028</v>
      </c>
      <c r="C1805" s="27">
        <f t="shared" si="141"/>
        <v>12</v>
      </c>
      <c r="D1805" s="27">
        <f t="shared" si="142"/>
        <v>8</v>
      </c>
      <c r="E1805" s="27">
        <f t="shared" si="143"/>
        <v>6</v>
      </c>
      <c r="F1805" s="27">
        <f>VLOOKUP(E1805,[1]t_calendarioPolitica!A:C,3,FALSE)</f>
        <v>1</v>
      </c>
      <c r="G1805" s="1">
        <v>1</v>
      </c>
      <c r="H1805" s="1">
        <v>1</v>
      </c>
      <c r="I1805" s="1">
        <f t="shared" si="144"/>
        <v>1</v>
      </c>
    </row>
    <row r="1806" spans="1:9" x14ac:dyDescent="0.3">
      <c r="A1806" s="26">
        <v>47096</v>
      </c>
      <c r="B1806" s="27">
        <f t="shared" si="140"/>
        <v>2028</v>
      </c>
      <c r="C1806" s="27">
        <f t="shared" si="141"/>
        <v>12</v>
      </c>
      <c r="D1806" s="27">
        <f t="shared" si="142"/>
        <v>9</v>
      </c>
      <c r="E1806" s="27">
        <f t="shared" si="143"/>
        <v>7</v>
      </c>
      <c r="F1806" s="27">
        <f>VLOOKUP(E1806,[1]t_calendarioPolitica!A:C,3,FALSE)</f>
        <v>2</v>
      </c>
      <c r="G1806" s="1">
        <v>1</v>
      </c>
      <c r="H1806" s="1">
        <v>1</v>
      </c>
      <c r="I1806" s="1">
        <f t="shared" si="144"/>
        <v>1</v>
      </c>
    </row>
    <row r="1807" spans="1:9" x14ac:dyDescent="0.3">
      <c r="A1807" s="26">
        <v>47097</v>
      </c>
      <c r="B1807" s="27">
        <f t="shared" si="140"/>
        <v>2028</v>
      </c>
      <c r="C1807" s="27">
        <f t="shared" si="141"/>
        <v>12</v>
      </c>
      <c r="D1807" s="27">
        <f t="shared" si="142"/>
        <v>10</v>
      </c>
      <c r="E1807" s="27">
        <f t="shared" si="143"/>
        <v>1</v>
      </c>
      <c r="F1807" s="27">
        <f>VLOOKUP(E1807,[1]t_calendarioPolitica!A:C,3,FALSE)</f>
        <v>0</v>
      </c>
      <c r="G1807" s="1">
        <v>1</v>
      </c>
      <c r="H1807" s="1">
        <v>1</v>
      </c>
      <c r="I1807" s="1">
        <f t="shared" si="144"/>
        <v>0</v>
      </c>
    </row>
    <row r="1808" spans="1:9" x14ac:dyDescent="0.3">
      <c r="A1808" s="26">
        <v>47098</v>
      </c>
      <c r="B1808" s="27">
        <f t="shared" si="140"/>
        <v>2028</v>
      </c>
      <c r="C1808" s="27">
        <f t="shared" si="141"/>
        <v>12</v>
      </c>
      <c r="D1808" s="27">
        <f t="shared" si="142"/>
        <v>11</v>
      </c>
      <c r="E1808" s="27">
        <f t="shared" si="143"/>
        <v>2</v>
      </c>
      <c r="F1808" s="27">
        <f>VLOOKUP(E1808,[1]t_calendarioPolitica!A:C,3,FALSE)</f>
        <v>1</v>
      </c>
      <c r="G1808" s="1">
        <v>1</v>
      </c>
      <c r="H1808" s="1">
        <v>1</v>
      </c>
      <c r="I1808" s="1">
        <f t="shared" si="144"/>
        <v>1</v>
      </c>
    </row>
    <row r="1809" spans="1:9" x14ac:dyDescent="0.3">
      <c r="A1809" s="26">
        <v>47099</v>
      </c>
      <c r="B1809" s="27">
        <f t="shared" si="140"/>
        <v>2028</v>
      </c>
      <c r="C1809" s="27">
        <f t="shared" si="141"/>
        <v>12</v>
      </c>
      <c r="D1809" s="27">
        <f t="shared" si="142"/>
        <v>12</v>
      </c>
      <c r="E1809" s="27">
        <f t="shared" si="143"/>
        <v>3</v>
      </c>
      <c r="F1809" s="27">
        <f>VLOOKUP(E1809,[1]t_calendarioPolitica!A:C,3,FALSE)</f>
        <v>1</v>
      </c>
      <c r="G1809" s="1">
        <v>1</v>
      </c>
      <c r="H1809" s="1">
        <v>0</v>
      </c>
      <c r="I1809" s="1">
        <f t="shared" si="144"/>
        <v>0</v>
      </c>
    </row>
    <row r="1810" spans="1:9" x14ac:dyDescent="0.3">
      <c r="A1810" s="26">
        <v>47100</v>
      </c>
      <c r="B1810" s="27">
        <f t="shared" si="140"/>
        <v>2028</v>
      </c>
      <c r="C1810" s="27">
        <f t="shared" si="141"/>
        <v>12</v>
      </c>
      <c r="D1810" s="27">
        <f t="shared" si="142"/>
        <v>13</v>
      </c>
      <c r="E1810" s="27">
        <f t="shared" si="143"/>
        <v>4</v>
      </c>
      <c r="F1810" s="27">
        <f>VLOOKUP(E1810,[1]t_calendarioPolitica!A:C,3,FALSE)</f>
        <v>1</v>
      </c>
      <c r="G1810" s="1">
        <v>1</v>
      </c>
      <c r="H1810" s="1">
        <v>1</v>
      </c>
      <c r="I1810" s="1">
        <f t="shared" si="144"/>
        <v>1</v>
      </c>
    </row>
    <row r="1811" spans="1:9" x14ac:dyDescent="0.3">
      <c r="A1811" s="26">
        <v>47101</v>
      </c>
      <c r="B1811" s="27">
        <f t="shared" si="140"/>
        <v>2028</v>
      </c>
      <c r="C1811" s="27">
        <f t="shared" si="141"/>
        <v>12</v>
      </c>
      <c r="D1811" s="27">
        <f t="shared" si="142"/>
        <v>14</v>
      </c>
      <c r="E1811" s="27">
        <f t="shared" si="143"/>
        <v>5</v>
      </c>
      <c r="F1811" s="27">
        <f>VLOOKUP(E1811,[1]t_calendarioPolitica!A:C,3,FALSE)</f>
        <v>1</v>
      </c>
      <c r="G1811" s="1">
        <v>1</v>
      </c>
      <c r="H1811" s="1">
        <v>1</v>
      </c>
      <c r="I1811" s="1">
        <f t="shared" si="144"/>
        <v>1</v>
      </c>
    </row>
    <row r="1812" spans="1:9" x14ac:dyDescent="0.3">
      <c r="A1812" s="26">
        <v>47102</v>
      </c>
      <c r="B1812" s="27">
        <f t="shared" si="140"/>
        <v>2028</v>
      </c>
      <c r="C1812" s="27">
        <f t="shared" si="141"/>
        <v>12</v>
      </c>
      <c r="D1812" s="27">
        <f t="shared" si="142"/>
        <v>15</v>
      </c>
      <c r="E1812" s="27">
        <f t="shared" si="143"/>
        <v>6</v>
      </c>
      <c r="F1812" s="27">
        <f>VLOOKUP(E1812,[1]t_calendarioPolitica!A:C,3,FALSE)</f>
        <v>1</v>
      </c>
      <c r="G1812" s="1">
        <v>1</v>
      </c>
      <c r="H1812" s="1">
        <v>1</v>
      </c>
      <c r="I1812" s="1">
        <f t="shared" si="144"/>
        <v>1</v>
      </c>
    </row>
    <row r="1813" spans="1:9" x14ac:dyDescent="0.3">
      <c r="A1813" s="26">
        <v>47103</v>
      </c>
      <c r="B1813" s="27">
        <f t="shared" si="140"/>
        <v>2028</v>
      </c>
      <c r="C1813" s="27">
        <f t="shared" si="141"/>
        <v>12</v>
      </c>
      <c r="D1813" s="27">
        <f t="shared" si="142"/>
        <v>16</v>
      </c>
      <c r="E1813" s="27">
        <f t="shared" si="143"/>
        <v>7</v>
      </c>
      <c r="F1813" s="27">
        <f>VLOOKUP(E1813,[1]t_calendarioPolitica!A:C,3,FALSE)</f>
        <v>2</v>
      </c>
      <c r="G1813" s="1">
        <v>1</v>
      </c>
      <c r="H1813" s="1">
        <v>1</v>
      </c>
      <c r="I1813" s="1">
        <f t="shared" si="144"/>
        <v>1</v>
      </c>
    </row>
    <row r="1814" spans="1:9" x14ac:dyDescent="0.3">
      <c r="A1814" s="26">
        <v>47104</v>
      </c>
      <c r="B1814" s="27">
        <f t="shared" si="140"/>
        <v>2028</v>
      </c>
      <c r="C1814" s="27">
        <f t="shared" si="141"/>
        <v>12</v>
      </c>
      <c r="D1814" s="27">
        <f t="shared" si="142"/>
        <v>17</v>
      </c>
      <c r="E1814" s="27">
        <f t="shared" si="143"/>
        <v>1</v>
      </c>
      <c r="F1814" s="27">
        <f>VLOOKUP(E1814,[1]t_calendarioPolitica!A:C,3,FALSE)</f>
        <v>0</v>
      </c>
      <c r="G1814" s="1">
        <v>1</v>
      </c>
      <c r="H1814" s="1">
        <v>1</v>
      </c>
      <c r="I1814" s="1">
        <f t="shared" si="144"/>
        <v>0</v>
      </c>
    </row>
    <row r="1815" spans="1:9" x14ac:dyDescent="0.3">
      <c r="A1815" s="26">
        <v>47105</v>
      </c>
      <c r="B1815" s="27">
        <f t="shared" si="140"/>
        <v>2028</v>
      </c>
      <c r="C1815" s="27">
        <f t="shared" si="141"/>
        <v>12</v>
      </c>
      <c r="D1815" s="27">
        <f t="shared" si="142"/>
        <v>18</v>
      </c>
      <c r="E1815" s="27">
        <f t="shared" si="143"/>
        <v>2</v>
      </c>
      <c r="F1815" s="27">
        <f>VLOOKUP(E1815,[1]t_calendarioPolitica!A:C,3,FALSE)</f>
        <v>1</v>
      </c>
      <c r="G1815" s="1">
        <v>1</v>
      </c>
      <c r="H1815" s="1">
        <v>1</v>
      </c>
      <c r="I1815" s="1">
        <f t="shared" si="144"/>
        <v>1</v>
      </c>
    </row>
    <row r="1816" spans="1:9" x14ac:dyDescent="0.3">
      <c r="A1816" s="26">
        <v>47106</v>
      </c>
      <c r="B1816" s="27">
        <f t="shared" si="140"/>
        <v>2028</v>
      </c>
      <c r="C1816" s="27">
        <f t="shared" si="141"/>
        <v>12</v>
      </c>
      <c r="D1816" s="27">
        <f t="shared" si="142"/>
        <v>19</v>
      </c>
      <c r="E1816" s="27">
        <f t="shared" si="143"/>
        <v>3</v>
      </c>
      <c r="F1816" s="27">
        <f>VLOOKUP(E1816,[1]t_calendarioPolitica!A:C,3,FALSE)</f>
        <v>1</v>
      </c>
      <c r="G1816" s="1">
        <v>1</v>
      </c>
      <c r="H1816" s="1">
        <v>1</v>
      </c>
      <c r="I1816" s="1">
        <f t="shared" si="144"/>
        <v>1</v>
      </c>
    </row>
    <row r="1817" spans="1:9" x14ac:dyDescent="0.3">
      <c r="A1817" s="26">
        <v>47107</v>
      </c>
      <c r="B1817" s="27">
        <f t="shared" si="140"/>
        <v>2028</v>
      </c>
      <c r="C1817" s="27">
        <f t="shared" si="141"/>
        <v>12</v>
      </c>
      <c r="D1817" s="27">
        <f t="shared" si="142"/>
        <v>20</v>
      </c>
      <c r="E1817" s="27">
        <f t="shared" si="143"/>
        <v>4</v>
      </c>
      <c r="F1817" s="27">
        <f>VLOOKUP(E1817,[1]t_calendarioPolitica!A:C,3,FALSE)</f>
        <v>1</v>
      </c>
      <c r="G1817" s="1">
        <v>1</v>
      </c>
      <c r="H1817" s="1">
        <v>1</v>
      </c>
      <c r="I1817" s="1">
        <f t="shared" si="144"/>
        <v>1</v>
      </c>
    </row>
    <row r="1818" spans="1:9" x14ac:dyDescent="0.3">
      <c r="A1818" s="26">
        <v>47108</v>
      </c>
      <c r="B1818" s="27">
        <f t="shared" si="140"/>
        <v>2028</v>
      </c>
      <c r="C1818" s="27">
        <f t="shared" si="141"/>
        <v>12</v>
      </c>
      <c r="D1818" s="27">
        <f t="shared" si="142"/>
        <v>21</v>
      </c>
      <c r="E1818" s="27">
        <f t="shared" si="143"/>
        <v>5</v>
      </c>
      <c r="F1818" s="27">
        <f>VLOOKUP(E1818,[1]t_calendarioPolitica!A:C,3,FALSE)</f>
        <v>1</v>
      </c>
      <c r="G1818" s="1">
        <v>1</v>
      </c>
      <c r="H1818" s="1">
        <v>1</v>
      </c>
      <c r="I1818" s="1">
        <f t="shared" si="144"/>
        <v>1</v>
      </c>
    </row>
    <row r="1819" spans="1:9" x14ac:dyDescent="0.3">
      <c r="A1819" s="26">
        <v>47109</v>
      </c>
      <c r="B1819" s="27">
        <f t="shared" si="140"/>
        <v>2028</v>
      </c>
      <c r="C1819" s="27">
        <f t="shared" si="141"/>
        <v>12</v>
      </c>
      <c r="D1819" s="27">
        <f t="shared" si="142"/>
        <v>22</v>
      </c>
      <c r="E1819" s="27">
        <f t="shared" si="143"/>
        <v>6</v>
      </c>
      <c r="F1819" s="27">
        <f>VLOOKUP(E1819,[1]t_calendarioPolitica!A:C,3,FALSE)</f>
        <v>1</v>
      </c>
      <c r="G1819" s="1">
        <v>1</v>
      </c>
      <c r="H1819" s="1">
        <v>1</v>
      </c>
      <c r="I1819" s="1">
        <f t="shared" si="144"/>
        <v>1</v>
      </c>
    </row>
    <row r="1820" spans="1:9" x14ac:dyDescent="0.3">
      <c r="A1820" s="26">
        <v>47110</v>
      </c>
      <c r="B1820" s="27">
        <f t="shared" si="140"/>
        <v>2028</v>
      </c>
      <c r="C1820" s="27">
        <f t="shared" si="141"/>
        <v>12</v>
      </c>
      <c r="D1820" s="27">
        <f t="shared" si="142"/>
        <v>23</v>
      </c>
      <c r="E1820" s="27">
        <f t="shared" si="143"/>
        <v>7</v>
      </c>
      <c r="F1820" s="27">
        <f>VLOOKUP(E1820,[1]t_calendarioPolitica!A:C,3,FALSE)</f>
        <v>2</v>
      </c>
      <c r="G1820" s="1">
        <v>1</v>
      </c>
      <c r="H1820" s="1">
        <v>1</v>
      </c>
      <c r="I1820" s="1">
        <f t="shared" si="144"/>
        <v>1</v>
      </c>
    </row>
    <row r="1821" spans="1:9" x14ac:dyDescent="0.3">
      <c r="A1821" s="26">
        <v>47111</v>
      </c>
      <c r="B1821" s="27">
        <f t="shared" si="140"/>
        <v>2028</v>
      </c>
      <c r="C1821" s="27">
        <f t="shared" si="141"/>
        <v>12</v>
      </c>
      <c r="D1821" s="27">
        <f t="shared" si="142"/>
        <v>24</v>
      </c>
      <c r="E1821" s="27">
        <f t="shared" si="143"/>
        <v>1</v>
      </c>
      <c r="F1821" s="27">
        <f>VLOOKUP(E1821,[1]t_calendarioPolitica!A:C,3,FALSE)</f>
        <v>0</v>
      </c>
      <c r="G1821" s="1">
        <v>1</v>
      </c>
      <c r="H1821" s="1">
        <v>0</v>
      </c>
      <c r="I1821" s="1">
        <f t="shared" si="144"/>
        <v>0</v>
      </c>
    </row>
    <row r="1822" spans="1:9" x14ac:dyDescent="0.3">
      <c r="A1822" s="26">
        <v>47112</v>
      </c>
      <c r="B1822" s="27">
        <f t="shared" si="140"/>
        <v>2028</v>
      </c>
      <c r="C1822" s="27">
        <f t="shared" si="141"/>
        <v>12</v>
      </c>
      <c r="D1822" s="27">
        <f t="shared" si="142"/>
        <v>25</v>
      </c>
      <c r="E1822" s="27">
        <f t="shared" si="143"/>
        <v>2</v>
      </c>
      <c r="F1822" s="27">
        <f>VLOOKUP(E1822,[1]t_calendarioPolitica!A:C,3,FALSE)</f>
        <v>1</v>
      </c>
      <c r="G1822" s="1">
        <v>0</v>
      </c>
      <c r="H1822" s="1">
        <v>0</v>
      </c>
      <c r="I1822" s="1">
        <f t="shared" si="144"/>
        <v>0</v>
      </c>
    </row>
    <row r="1823" spans="1:9" x14ac:dyDescent="0.3">
      <c r="A1823" s="26">
        <v>47113</v>
      </c>
      <c r="B1823" s="27">
        <f t="shared" si="140"/>
        <v>2028</v>
      </c>
      <c r="C1823" s="27">
        <f t="shared" si="141"/>
        <v>12</v>
      </c>
      <c r="D1823" s="27">
        <f t="shared" si="142"/>
        <v>26</v>
      </c>
      <c r="E1823" s="27">
        <f t="shared" si="143"/>
        <v>3</v>
      </c>
      <c r="F1823" s="27">
        <f>VLOOKUP(E1823,[1]t_calendarioPolitica!A:C,3,FALSE)</f>
        <v>1</v>
      </c>
      <c r="G1823" s="1">
        <v>1</v>
      </c>
      <c r="H1823" s="1">
        <v>1</v>
      </c>
      <c r="I1823" s="1">
        <f t="shared" si="144"/>
        <v>1</v>
      </c>
    </row>
    <row r="1824" spans="1:9" x14ac:dyDescent="0.3">
      <c r="A1824" s="26">
        <v>47114</v>
      </c>
      <c r="B1824" s="27">
        <f t="shared" si="140"/>
        <v>2028</v>
      </c>
      <c r="C1824" s="27">
        <f t="shared" si="141"/>
        <v>12</v>
      </c>
      <c r="D1824" s="27">
        <f t="shared" si="142"/>
        <v>27</v>
      </c>
      <c r="E1824" s="27">
        <f t="shared" si="143"/>
        <v>4</v>
      </c>
      <c r="F1824" s="27">
        <f>VLOOKUP(E1824,[1]t_calendarioPolitica!A:C,3,FALSE)</f>
        <v>1</v>
      </c>
      <c r="G1824" s="1">
        <v>1</v>
      </c>
      <c r="H1824" s="1">
        <v>1</v>
      </c>
      <c r="I1824" s="1">
        <f t="shared" si="144"/>
        <v>1</v>
      </c>
    </row>
    <row r="1825" spans="1:9" x14ac:dyDescent="0.3">
      <c r="A1825" s="26">
        <v>47115</v>
      </c>
      <c r="B1825" s="27">
        <f t="shared" si="140"/>
        <v>2028</v>
      </c>
      <c r="C1825" s="27">
        <f t="shared" si="141"/>
        <v>12</v>
      </c>
      <c r="D1825" s="27">
        <f t="shared" si="142"/>
        <v>28</v>
      </c>
      <c r="E1825" s="27">
        <f t="shared" si="143"/>
        <v>5</v>
      </c>
      <c r="F1825" s="27">
        <f>VLOOKUP(E1825,[1]t_calendarioPolitica!A:C,3,FALSE)</f>
        <v>1</v>
      </c>
      <c r="G1825" s="1">
        <v>1</v>
      </c>
      <c r="H1825" s="1">
        <v>1</v>
      </c>
      <c r="I1825" s="1">
        <f t="shared" si="144"/>
        <v>1</v>
      </c>
    </row>
    <row r="1826" spans="1:9" x14ac:dyDescent="0.3">
      <c r="A1826" s="26">
        <v>47116</v>
      </c>
      <c r="B1826" s="27">
        <f t="shared" si="140"/>
        <v>2028</v>
      </c>
      <c r="C1826" s="27">
        <f t="shared" si="141"/>
        <v>12</v>
      </c>
      <c r="D1826" s="27">
        <f t="shared" si="142"/>
        <v>29</v>
      </c>
      <c r="E1826" s="27">
        <f t="shared" si="143"/>
        <v>6</v>
      </c>
      <c r="F1826" s="27">
        <f>VLOOKUP(E1826,[1]t_calendarioPolitica!A:C,3,FALSE)</f>
        <v>1</v>
      </c>
      <c r="G1826" s="1">
        <v>1</v>
      </c>
      <c r="H1826" s="1">
        <v>1</v>
      </c>
      <c r="I1826" s="1">
        <f t="shared" si="144"/>
        <v>1</v>
      </c>
    </row>
    <row r="1827" spans="1:9" x14ac:dyDescent="0.3">
      <c r="A1827" s="26">
        <v>47117</v>
      </c>
      <c r="B1827" s="27">
        <f t="shared" si="140"/>
        <v>2028</v>
      </c>
      <c r="C1827" s="27">
        <f t="shared" si="141"/>
        <v>12</v>
      </c>
      <c r="D1827" s="27">
        <f t="shared" si="142"/>
        <v>30</v>
      </c>
      <c r="E1827" s="27">
        <f t="shared" si="143"/>
        <v>7</v>
      </c>
      <c r="F1827" s="27">
        <f>VLOOKUP(E1827,[1]t_calendarioPolitica!A:C,3,FALSE)</f>
        <v>2</v>
      </c>
      <c r="G1827" s="1">
        <v>1</v>
      </c>
      <c r="H1827" s="1">
        <v>1</v>
      </c>
      <c r="I1827" s="1">
        <f t="shared" si="144"/>
        <v>1</v>
      </c>
    </row>
    <row r="1828" spans="1:9" x14ac:dyDescent="0.3">
      <c r="A1828" s="26">
        <v>47118</v>
      </c>
      <c r="B1828" s="27">
        <f t="shared" si="140"/>
        <v>2028</v>
      </c>
      <c r="C1828" s="27">
        <f t="shared" si="141"/>
        <v>12</v>
      </c>
      <c r="D1828" s="27">
        <f t="shared" si="142"/>
        <v>31</v>
      </c>
      <c r="E1828" s="27">
        <f t="shared" si="143"/>
        <v>1</v>
      </c>
      <c r="F1828" s="27">
        <f>VLOOKUP(E1828,[1]t_calendarioPolitica!A:C,3,FALSE)</f>
        <v>0</v>
      </c>
      <c r="G1828" s="1">
        <v>1</v>
      </c>
      <c r="H1828" s="1">
        <v>0</v>
      </c>
      <c r="I1828" s="1">
        <f t="shared" si="144"/>
        <v>0</v>
      </c>
    </row>
    <row r="1829" spans="1:9" x14ac:dyDescent="0.3">
      <c r="A1829" s="26">
        <v>47119</v>
      </c>
      <c r="B1829" s="27">
        <f t="shared" si="140"/>
        <v>2029</v>
      </c>
      <c r="C1829" s="27">
        <f t="shared" si="141"/>
        <v>1</v>
      </c>
      <c r="D1829" s="27">
        <f t="shared" si="142"/>
        <v>1</v>
      </c>
      <c r="E1829" s="27">
        <f t="shared" si="143"/>
        <v>2</v>
      </c>
      <c r="F1829" s="27">
        <f>VLOOKUP(E1829,[1]t_calendarioPolitica!A:C,3,FALSE)</f>
        <v>1</v>
      </c>
      <c r="G1829" s="1">
        <v>0</v>
      </c>
      <c r="H1829" s="1">
        <v>1</v>
      </c>
      <c r="I1829" s="1">
        <f t="shared" si="144"/>
        <v>0</v>
      </c>
    </row>
    <row r="1830" spans="1:9" x14ac:dyDescent="0.3">
      <c r="A1830" s="26">
        <v>47120</v>
      </c>
      <c r="B1830" s="27">
        <f t="shared" si="140"/>
        <v>2029</v>
      </c>
      <c r="C1830" s="27">
        <f t="shared" si="141"/>
        <v>1</v>
      </c>
      <c r="D1830" s="27">
        <f t="shared" si="142"/>
        <v>2</v>
      </c>
      <c r="E1830" s="27">
        <f t="shared" si="143"/>
        <v>3</v>
      </c>
      <c r="F1830" s="27">
        <f>VLOOKUP(E1830,[1]t_calendarioPolitica!A:C,3,FALSE)</f>
        <v>1</v>
      </c>
      <c r="G1830" s="1">
        <v>1</v>
      </c>
      <c r="H1830" s="1">
        <v>1</v>
      </c>
      <c r="I1830" s="1">
        <f t="shared" si="144"/>
        <v>1</v>
      </c>
    </row>
    <row r="1831" spans="1:9" x14ac:dyDescent="0.3">
      <c r="A1831" s="26">
        <v>47121</v>
      </c>
      <c r="B1831" s="27">
        <f t="shared" si="140"/>
        <v>2029</v>
      </c>
      <c r="C1831" s="27">
        <f t="shared" si="141"/>
        <v>1</v>
      </c>
      <c r="D1831" s="27">
        <f t="shared" si="142"/>
        <v>3</v>
      </c>
      <c r="E1831" s="27">
        <f t="shared" si="143"/>
        <v>4</v>
      </c>
      <c r="F1831" s="27">
        <f>VLOOKUP(E1831,[1]t_calendarioPolitica!A:C,3,FALSE)</f>
        <v>1</v>
      </c>
      <c r="G1831" s="1">
        <v>1</v>
      </c>
      <c r="H1831" s="1">
        <v>1</v>
      </c>
      <c r="I1831" s="1">
        <f t="shared" si="144"/>
        <v>1</v>
      </c>
    </row>
    <row r="1832" spans="1:9" x14ac:dyDescent="0.3">
      <c r="A1832" s="26">
        <v>47122</v>
      </c>
      <c r="B1832" s="27">
        <f t="shared" si="140"/>
        <v>2029</v>
      </c>
      <c r="C1832" s="27">
        <f t="shared" si="141"/>
        <v>1</v>
      </c>
      <c r="D1832" s="27">
        <f t="shared" si="142"/>
        <v>4</v>
      </c>
      <c r="E1832" s="27">
        <f t="shared" si="143"/>
        <v>5</v>
      </c>
      <c r="F1832" s="27">
        <f>VLOOKUP(E1832,[1]t_calendarioPolitica!A:C,3,FALSE)</f>
        <v>1</v>
      </c>
      <c r="G1832" s="1">
        <v>1</v>
      </c>
      <c r="H1832" s="1">
        <v>1</v>
      </c>
      <c r="I1832" s="1">
        <f t="shared" si="144"/>
        <v>1</v>
      </c>
    </row>
    <row r="1833" spans="1:9" x14ac:dyDescent="0.3">
      <c r="A1833" s="26">
        <v>47123</v>
      </c>
      <c r="B1833" s="27">
        <f t="shared" si="140"/>
        <v>2029</v>
      </c>
      <c r="C1833" s="27">
        <f t="shared" si="141"/>
        <v>1</v>
      </c>
      <c r="D1833" s="27">
        <f t="shared" si="142"/>
        <v>5</v>
      </c>
      <c r="E1833" s="27">
        <f t="shared" si="143"/>
        <v>6</v>
      </c>
      <c r="F1833" s="27">
        <f>VLOOKUP(E1833,[1]t_calendarioPolitica!A:C,3,FALSE)</f>
        <v>1</v>
      </c>
      <c r="G1833" s="1">
        <v>1</v>
      </c>
      <c r="H1833" s="1">
        <v>1</v>
      </c>
      <c r="I1833" s="1">
        <f t="shared" si="144"/>
        <v>1</v>
      </c>
    </row>
    <row r="1834" spans="1:9" x14ac:dyDescent="0.3">
      <c r="A1834" s="26">
        <v>47124</v>
      </c>
      <c r="B1834" s="27">
        <f t="shared" si="140"/>
        <v>2029</v>
      </c>
      <c r="C1834" s="27">
        <f t="shared" si="141"/>
        <v>1</v>
      </c>
      <c r="D1834" s="27">
        <f t="shared" si="142"/>
        <v>6</v>
      </c>
      <c r="E1834" s="27">
        <f t="shared" si="143"/>
        <v>7</v>
      </c>
      <c r="F1834" s="27">
        <f>VLOOKUP(E1834,[1]t_calendarioPolitica!A:C,3,FALSE)</f>
        <v>2</v>
      </c>
      <c r="G1834" s="1">
        <v>1</v>
      </c>
      <c r="H1834" s="1">
        <v>1</v>
      </c>
      <c r="I1834" s="1">
        <f t="shared" si="144"/>
        <v>1</v>
      </c>
    </row>
    <row r="1835" spans="1:9" x14ac:dyDescent="0.3">
      <c r="A1835" s="26">
        <v>47125</v>
      </c>
      <c r="B1835" s="27">
        <f t="shared" si="140"/>
        <v>2029</v>
      </c>
      <c r="C1835" s="27">
        <f t="shared" si="141"/>
        <v>1</v>
      </c>
      <c r="D1835" s="27">
        <f t="shared" si="142"/>
        <v>7</v>
      </c>
      <c r="E1835" s="27">
        <f t="shared" si="143"/>
        <v>1</v>
      </c>
      <c r="F1835" s="27">
        <f>VLOOKUP(E1835,[1]t_calendarioPolitica!A:C,3,FALSE)</f>
        <v>0</v>
      </c>
      <c r="G1835" s="1">
        <v>1</v>
      </c>
      <c r="H1835" s="1">
        <v>1</v>
      </c>
      <c r="I1835" s="1">
        <f t="shared" si="144"/>
        <v>0</v>
      </c>
    </row>
    <row r="1836" spans="1:9" x14ac:dyDescent="0.3">
      <c r="A1836" s="26">
        <v>47126</v>
      </c>
      <c r="B1836" s="27">
        <f t="shared" si="140"/>
        <v>2029</v>
      </c>
      <c r="C1836" s="27">
        <f t="shared" si="141"/>
        <v>1</v>
      </c>
      <c r="D1836" s="27">
        <f t="shared" si="142"/>
        <v>8</v>
      </c>
      <c r="E1836" s="27">
        <f t="shared" si="143"/>
        <v>2</v>
      </c>
      <c r="F1836" s="27">
        <f>VLOOKUP(E1836,[1]t_calendarioPolitica!A:C,3,FALSE)</f>
        <v>1</v>
      </c>
      <c r="G1836" s="1">
        <v>1</v>
      </c>
      <c r="H1836" s="1">
        <v>1</v>
      </c>
      <c r="I1836" s="1">
        <f t="shared" si="144"/>
        <v>1</v>
      </c>
    </row>
    <row r="1837" spans="1:9" x14ac:dyDescent="0.3">
      <c r="A1837" s="26">
        <v>47127</v>
      </c>
      <c r="B1837" s="27">
        <f t="shared" si="140"/>
        <v>2029</v>
      </c>
      <c r="C1837" s="27">
        <f t="shared" si="141"/>
        <v>1</v>
      </c>
      <c r="D1837" s="27">
        <f t="shared" si="142"/>
        <v>9</v>
      </c>
      <c r="E1837" s="27">
        <f t="shared" si="143"/>
        <v>3</v>
      </c>
      <c r="F1837" s="27">
        <f>VLOOKUP(E1837,[1]t_calendarioPolitica!A:C,3,FALSE)</f>
        <v>1</v>
      </c>
      <c r="G1837" s="1">
        <v>1</v>
      </c>
      <c r="H1837" s="1">
        <v>1</v>
      </c>
      <c r="I1837" s="1">
        <f t="shared" si="144"/>
        <v>1</v>
      </c>
    </row>
    <row r="1838" spans="1:9" x14ac:dyDescent="0.3">
      <c r="A1838" s="26">
        <v>47128</v>
      </c>
      <c r="B1838" s="27">
        <f t="shared" si="140"/>
        <v>2029</v>
      </c>
      <c r="C1838" s="27">
        <f t="shared" si="141"/>
        <v>1</v>
      </c>
      <c r="D1838" s="27">
        <f t="shared" si="142"/>
        <v>10</v>
      </c>
      <c r="E1838" s="27">
        <f t="shared" si="143"/>
        <v>4</v>
      </c>
      <c r="F1838" s="27">
        <f>VLOOKUP(E1838,[1]t_calendarioPolitica!A:C,3,FALSE)</f>
        <v>1</v>
      </c>
      <c r="G1838" s="1">
        <v>1</v>
      </c>
      <c r="H1838" s="1">
        <v>1</v>
      </c>
      <c r="I1838" s="1">
        <f t="shared" si="144"/>
        <v>1</v>
      </c>
    </row>
    <row r="1839" spans="1:9" x14ac:dyDescent="0.3">
      <c r="A1839" s="26">
        <v>47129</v>
      </c>
      <c r="B1839" s="27">
        <f t="shared" si="140"/>
        <v>2029</v>
      </c>
      <c r="C1839" s="27">
        <f t="shared" si="141"/>
        <v>1</v>
      </c>
      <c r="D1839" s="27">
        <f t="shared" si="142"/>
        <v>11</v>
      </c>
      <c r="E1839" s="27">
        <f t="shared" si="143"/>
        <v>5</v>
      </c>
      <c r="F1839" s="27">
        <f>VLOOKUP(E1839,[1]t_calendarioPolitica!A:C,3,FALSE)</f>
        <v>1</v>
      </c>
      <c r="G1839" s="1">
        <v>1</v>
      </c>
      <c r="H1839" s="1">
        <v>1</v>
      </c>
      <c r="I1839" s="1">
        <f t="shared" si="144"/>
        <v>1</v>
      </c>
    </row>
    <row r="1840" spans="1:9" x14ac:dyDescent="0.3">
      <c r="A1840" s="26">
        <v>47130</v>
      </c>
      <c r="B1840" s="27">
        <f t="shared" si="140"/>
        <v>2029</v>
      </c>
      <c r="C1840" s="27">
        <f t="shared" si="141"/>
        <v>1</v>
      </c>
      <c r="D1840" s="27">
        <f t="shared" si="142"/>
        <v>12</v>
      </c>
      <c r="E1840" s="27">
        <f t="shared" si="143"/>
        <v>6</v>
      </c>
      <c r="F1840" s="27">
        <f>VLOOKUP(E1840,[1]t_calendarioPolitica!A:C,3,FALSE)</f>
        <v>1</v>
      </c>
      <c r="G1840" s="1">
        <v>1</v>
      </c>
      <c r="H1840" s="1">
        <v>1</v>
      </c>
      <c r="I1840" s="1">
        <f t="shared" si="144"/>
        <v>1</v>
      </c>
    </row>
    <row r="1841" spans="1:9" x14ac:dyDescent="0.3">
      <c r="A1841" s="26">
        <v>47131</v>
      </c>
      <c r="B1841" s="27">
        <f t="shared" si="140"/>
        <v>2029</v>
      </c>
      <c r="C1841" s="27">
        <f t="shared" si="141"/>
        <v>1</v>
      </c>
      <c r="D1841" s="27">
        <f t="shared" si="142"/>
        <v>13</v>
      </c>
      <c r="E1841" s="27">
        <f t="shared" si="143"/>
        <v>7</v>
      </c>
      <c r="F1841" s="27">
        <f>VLOOKUP(E1841,[1]t_calendarioPolitica!A:C,3,FALSE)</f>
        <v>2</v>
      </c>
      <c r="G1841" s="1">
        <v>1</v>
      </c>
      <c r="H1841" s="1">
        <v>1</v>
      </c>
      <c r="I1841" s="1">
        <f t="shared" si="144"/>
        <v>1</v>
      </c>
    </row>
    <row r="1842" spans="1:9" x14ac:dyDescent="0.3">
      <c r="A1842" s="26">
        <v>47132</v>
      </c>
      <c r="B1842" s="27">
        <f t="shared" si="140"/>
        <v>2029</v>
      </c>
      <c r="C1842" s="27">
        <f t="shared" si="141"/>
        <v>1</v>
      </c>
      <c r="D1842" s="27">
        <f t="shared" si="142"/>
        <v>14</v>
      </c>
      <c r="E1842" s="27">
        <f t="shared" si="143"/>
        <v>1</v>
      </c>
      <c r="F1842" s="27">
        <f>VLOOKUP(E1842,[1]t_calendarioPolitica!A:C,3,FALSE)</f>
        <v>0</v>
      </c>
      <c r="G1842" s="1">
        <v>1</v>
      </c>
      <c r="H1842" s="1">
        <v>1</v>
      </c>
      <c r="I1842" s="1">
        <f t="shared" si="144"/>
        <v>0</v>
      </c>
    </row>
    <row r="1843" spans="1:9" x14ac:dyDescent="0.3">
      <c r="A1843" s="26">
        <v>47133</v>
      </c>
      <c r="B1843" s="27">
        <f t="shared" si="140"/>
        <v>2029</v>
      </c>
      <c r="C1843" s="27">
        <f t="shared" si="141"/>
        <v>1</v>
      </c>
      <c r="D1843" s="27">
        <f t="shared" si="142"/>
        <v>15</v>
      </c>
      <c r="E1843" s="27">
        <f t="shared" si="143"/>
        <v>2</v>
      </c>
      <c r="F1843" s="27">
        <f>VLOOKUP(E1843,[1]t_calendarioPolitica!A:C,3,FALSE)</f>
        <v>1</v>
      </c>
      <c r="G1843" s="1">
        <v>1</v>
      </c>
      <c r="H1843" s="1">
        <v>1</v>
      </c>
      <c r="I1843" s="1">
        <f t="shared" si="144"/>
        <v>1</v>
      </c>
    </row>
    <row r="1844" spans="1:9" x14ac:dyDescent="0.3">
      <c r="A1844" s="26">
        <v>47134</v>
      </c>
      <c r="B1844" s="27">
        <f t="shared" si="140"/>
        <v>2029</v>
      </c>
      <c r="C1844" s="27">
        <f t="shared" si="141"/>
        <v>1</v>
      </c>
      <c r="D1844" s="27">
        <f t="shared" si="142"/>
        <v>16</v>
      </c>
      <c r="E1844" s="27">
        <f t="shared" si="143"/>
        <v>3</v>
      </c>
      <c r="F1844" s="27">
        <f>VLOOKUP(E1844,[1]t_calendarioPolitica!A:C,3,FALSE)</f>
        <v>1</v>
      </c>
      <c r="G1844" s="1">
        <v>1</v>
      </c>
      <c r="H1844" s="1">
        <v>1</v>
      </c>
      <c r="I1844" s="1">
        <f t="shared" si="144"/>
        <v>1</v>
      </c>
    </row>
    <row r="1845" spans="1:9" x14ac:dyDescent="0.3">
      <c r="A1845" s="26">
        <v>47135</v>
      </c>
      <c r="B1845" s="27">
        <f t="shared" si="140"/>
        <v>2029</v>
      </c>
      <c r="C1845" s="27">
        <f t="shared" si="141"/>
        <v>1</v>
      </c>
      <c r="D1845" s="27">
        <f t="shared" si="142"/>
        <v>17</v>
      </c>
      <c r="E1845" s="27">
        <f t="shared" si="143"/>
        <v>4</v>
      </c>
      <c r="F1845" s="27">
        <f>VLOOKUP(E1845,[1]t_calendarioPolitica!A:C,3,FALSE)</f>
        <v>1</v>
      </c>
      <c r="G1845" s="1">
        <v>1</v>
      </c>
      <c r="H1845" s="1">
        <v>1</v>
      </c>
      <c r="I1845" s="1">
        <f t="shared" si="144"/>
        <v>1</v>
      </c>
    </row>
    <row r="1846" spans="1:9" x14ac:dyDescent="0.3">
      <c r="A1846" s="26">
        <v>47136</v>
      </c>
      <c r="B1846" s="27">
        <f t="shared" si="140"/>
        <v>2029</v>
      </c>
      <c r="C1846" s="27">
        <f t="shared" si="141"/>
        <v>1</v>
      </c>
      <c r="D1846" s="27">
        <f t="shared" si="142"/>
        <v>18</v>
      </c>
      <c r="E1846" s="27">
        <f t="shared" si="143"/>
        <v>5</v>
      </c>
      <c r="F1846" s="27">
        <f>VLOOKUP(E1846,[1]t_calendarioPolitica!A:C,3,FALSE)</f>
        <v>1</v>
      </c>
      <c r="G1846" s="1">
        <v>1</v>
      </c>
      <c r="H1846" s="1">
        <v>1</v>
      </c>
      <c r="I1846" s="1">
        <f t="shared" si="144"/>
        <v>1</v>
      </c>
    </row>
    <row r="1847" spans="1:9" x14ac:dyDescent="0.3">
      <c r="A1847" s="26">
        <v>47137</v>
      </c>
      <c r="B1847" s="27">
        <f t="shared" si="140"/>
        <v>2029</v>
      </c>
      <c r="C1847" s="27">
        <f t="shared" si="141"/>
        <v>1</v>
      </c>
      <c r="D1847" s="27">
        <f t="shared" si="142"/>
        <v>19</v>
      </c>
      <c r="E1847" s="27">
        <f t="shared" si="143"/>
        <v>6</v>
      </c>
      <c r="F1847" s="27">
        <f>VLOOKUP(E1847,[1]t_calendarioPolitica!A:C,3,FALSE)</f>
        <v>1</v>
      </c>
      <c r="G1847" s="1">
        <v>1</v>
      </c>
      <c r="H1847" s="1">
        <v>1</v>
      </c>
      <c r="I1847" s="1">
        <f t="shared" si="144"/>
        <v>1</v>
      </c>
    </row>
    <row r="1848" spans="1:9" x14ac:dyDescent="0.3">
      <c r="A1848" s="26">
        <v>47138</v>
      </c>
      <c r="B1848" s="27">
        <f t="shared" si="140"/>
        <v>2029</v>
      </c>
      <c r="C1848" s="27">
        <f t="shared" si="141"/>
        <v>1</v>
      </c>
      <c r="D1848" s="27">
        <f t="shared" si="142"/>
        <v>20</v>
      </c>
      <c r="E1848" s="27">
        <f t="shared" si="143"/>
        <v>7</v>
      </c>
      <c r="F1848" s="27">
        <f>VLOOKUP(E1848,[1]t_calendarioPolitica!A:C,3,FALSE)</f>
        <v>2</v>
      </c>
      <c r="G1848" s="1">
        <v>1</v>
      </c>
      <c r="H1848" s="1">
        <v>1</v>
      </c>
      <c r="I1848" s="1">
        <f t="shared" si="144"/>
        <v>1</v>
      </c>
    </row>
    <row r="1849" spans="1:9" x14ac:dyDescent="0.3">
      <c r="A1849" s="26">
        <v>47139</v>
      </c>
      <c r="B1849" s="27">
        <f t="shared" si="140"/>
        <v>2029</v>
      </c>
      <c r="C1849" s="27">
        <f t="shared" si="141"/>
        <v>1</v>
      </c>
      <c r="D1849" s="27">
        <f t="shared" si="142"/>
        <v>21</v>
      </c>
      <c r="E1849" s="27">
        <f t="shared" si="143"/>
        <v>1</v>
      </c>
      <c r="F1849" s="27">
        <f>VLOOKUP(E1849,[1]t_calendarioPolitica!A:C,3,FALSE)</f>
        <v>0</v>
      </c>
      <c r="G1849" s="1">
        <v>1</v>
      </c>
      <c r="H1849" s="1">
        <v>1</v>
      </c>
      <c r="I1849" s="1">
        <f t="shared" si="144"/>
        <v>0</v>
      </c>
    </row>
    <row r="1850" spans="1:9" x14ac:dyDescent="0.3">
      <c r="A1850" s="26">
        <v>47140</v>
      </c>
      <c r="B1850" s="27">
        <f t="shared" si="140"/>
        <v>2029</v>
      </c>
      <c r="C1850" s="27">
        <f t="shared" si="141"/>
        <v>1</v>
      </c>
      <c r="D1850" s="27">
        <f t="shared" si="142"/>
        <v>22</v>
      </c>
      <c r="E1850" s="27">
        <f t="shared" si="143"/>
        <v>2</v>
      </c>
      <c r="F1850" s="27">
        <f>VLOOKUP(E1850,[1]t_calendarioPolitica!A:C,3,FALSE)</f>
        <v>1</v>
      </c>
      <c r="G1850" s="1">
        <v>1</v>
      </c>
      <c r="H1850" s="1">
        <v>1</v>
      </c>
      <c r="I1850" s="1">
        <f t="shared" si="144"/>
        <v>1</v>
      </c>
    </row>
    <row r="1851" spans="1:9" x14ac:dyDescent="0.3">
      <c r="A1851" s="26">
        <v>47141</v>
      </c>
      <c r="B1851" s="27">
        <f t="shared" si="140"/>
        <v>2029</v>
      </c>
      <c r="C1851" s="27">
        <f t="shared" si="141"/>
        <v>1</v>
      </c>
      <c r="D1851" s="27">
        <f t="shared" si="142"/>
        <v>23</v>
      </c>
      <c r="E1851" s="27">
        <f t="shared" si="143"/>
        <v>3</v>
      </c>
      <c r="F1851" s="27">
        <f>VLOOKUP(E1851,[1]t_calendarioPolitica!A:C,3,FALSE)</f>
        <v>1</v>
      </c>
      <c r="G1851" s="1">
        <v>1</v>
      </c>
      <c r="H1851" s="1">
        <v>1</v>
      </c>
      <c r="I1851" s="1">
        <f t="shared" si="144"/>
        <v>1</v>
      </c>
    </row>
    <row r="1852" spans="1:9" x14ac:dyDescent="0.3">
      <c r="A1852" s="26">
        <v>47142</v>
      </c>
      <c r="B1852" s="27">
        <f t="shared" si="140"/>
        <v>2029</v>
      </c>
      <c r="C1852" s="27">
        <f t="shared" si="141"/>
        <v>1</v>
      </c>
      <c r="D1852" s="27">
        <f t="shared" si="142"/>
        <v>24</v>
      </c>
      <c r="E1852" s="27">
        <f t="shared" si="143"/>
        <v>4</v>
      </c>
      <c r="F1852" s="27">
        <f>VLOOKUP(E1852,[1]t_calendarioPolitica!A:C,3,FALSE)</f>
        <v>1</v>
      </c>
      <c r="G1852" s="1">
        <v>1</v>
      </c>
      <c r="H1852" s="1">
        <v>1</v>
      </c>
      <c r="I1852" s="1">
        <f t="shared" si="144"/>
        <v>1</v>
      </c>
    </row>
    <row r="1853" spans="1:9" x14ac:dyDescent="0.3">
      <c r="A1853" s="26">
        <v>47143</v>
      </c>
      <c r="B1853" s="27">
        <f t="shared" si="140"/>
        <v>2029</v>
      </c>
      <c r="C1853" s="27">
        <f t="shared" si="141"/>
        <v>1</v>
      </c>
      <c r="D1853" s="27">
        <f t="shared" si="142"/>
        <v>25</v>
      </c>
      <c r="E1853" s="27">
        <f t="shared" si="143"/>
        <v>5</v>
      </c>
      <c r="F1853" s="27">
        <f>VLOOKUP(E1853,[1]t_calendarioPolitica!A:C,3,FALSE)</f>
        <v>1</v>
      </c>
      <c r="G1853" s="1">
        <v>1</v>
      </c>
      <c r="H1853" s="1">
        <v>1</v>
      </c>
      <c r="I1853" s="1">
        <f t="shared" si="144"/>
        <v>1</v>
      </c>
    </row>
    <row r="1854" spans="1:9" x14ac:dyDescent="0.3">
      <c r="A1854" s="26">
        <v>47144</v>
      </c>
      <c r="B1854" s="27">
        <f t="shared" si="140"/>
        <v>2029</v>
      </c>
      <c r="C1854" s="27">
        <f t="shared" si="141"/>
        <v>1</v>
      </c>
      <c r="D1854" s="27">
        <f t="shared" si="142"/>
        <v>26</v>
      </c>
      <c r="E1854" s="27">
        <f t="shared" si="143"/>
        <v>6</v>
      </c>
      <c r="F1854" s="27">
        <f>VLOOKUP(E1854,[1]t_calendarioPolitica!A:C,3,FALSE)</f>
        <v>1</v>
      </c>
      <c r="G1854" s="1">
        <v>1</v>
      </c>
      <c r="H1854" s="1">
        <v>1</v>
      </c>
      <c r="I1854" s="1">
        <f t="shared" si="144"/>
        <v>1</v>
      </c>
    </row>
    <row r="1855" spans="1:9" x14ac:dyDescent="0.3">
      <c r="A1855" s="26">
        <v>47145</v>
      </c>
      <c r="B1855" s="27">
        <f t="shared" si="140"/>
        <v>2029</v>
      </c>
      <c r="C1855" s="27">
        <f t="shared" si="141"/>
        <v>1</v>
      </c>
      <c r="D1855" s="27">
        <f t="shared" si="142"/>
        <v>27</v>
      </c>
      <c r="E1855" s="27">
        <f t="shared" si="143"/>
        <v>7</v>
      </c>
      <c r="F1855" s="27">
        <f>VLOOKUP(E1855,[1]t_calendarioPolitica!A:C,3,FALSE)</f>
        <v>2</v>
      </c>
      <c r="G1855" s="1">
        <v>1</v>
      </c>
      <c r="H1855" s="1">
        <v>1</v>
      </c>
      <c r="I1855" s="1">
        <f t="shared" si="144"/>
        <v>1</v>
      </c>
    </row>
    <row r="1856" spans="1:9" x14ac:dyDescent="0.3">
      <c r="A1856" s="26">
        <v>47146</v>
      </c>
      <c r="B1856" s="27">
        <f t="shared" si="140"/>
        <v>2029</v>
      </c>
      <c r="C1856" s="27">
        <f t="shared" si="141"/>
        <v>1</v>
      </c>
      <c r="D1856" s="27">
        <f t="shared" si="142"/>
        <v>28</v>
      </c>
      <c r="E1856" s="27">
        <f t="shared" si="143"/>
        <v>1</v>
      </c>
      <c r="F1856" s="27">
        <f>VLOOKUP(E1856,[1]t_calendarioPolitica!A:C,3,FALSE)</f>
        <v>0</v>
      </c>
      <c r="G1856" s="1">
        <v>1</v>
      </c>
      <c r="H1856" s="1">
        <v>1</v>
      </c>
      <c r="I1856" s="1">
        <f t="shared" si="144"/>
        <v>0</v>
      </c>
    </row>
    <row r="1857" spans="1:9" x14ac:dyDescent="0.3">
      <c r="A1857" s="26">
        <v>47147</v>
      </c>
      <c r="B1857" s="27">
        <f t="shared" si="140"/>
        <v>2029</v>
      </c>
      <c r="C1857" s="27">
        <f t="shared" si="141"/>
        <v>1</v>
      </c>
      <c r="D1857" s="27">
        <f t="shared" si="142"/>
        <v>29</v>
      </c>
      <c r="E1857" s="27">
        <f t="shared" si="143"/>
        <v>2</v>
      </c>
      <c r="F1857" s="27">
        <f>VLOOKUP(E1857,[1]t_calendarioPolitica!A:C,3,FALSE)</f>
        <v>1</v>
      </c>
      <c r="G1857" s="1">
        <v>1</v>
      </c>
      <c r="H1857" s="1">
        <v>1</v>
      </c>
      <c r="I1857" s="1">
        <f t="shared" si="144"/>
        <v>1</v>
      </c>
    </row>
    <row r="1858" spans="1:9" x14ac:dyDescent="0.3">
      <c r="A1858" s="26">
        <v>47148</v>
      </c>
      <c r="B1858" s="27">
        <f t="shared" si="140"/>
        <v>2029</v>
      </c>
      <c r="C1858" s="27">
        <f t="shared" si="141"/>
        <v>1</v>
      </c>
      <c r="D1858" s="27">
        <f t="shared" si="142"/>
        <v>30</v>
      </c>
      <c r="E1858" s="27">
        <f t="shared" si="143"/>
        <v>3</v>
      </c>
      <c r="F1858" s="27">
        <f>VLOOKUP(E1858,[1]t_calendarioPolitica!A:C,3,FALSE)</f>
        <v>1</v>
      </c>
      <c r="G1858" s="1">
        <v>1</v>
      </c>
      <c r="H1858" s="1">
        <v>1</v>
      </c>
      <c r="I1858" s="1">
        <f t="shared" si="144"/>
        <v>1</v>
      </c>
    </row>
    <row r="1859" spans="1:9" x14ac:dyDescent="0.3">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VLOOKUP(E1859,[1]t_calendarioPolitica!A:C,3,FALSE)</f>
        <v>1</v>
      </c>
      <c r="G1859" s="1">
        <v>1</v>
      </c>
      <c r="H1859" s="1">
        <v>1</v>
      </c>
      <c r="I1859" s="1">
        <f t="shared" ref="I1859:I1922" si="149">IF(AND(F1859&lt;&gt;0, H1859&lt;&gt;0,G1859&lt;&gt;0), 1, 0)</f>
        <v>1</v>
      </c>
    </row>
    <row r="1860" spans="1:9" x14ac:dyDescent="0.3">
      <c r="A1860" s="26">
        <v>47150</v>
      </c>
      <c r="B1860" s="27">
        <f t="shared" si="145"/>
        <v>2029</v>
      </c>
      <c r="C1860" s="27">
        <f t="shared" si="146"/>
        <v>2</v>
      </c>
      <c r="D1860" s="27">
        <f t="shared" si="147"/>
        <v>1</v>
      </c>
      <c r="E1860" s="27">
        <f t="shared" si="148"/>
        <v>5</v>
      </c>
      <c r="F1860" s="27">
        <f>VLOOKUP(E1860,[1]t_calendarioPolitica!A:C,3,FALSE)</f>
        <v>1</v>
      </c>
      <c r="G1860" s="1">
        <v>1</v>
      </c>
      <c r="H1860" s="1">
        <v>1</v>
      </c>
      <c r="I1860" s="1">
        <f t="shared" si="149"/>
        <v>1</v>
      </c>
    </row>
    <row r="1861" spans="1:9" x14ac:dyDescent="0.3">
      <c r="A1861" s="26">
        <v>47151</v>
      </c>
      <c r="B1861" s="27">
        <f t="shared" si="145"/>
        <v>2029</v>
      </c>
      <c r="C1861" s="27">
        <f t="shared" si="146"/>
        <v>2</v>
      </c>
      <c r="D1861" s="27">
        <f t="shared" si="147"/>
        <v>2</v>
      </c>
      <c r="E1861" s="27">
        <f t="shared" si="148"/>
        <v>6</v>
      </c>
      <c r="F1861" s="27">
        <f>VLOOKUP(E1861,[1]t_calendarioPolitica!A:C,3,FALSE)</f>
        <v>1</v>
      </c>
      <c r="G1861" s="1">
        <v>1</v>
      </c>
      <c r="H1861" s="1">
        <v>1</v>
      </c>
      <c r="I1861" s="1">
        <f t="shared" si="149"/>
        <v>1</v>
      </c>
    </row>
    <row r="1862" spans="1:9" x14ac:dyDescent="0.3">
      <c r="A1862" s="26">
        <v>47152</v>
      </c>
      <c r="B1862" s="27">
        <f t="shared" si="145"/>
        <v>2029</v>
      </c>
      <c r="C1862" s="27">
        <f t="shared" si="146"/>
        <v>2</v>
      </c>
      <c r="D1862" s="27">
        <f t="shared" si="147"/>
        <v>3</v>
      </c>
      <c r="E1862" s="27">
        <f t="shared" si="148"/>
        <v>7</v>
      </c>
      <c r="F1862" s="27">
        <f>VLOOKUP(E1862,[1]t_calendarioPolitica!A:C,3,FALSE)</f>
        <v>2</v>
      </c>
      <c r="G1862" s="1">
        <v>1</v>
      </c>
      <c r="H1862" s="1">
        <v>1</v>
      </c>
      <c r="I1862" s="1">
        <f t="shared" si="149"/>
        <v>1</v>
      </c>
    </row>
    <row r="1863" spans="1:9" x14ac:dyDescent="0.3">
      <c r="A1863" s="26">
        <v>47153</v>
      </c>
      <c r="B1863" s="27">
        <f t="shared" si="145"/>
        <v>2029</v>
      </c>
      <c r="C1863" s="27">
        <f t="shared" si="146"/>
        <v>2</v>
      </c>
      <c r="D1863" s="27">
        <f t="shared" si="147"/>
        <v>4</v>
      </c>
      <c r="E1863" s="27">
        <f t="shared" si="148"/>
        <v>1</v>
      </c>
      <c r="F1863" s="27">
        <f>VLOOKUP(E1863,[1]t_calendarioPolitica!A:C,3,FALSE)</f>
        <v>0</v>
      </c>
      <c r="G1863" s="1">
        <v>1</v>
      </c>
      <c r="H1863" s="1">
        <v>1</v>
      </c>
      <c r="I1863" s="1">
        <f t="shared" si="149"/>
        <v>0</v>
      </c>
    </row>
    <row r="1864" spans="1:9" x14ac:dyDescent="0.3">
      <c r="A1864" s="26">
        <v>47154</v>
      </c>
      <c r="B1864" s="27">
        <f t="shared" si="145"/>
        <v>2029</v>
      </c>
      <c r="C1864" s="27">
        <f t="shared" si="146"/>
        <v>2</v>
      </c>
      <c r="D1864" s="27">
        <f t="shared" si="147"/>
        <v>5</v>
      </c>
      <c r="E1864" s="27">
        <f t="shared" si="148"/>
        <v>2</v>
      </c>
      <c r="F1864" s="27">
        <f>VLOOKUP(E1864,[1]t_calendarioPolitica!A:C,3,FALSE)</f>
        <v>1</v>
      </c>
      <c r="G1864" s="1">
        <v>1</v>
      </c>
      <c r="H1864" s="1">
        <v>1</v>
      </c>
      <c r="I1864" s="1">
        <f t="shared" si="149"/>
        <v>1</v>
      </c>
    </row>
    <row r="1865" spans="1:9" x14ac:dyDescent="0.3">
      <c r="A1865" s="26">
        <v>47155</v>
      </c>
      <c r="B1865" s="27">
        <f t="shared" si="145"/>
        <v>2029</v>
      </c>
      <c r="C1865" s="27">
        <f t="shared" si="146"/>
        <v>2</v>
      </c>
      <c r="D1865" s="27">
        <f t="shared" si="147"/>
        <v>6</v>
      </c>
      <c r="E1865" s="27">
        <f t="shared" si="148"/>
        <v>3</v>
      </c>
      <c r="F1865" s="27">
        <f>VLOOKUP(E1865,[1]t_calendarioPolitica!A:C,3,FALSE)</f>
        <v>1</v>
      </c>
      <c r="G1865" s="1">
        <v>1</v>
      </c>
      <c r="H1865" s="1">
        <v>1</v>
      </c>
      <c r="I1865" s="1">
        <f t="shared" si="149"/>
        <v>1</v>
      </c>
    </row>
    <row r="1866" spans="1:9" x14ac:dyDescent="0.3">
      <c r="A1866" s="26">
        <v>47156</v>
      </c>
      <c r="B1866" s="27">
        <f t="shared" si="145"/>
        <v>2029</v>
      </c>
      <c r="C1866" s="27">
        <f t="shared" si="146"/>
        <v>2</v>
      </c>
      <c r="D1866" s="27">
        <f t="shared" si="147"/>
        <v>7</v>
      </c>
      <c r="E1866" s="27">
        <f t="shared" si="148"/>
        <v>4</v>
      </c>
      <c r="F1866" s="27">
        <f>VLOOKUP(E1866,[1]t_calendarioPolitica!A:C,3,FALSE)</f>
        <v>1</v>
      </c>
      <c r="G1866" s="1">
        <v>1</v>
      </c>
      <c r="H1866" s="1">
        <v>1</v>
      </c>
      <c r="I1866" s="1">
        <f t="shared" si="149"/>
        <v>1</v>
      </c>
    </row>
    <row r="1867" spans="1:9" x14ac:dyDescent="0.3">
      <c r="A1867" s="26">
        <v>47157</v>
      </c>
      <c r="B1867" s="27">
        <f t="shared" si="145"/>
        <v>2029</v>
      </c>
      <c r="C1867" s="27">
        <f t="shared" si="146"/>
        <v>2</v>
      </c>
      <c r="D1867" s="27">
        <f t="shared" si="147"/>
        <v>8</v>
      </c>
      <c r="E1867" s="27">
        <f t="shared" si="148"/>
        <v>5</v>
      </c>
      <c r="F1867" s="27">
        <f>VLOOKUP(E1867,[1]t_calendarioPolitica!A:C,3,FALSE)</f>
        <v>1</v>
      </c>
      <c r="G1867" s="1">
        <v>1</v>
      </c>
      <c r="H1867" s="1">
        <v>1</v>
      </c>
      <c r="I1867" s="1">
        <f t="shared" si="149"/>
        <v>1</v>
      </c>
    </row>
    <row r="1868" spans="1:9" x14ac:dyDescent="0.3">
      <c r="A1868" s="26">
        <v>47158</v>
      </c>
      <c r="B1868" s="27">
        <f t="shared" si="145"/>
        <v>2029</v>
      </c>
      <c r="C1868" s="27">
        <f t="shared" si="146"/>
        <v>2</v>
      </c>
      <c r="D1868" s="27">
        <f t="shared" si="147"/>
        <v>9</v>
      </c>
      <c r="E1868" s="27">
        <f t="shared" si="148"/>
        <v>6</v>
      </c>
      <c r="F1868" s="27">
        <f>VLOOKUP(E1868,[1]t_calendarioPolitica!A:C,3,FALSE)</f>
        <v>1</v>
      </c>
      <c r="G1868" s="1">
        <v>1</v>
      </c>
      <c r="H1868" s="1">
        <v>1</v>
      </c>
      <c r="I1868" s="1">
        <f t="shared" si="149"/>
        <v>1</v>
      </c>
    </row>
    <row r="1869" spans="1:9" x14ac:dyDescent="0.3">
      <c r="A1869" s="26">
        <v>47159</v>
      </c>
      <c r="B1869" s="27">
        <f t="shared" si="145"/>
        <v>2029</v>
      </c>
      <c r="C1869" s="27">
        <f t="shared" si="146"/>
        <v>2</v>
      </c>
      <c r="D1869" s="27">
        <f t="shared" si="147"/>
        <v>10</v>
      </c>
      <c r="E1869" s="27">
        <f t="shared" si="148"/>
        <v>7</v>
      </c>
      <c r="F1869" s="27">
        <f>VLOOKUP(E1869,[1]t_calendarioPolitica!A:C,3,FALSE)</f>
        <v>2</v>
      </c>
      <c r="G1869" s="1">
        <v>1</v>
      </c>
      <c r="H1869" s="1">
        <v>1</v>
      </c>
      <c r="I1869" s="1">
        <f t="shared" si="149"/>
        <v>1</v>
      </c>
    </row>
    <row r="1870" spans="1:9" x14ac:dyDescent="0.3">
      <c r="A1870" s="26">
        <v>47160</v>
      </c>
      <c r="B1870" s="27">
        <f t="shared" si="145"/>
        <v>2029</v>
      </c>
      <c r="C1870" s="27">
        <f t="shared" si="146"/>
        <v>2</v>
      </c>
      <c r="D1870" s="27">
        <f t="shared" si="147"/>
        <v>11</v>
      </c>
      <c r="E1870" s="27">
        <f t="shared" si="148"/>
        <v>1</v>
      </c>
      <c r="F1870" s="27">
        <f>VLOOKUP(E1870,[1]t_calendarioPolitica!A:C,3,FALSE)</f>
        <v>0</v>
      </c>
      <c r="G1870" s="1">
        <v>1</v>
      </c>
      <c r="H1870" s="1">
        <v>1</v>
      </c>
      <c r="I1870" s="1">
        <f t="shared" si="149"/>
        <v>0</v>
      </c>
    </row>
    <row r="1871" spans="1:9" x14ac:dyDescent="0.3">
      <c r="A1871" s="26">
        <v>47161</v>
      </c>
      <c r="B1871" s="27">
        <f t="shared" si="145"/>
        <v>2029</v>
      </c>
      <c r="C1871" s="27">
        <f t="shared" si="146"/>
        <v>2</v>
      </c>
      <c r="D1871" s="27">
        <f t="shared" si="147"/>
        <v>12</v>
      </c>
      <c r="E1871" s="27">
        <f t="shared" si="148"/>
        <v>2</v>
      </c>
      <c r="F1871" s="27">
        <f>VLOOKUP(E1871,[1]t_calendarioPolitica!A:C,3,FALSE)</f>
        <v>1</v>
      </c>
      <c r="G1871" s="1">
        <v>1</v>
      </c>
      <c r="H1871" s="1">
        <v>1</v>
      </c>
      <c r="I1871" s="1">
        <f t="shared" si="149"/>
        <v>1</v>
      </c>
    </row>
    <row r="1872" spans="1:9" x14ac:dyDescent="0.3">
      <c r="A1872" s="26">
        <v>47162</v>
      </c>
      <c r="B1872" s="27">
        <f t="shared" si="145"/>
        <v>2029</v>
      </c>
      <c r="C1872" s="27">
        <f t="shared" si="146"/>
        <v>2</v>
      </c>
      <c r="D1872" s="27">
        <f t="shared" si="147"/>
        <v>13</v>
      </c>
      <c r="E1872" s="27">
        <f t="shared" si="148"/>
        <v>3</v>
      </c>
      <c r="F1872" s="27">
        <f>VLOOKUP(E1872,[1]t_calendarioPolitica!A:C,3,FALSE)</f>
        <v>1</v>
      </c>
      <c r="G1872" s="1">
        <v>1</v>
      </c>
      <c r="H1872" s="1">
        <v>1</v>
      </c>
      <c r="I1872" s="1">
        <f t="shared" si="149"/>
        <v>1</v>
      </c>
    </row>
    <row r="1873" spans="1:9" x14ac:dyDescent="0.3">
      <c r="A1873" s="26">
        <v>47163</v>
      </c>
      <c r="B1873" s="27">
        <f t="shared" si="145"/>
        <v>2029</v>
      </c>
      <c r="C1873" s="27">
        <f t="shared" si="146"/>
        <v>2</v>
      </c>
      <c r="D1873" s="27">
        <f t="shared" si="147"/>
        <v>14</v>
      </c>
      <c r="E1873" s="27">
        <f t="shared" si="148"/>
        <v>4</v>
      </c>
      <c r="F1873" s="27">
        <f>VLOOKUP(E1873,[1]t_calendarioPolitica!A:C,3,FALSE)</f>
        <v>1</v>
      </c>
      <c r="G1873" s="1">
        <v>1</v>
      </c>
      <c r="H1873" s="1">
        <v>1</v>
      </c>
      <c r="I1873" s="1">
        <f t="shared" si="149"/>
        <v>1</v>
      </c>
    </row>
    <row r="1874" spans="1:9" x14ac:dyDescent="0.3">
      <c r="A1874" s="26">
        <v>47164</v>
      </c>
      <c r="B1874" s="27">
        <f t="shared" si="145"/>
        <v>2029</v>
      </c>
      <c r="C1874" s="27">
        <f t="shared" si="146"/>
        <v>2</v>
      </c>
      <c r="D1874" s="27">
        <f t="shared" si="147"/>
        <v>15</v>
      </c>
      <c r="E1874" s="27">
        <f t="shared" si="148"/>
        <v>5</v>
      </c>
      <c r="F1874" s="27">
        <f>VLOOKUP(E1874,[1]t_calendarioPolitica!A:C,3,FALSE)</f>
        <v>1</v>
      </c>
      <c r="G1874" s="1">
        <v>1</v>
      </c>
      <c r="H1874" s="1">
        <v>1</v>
      </c>
      <c r="I1874" s="1">
        <f t="shared" si="149"/>
        <v>1</v>
      </c>
    </row>
    <row r="1875" spans="1:9" x14ac:dyDescent="0.3">
      <c r="A1875" s="26">
        <v>47165</v>
      </c>
      <c r="B1875" s="27">
        <f t="shared" si="145"/>
        <v>2029</v>
      </c>
      <c r="C1875" s="27">
        <f t="shared" si="146"/>
        <v>2</v>
      </c>
      <c r="D1875" s="27">
        <f t="shared" si="147"/>
        <v>16</v>
      </c>
      <c r="E1875" s="27">
        <f t="shared" si="148"/>
        <v>6</v>
      </c>
      <c r="F1875" s="27">
        <f>VLOOKUP(E1875,[1]t_calendarioPolitica!A:C,3,FALSE)</f>
        <v>1</v>
      </c>
      <c r="G1875" s="1">
        <v>1</v>
      </c>
      <c r="H1875" s="1">
        <v>1</v>
      </c>
      <c r="I1875" s="1">
        <f t="shared" si="149"/>
        <v>1</v>
      </c>
    </row>
    <row r="1876" spans="1:9" x14ac:dyDescent="0.3">
      <c r="A1876" s="26">
        <v>47166</v>
      </c>
      <c r="B1876" s="27">
        <f t="shared" si="145"/>
        <v>2029</v>
      </c>
      <c r="C1876" s="27">
        <f t="shared" si="146"/>
        <v>2</v>
      </c>
      <c r="D1876" s="27">
        <f t="shared" si="147"/>
        <v>17</v>
      </c>
      <c r="E1876" s="27">
        <f t="shared" si="148"/>
        <v>7</v>
      </c>
      <c r="F1876" s="27">
        <f>VLOOKUP(E1876,[1]t_calendarioPolitica!A:C,3,FALSE)</f>
        <v>2</v>
      </c>
      <c r="G1876" s="1">
        <v>1</v>
      </c>
      <c r="H1876" s="1">
        <v>1</v>
      </c>
      <c r="I1876" s="1">
        <f t="shared" si="149"/>
        <v>1</v>
      </c>
    </row>
    <row r="1877" spans="1:9" x14ac:dyDescent="0.3">
      <c r="A1877" s="26">
        <v>47167</v>
      </c>
      <c r="B1877" s="27">
        <f t="shared" si="145"/>
        <v>2029</v>
      </c>
      <c r="C1877" s="27">
        <f t="shared" si="146"/>
        <v>2</v>
      </c>
      <c r="D1877" s="27">
        <f t="shared" si="147"/>
        <v>18</v>
      </c>
      <c r="E1877" s="27">
        <f t="shared" si="148"/>
        <v>1</v>
      </c>
      <c r="F1877" s="27">
        <f>VLOOKUP(E1877,[1]t_calendarioPolitica!A:C,3,FALSE)</f>
        <v>0</v>
      </c>
      <c r="G1877" s="1">
        <v>1</v>
      </c>
      <c r="H1877" s="1">
        <v>1</v>
      </c>
      <c r="I1877" s="1">
        <f t="shared" si="149"/>
        <v>0</v>
      </c>
    </row>
    <row r="1878" spans="1:9" x14ac:dyDescent="0.3">
      <c r="A1878" s="26">
        <v>47168</v>
      </c>
      <c r="B1878" s="27">
        <f t="shared" si="145"/>
        <v>2029</v>
      </c>
      <c r="C1878" s="27">
        <f t="shared" si="146"/>
        <v>2</v>
      </c>
      <c r="D1878" s="27">
        <f t="shared" si="147"/>
        <v>19</v>
      </c>
      <c r="E1878" s="27">
        <f t="shared" si="148"/>
        <v>2</v>
      </c>
      <c r="F1878" s="27">
        <f>VLOOKUP(E1878,[1]t_calendarioPolitica!A:C,3,FALSE)</f>
        <v>1</v>
      </c>
      <c r="G1878" s="1">
        <v>1</v>
      </c>
      <c r="H1878" s="1">
        <v>1</v>
      </c>
      <c r="I1878" s="1">
        <f t="shared" si="149"/>
        <v>1</v>
      </c>
    </row>
    <row r="1879" spans="1:9" x14ac:dyDescent="0.3">
      <c r="A1879" s="26">
        <v>47169</v>
      </c>
      <c r="B1879" s="27">
        <f t="shared" si="145"/>
        <v>2029</v>
      </c>
      <c r="C1879" s="27">
        <f t="shared" si="146"/>
        <v>2</v>
      </c>
      <c r="D1879" s="27">
        <f t="shared" si="147"/>
        <v>20</v>
      </c>
      <c r="E1879" s="27">
        <f t="shared" si="148"/>
        <v>3</v>
      </c>
      <c r="F1879" s="27">
        <f>VLOOKUP(E1879,[1]t_calendarioPolitica!A:C,3,FALSE)</f>
        <v>1</v>
      </c>
      <c r="G1879" s="1">
        <v>1</v>
      </c>
      <c r="H1879" s="1">
        <v>1</v>
      </c>
      <c r="I1879" s="1">
        <f t="shared" si="149"/>
        <v>1</v>
      </c>
    </row>
    <row r="1880" spans="1:9" x14ac:dyDescent="0.3">
      <c r="A1880" s="26">
        <v>47170</v>
      </c>
      <c r="B1880" s="27">
        <f t="shared" si="145"/>
        <v>2029</v>
      </c>
      <c r="C1880" s="27">
        <f t="shared" si="146"/>
        <v>2</v>
      </c>
      <c r="D1880" s="27">
        <f t="shared" si="147"/>
        <v>21</v>
      </c>
      <c r="E1880" s="27">
        <f t="shared" si="148"/>
        <v>4</v>
      </c>
      <c r="F1880" s="27">
        <f>VLOOKUP(E1880,[1]t_calendarioPolitica!A:C,3,FALSE)</f>
        <v>1</v>
      </c>
      <c r="G1880" s="1">
        <v>1</v>
      </c>
      <c r="H1880" s="1">
        <v>1</v>
      </c>
      <c r="I1880" s="1">
        <f t="shared" si="149"/>
        <v>1</v>
      </c>
    </row>
    <row r="1881" spans="1:9" x14ac:dyDescent="0.3">
      <c r="A1881" s="26">
        <v>47171</v>
      </c>
      <c r="B1881" s="27">
        <f t="shared" si="145"/>
        <v>2029</v>
      </c>
      <c r="C1881" s="27">
        <f t="shared" si="146"/>
        <v>2</v>
      </c>
      <c r="D1881" s="27">
        <f t="shared" si="147"/>
        <v>22</v>
      </c>
      <c r="E1881" s="27">
        <f t="shared" si="148"/>
        <v>5</v>
      </c>
      <c r="F1881" s="27">
        <f>VLOOKUP(E1881,[1]t_calendarioPolitica!A:C,3,FALSE)</f>
        <v>1</v>
      </c>
      <c r="G1881" s="1">
        <v>1</v>
      </c>
      <c r="H1881" s="1">
        <v>1</v>
      </c>
      <c r="I1881" s="1">
        <f t="shared" si="149"/>
        <v>1</v>
      </c>
    </row>
    <row r="1882" spans="1:9" x14ac:dyDescent="0.3">
      <c r="A1882" s="26">
        <v>47172</v>
      </c>
      <c r="B1882" s="27">
        <f t="shared" si="145"/>
        <v>2029</v>
      </c>
      <c r="C1882" s="27">
        <f t="shared" si="146"/>
        <v>2</v>
      </c>
      <c r="D1882" s="27">
        <f t="shared" si="147"/>
        <v>23</v>
      </c>
      <c r="E1882" s="27">
        <f t="shared" si="148"/>
        <v>6</v>
      </c>
      <c r="F1882" s="27">
        <f>VLOOKUP(E1882,[1]t_calendarioPolitica!A:C,3,FALSE)</f>
        <v>1</v>
      </c>
      <c r="G1882" s="1">
        <v>1</v>
      </c>
      <c r="H1882" s="1">
        <v>1</v>
      </c>
      <c r="I1882" s="1">
        <f t="shared" si="149"/>
        <v>1</v>
      </c>
    </row>
    <row r="1883" spans="1:9" x14ac:dyDescent="0.3">
      <c r="A1883" s="26">
        <v>47173</v>
      </c>
      <c r="B1883" s="27">
        <f t="shared" si="145"/>
        <v>2029</v>
      </c>
      <c r="C1883" s="27">
        <f t="shared" si="146"/>
        <v>2</v>
      </c>
      <c r="D1883" s="27">
        <f t="shared" si="147"/>
        <v>24</v>
      </c>
      <c r="E1883" s="27">
        <f t="shared" si="148"/>
        <v>7</v>
      </c>
      <c r="F1883" s="27">
        <f>VLOOKUP(E1883,[1]t_calendarioPolitica!A:C,3,FALSE)</f>
        <v>2</v>
      </c>
      <c r="G1883" s="1">
        <v>1</v>
      </c>
      <c r="H1883" s="1">
        <v>1</v>
      </c>
      <c r="I1883" s="1">
        <f t="shared" si="149"/>
        <v>1</v>
      </c>
    </row>
    <row r="1884" spans="1:9" x14ac:dyDescent="0.3">
      <c r="A1884" s="26">
        <v>47174</v>
      </c>
      <c r="B1884" s="27">
        <f t="shared" si="145"/>
        <v>2029</v>
      </c>
      <c r="C1884" s="27">
        <f t="shared" si="146"/>
        <v>2</v>
      </c>
      <c r="D1884" s="27">
        <f t="shared" si="147"/>
        <v>25</v>
      </c>
      <c r="E1884" s="27">
        <f t="shared" si="148"/>
        <v>1</v>
      </c>
      <c r="F1884" s="27">
        <f>VLOOKUP(E1884,[1]t_calendarioPolitica!A:C,3,FALSE)</f>
        <v>0</v>
      </c>
      <c r="G1884" s="1">
        <v>1</v>
      </c>
      <c r="H1884" s="1">
        <v>1</v>
      </c>
      <c r="I1884" s="1">
        <f t="shared" si="149"/>
        <v>0</v>
      </c>
    </row>
    <row r="1885" spans="1:9" x14ac:dyDescent="0.3">
      <c r="A1885" s="26">
        <v>47175</v>
      </c>
      <c r="B1885" s="27">
        <f t="shared" si="145"/>
        <v>2029</v>
      </c>
      <c r="C1885" s="27">
        <f t="shared" si="146"/>
        <v>2</v>
      </c>
      <c r="D1885" s="27">
        <f t="shared" si="147"/>
        <v>26</v>
      </c>
      <c r="E1885" s="27">
        <f t="shared" si="148"/>
        <v>2</v>
      </c>
      <c r="F1885" s="27">
        <f>VLOOKUP(E1885,[1]t_calendarioPolitica!A:C,3,FALSE)</f>
        <v>1</v>
      </c>
      <c r="G1885" s="1">
        <v>1</v>
      </c>
      <c r="H1885" s="1">
        <v>1</v>
      </c>
      <c r="I1885" s="1">
        <f t="shared" si="149"/>
        <v>1</v>
      </c>
    </row>
    <row r="1886" spans="1:9" x14ac:dyDescent="0.3">
      <c r="A1886" s="26">
        <v>47176</v>
      </c>
      <c r="B1886" s="27">
        <f t="shared" si="145"/>
        <v>2029</v>
      </c>
      <c r="C1886" s="27">
        <f t="shared" si="146"/>
        <v>2</v>
      </c>
      <c r="D1886" s="27">
        <f t="shared" si="147"/>
        <v>27</v>
      </c>
      <c r="E1886" s="27">
        <f t="shared" si="148"/>
        <v>3</v>
      </c>
      <c r="F1886" s="27">
        <f>VLOOKUP(E1886,[1]t_calendarioPolitica!A:C,3,FALSE)</f>
        <v>1</v>
      </c>
      <c r="G1886" s="1">
        <v>1</v>
      </c>
      <c r="H1886" s="1">
        <v>1</v>
      </c>
      <c r="I1886" s="1">
        <f t="shared" si="149"/>
        <v>1</v>
      </c>
    </row>
    <row r="1887" spans="1:9" x14ac:dyDescent="0.3">
      <c r="A1887" s="26">
        <v>47177</v>
      </c>
      <c r="B1887" s="27">
        <f t="shared" si="145"/>
        <v>2029</v>
      </c>
      <c r="C1887" s="27">
        <f t="shared" si="146"/>
        <v>2</v>
      </c>
      <c r="D1887" s="27">
        <f t="shared" si="147"/>
        <v>28</v>
      </c>
      <c r="E1887" s="27">
        <f t="shared" si="148"/>
        <v>4</v>
      </c>
      <c r="F1887" s="27">
        <f>VLOOKUP(E1887,[1]t_calendarioPolitica!A:C,3,FALSE)</f>
        <v>1</v>
      </c>
      <c r="G1887" s="1">
        <v>1</v>
      </c>
      <c r="H1887" s="1">
        <v>1</v>
      </c>
      <c r="I1887" s="1">
        <f t="shared" si="149"/>
        <v>1</v>
      </c>
    </row>
    <row r="1888" spans="1:9" x14ac:dyDescent="0.3">
      <c r="A1888" s="26">
        <v>47178</v>
      </c>
      <c r="B1888" s="27">
        <f t="shared" si="145"/>
        <v>2029</v>
      </c>
      <c r="C1888" s="27">
        <f t="shared" si="146"/>
        <v>3</v>
      </c>
      <c r="D1888" s="27">
        <f t="shared" si="147"/>
        <v>1</v>
      </c>
      <c r="E1888" s="27">
        <f t="shared" si="148"/>
        <v>5</v>
      </c>
      <c r="F1888" s="27">
        <f>VLOOKUP(E1888,[1]t_calendarioPolitica!A:C,3,FALSE)</f>
        <v>1</v>
      </c>
      <c r="G1888" s="1">
        <v>1</v>
      </c>
      <c r="H1888" s="1">
        <v>1</v>
      </c>
      <c r="I1888" s="1">
        <f t="shared" si="149"/>
        <v>1</v>
      </c>
    </row>
    <row r="1889" spans="1:9" x14ac:dyDescent="0.3">
      <c r="A1889" s="26">
        <v>47179</v>
      </c>
      <c r="B1889" s="27">
        <f t="shared" si="145"/>
        <v>2029</v>
      </c>
      <c r="C1889" s="27">
        <f t="shared" si="146"/>
        <v>3</v>
      </c>
      <c r="D1889" s="27">
        <f t="shared" si="147"/>
        <v>2</v>
      </c>
      <c r="E1889" s="27">
        <f t="shared" si="148"/>
        <v>6</v>
      </c>
      <c r="F1889" s="27">
        <f>VLOOKUP(E1889,[1]t_calendarioPolitica!A:C,3,FALSE)</f>
        <v>1</v>
      </c>
      <c r="G1889" s="1">
        <v>1</v>
      </c>
      <c r="H1889" s="1">
        <v>1</v>
      </c>
      <c r="I1889" s="1">
        <f t="shared" si="149"/>
        <v>1</v>
      </c>
    </row>
    <row r="1890" spans="1:9" x14ac:dyDescent="0.3">
      <c r="A1890" s="26">
        <v>47180</v>
      </c>
      <c r="B1890" s="27">
        <f t="shared" si="145"/>
        <v>2029</v>
      </c>
      <c r="C1890" s="27">
        <f t="shared" si="146"/>
        <v>3</v>
      </c>
      <c r="D1890" s="27">
        <f t="shared" si="147"/>
        <v>3</v>
      </c>
      <c r="E1890" s="27">
        <f t="shared" si="148"/>
        <v>7</v>
      </c>
      <c r="F1890" s="27">
        <f>VLOOKUP(E1890,[1]t_calendarioPolitica!A:C,3,FALSE)</f>
        <v>2</v>
      </c>
      <c r="G1890" s="1">
        <v>1</v>
      </c>
      <c r="H1890" s="1">
        <v>1</v>
      </c>
      <c r="I1890" s="1">
        <f t="shared" si="149"/>
        <v>1</v>
      </c>
    </row>
    <row r="1891" spans="1:9" x14ac:dyDescent="0.3">
      <c r="A1891" s="26">
        <v>47181</v>
      </c>
      <c r="B1891" s="27">
        <f t="shared" si="145"/>
        <v>2029</v>
      </c>
      <c r="C1891" s="27">
        <f t="shared" si="146"/>
        <v>3</v>
      </c>
      <c r="D1891" s="27">
        <f t="shared" si="147"/>
        <v>4</v>
      </c>
      <c r="E1891" s="27">
        <f t="shared" si="148"/>
        <v>1</v>
      </c>
      <c r="F1891" s="27">
        <f>VLOOKUP(E1891,[1]t_calendarioPolitica!A:C,3,FALSE)</f>
        <v>0</v>
      </c>
      <c r="G1891" s="1">
        <v>1</v>
      </c>
      <c r="H1891" s="1">
        <v>1</v>
      </c>
      <c r="I1891" s="1">
        <f t="shared" si="149"/>
        <v>0</v>
      </c>
    </row>
    <row r="1892" spans="1:9" x14ac:dyDescent="0.3">
      <c r="A1892" s="26">
        <v>47182</v>
      </c>
      <c r="B1892" s="27">
        <f t="shared" si="145"/>
        <v>2029</v>
      </c>
      <c r="C1892" s="27">
        <f t="shared" si="146"/>
        <v>3</v>
      </c>
      <c r="D1892" s="27">
        <f t="shared" si="147"/>
        <v>5</v>
      </c>
      <c r="E1892" s="27">
        <f t="shared" si="148"/>
        <v>2</v>
      </c>
      <c r="F1892" s="27">
        <f>VLOOKUP(E1892,[1]t_calendarioPolitica!A:C,3,FALSE)</f>
        <v>1</v>
      </c>
      <c r="G1892" s="1">
        <v>1</v>
      </c>
      <c r="H1892" s="1">
        <v>1</v>
      </c>
      <c r="I1892" s="1">
        <f t="shared" si="149"/>
        <v>1</v>
      </c>
    </row>
    <row r="1893" spans="1:9" x14ac:dyDescent="0.3">
      <c r="A1893" s="26">
        <v>47183</v>
      </c>
      <c r="B1893" s="27">
        <f t="shared" si="145"/>
        <v>2029</v>
      </c>
      <c r="C1893" s="27">
        <f t="shared" si="146"/>
        <v>3</v>
      </c>
      <c r="D1893" s="27">
        <f t="shared" si="147"/>
        <v>6</v>
      </c>
      <c r="E1893" s="27">
        <f t="shared" si="148"/>
        <v>3</v>
      </c>
      <c r="F1893" s="27">
        <f>VLOOKUP(E1893,[1]t_calendarioPolitica!A:C,3,FALSE)</f>
        <v>1</v>
      </c>
      <c r="G1893" s="1">
        <v>1</v>
      </c>
      <c r="H1893" s="1">
        <v>1</v>
      </c>
      <c r="I1893" s="1">
        <f t="shared" si="149"/>
        <v>1</v>
      </c>
    </row>
    <row r="1894" spans="1:9" x14ac:dyDescent="0.3">
      <c r="A1894" s="26">
        <v>47184</v>
      </c>
      <c r="B1894" s="27">
        <f t="shared" si="145"/>
        <v>2029</v>
      </c>
      <c r="C1894" s="27">
        <f t="shared" si="146"/>
        <v>3</v>
      </c>
      <c r="D1894" s="27">
        <f t="shared" si="147"/>
        <v>7</v>
      </c>
      <c r="E1894" s="27">
        <f t="shared" si="148"/>
        <v>4</v>
      </c>
      <c r="F1894" s="27">
        <f>VLOOKUP(E1894,[1]t_calendarioPolitica!A:C,3,FALSE)</f>
        <v>1</v>
      </c>
      <c r="G1894" s="1">
        <v>1</v>
      </c>
      <c r="H1894" s="1">
        <v>1</v>
      </c>
      <c r="I1894" s="1">
        <f t="shared" si="149"/>
        <v>1</v>
      </c>
    </row>
    <row r="1895" spans="1:9" x14ac:dyDescent="0.3">
      <c r="A1895" s="26">
        <v>47185</v>
      </c>
      <c r="B1895" s="27">
        <f t="shared" si="145"/>
        <v>2029</v>
      </c>
      <c r="C1895" s="27">
        <f t="shared" si="146"/>
        <v>3</v>
      </c>
      <c r="D1895" s="27">
        <f t="shared" si="147"/>
        <v>8</v>
      </c>
      <c r="E1895" s="27">
        <f t="shared" si="148"/>
        <v>5</v>
      </c>
      <c r="F1895" s="27">
        <f>VLOOKUP(E1895,[1]t_calendarioPolitica!A:C,3,FALSE)</f>
        <v>1</v>
      </c>
      <c r="G1895" s="1">
        <v>1</v>
      </c>
      <c r="H1895" s="1">
        <v>1</v>
      </c>
      <c r="I1895" s="1">
        <f t="shared" si="149"/>
        <v>1</v>
      </c>
    </row>
    <row r="1896" spans="1:9" x14ac:dyDescent="0.3">
      <c r="A1896" s="26">
        <v>47186</v>
      </c>
      <c r="B1896" s="27">
        <f t="shared" si="145"/>
        <v>2029</v>
      </c>
      <c r="C1896" s="27">
        <f t="shared" si="146"/>
        <v>3</v>
      </c>
      <c r="D1896" s="27">
        <f t="shared" si="147"/>
        <v>9</v>
      </c>
      <c r="E1896" s="27">
        <f t="shared" si="148"/>
        <v>6</v>
      </c>
      <c r="F1896" s="27">
        <f>VLOOKUP(E1896,[1]t_calendarioPolitica!A:C,3,FALSE)</f>
        <v>1</v>
      </c>
      <c r="G1896" s="1">
        <v>1</v>
      </c>
      <c r="H1896" s="1">
        <v>1</v>
      </c>
      <c r="I1896" s="1">
        <f t="shared" si="149"/>
        <v>1</v>
      </c>
    </row>
    <row r="1897" spans="1:9" x14ac:dyDescent="0.3">
      <c r="A1897" s="26">
        <v>47187</v>
      </c>
      <c r="B1897" s="27">
        <f t="shared" si="145"/>
        <v>2029</v>
      </c>
      <c r="C1897" s="27">
        <f t="shared" si="146"/>
        <v>3</v>
      </c>
      <c r="D1897" s="27">
        <f t="shared" si="147"/>
        <v>10</v>
      </c>
      <c r="E1897" s="27">
        <f t="shared" si="148"/>
        <v>7</v>
      </c>
      <c r="F1897" s="27">
        <f>VLOOKUP(E1897,[1]t_calendarioPolitica!A:C,3,FALSE)</f>
        <v>2</v>
      </c>
      <c r="G1897" s="1">
        <v>1</v>
      </c>
      <c r="H1897" s="1">
        <v>1</v>
      </c>
      <c r="I1897" s="1">
        <f t="shared" si="149"/>
        <v>1</v>
      </c>
    </row>
    <row r="1898" spans="1:9" x14ac:dyDescent="0.3">
      <c r="A1898" s="26">
        <v>47188</v>
      </c>
      <c r="B1898" s="27">
        <f t="shared" si="145"/>
        <v>2029</v>
      </c>
      <c r="C1898" s="27">
        <f t="shared" si="146"/>
        <v>3</v>
      </c>
      <c r="D1898" s="27">
        <f t="shared" si="147"/>
        <v>11</v>
      </c>
      <c r="E1898" s="27">
        <f t="shared" si="148"/>
        <v>1</v>
      </c>
      <c r="F1898" s="27">
        <f>VLOOKUP(E1898,[1]t_calendarioPolitica!A:C,3,FALSE)</f>
        <v>0</v>
      </c>
      <c r="G1898" s="1">
        <v>1</v>
      </c>
      <c r="H1898" s="1">
        <v>1</v>
      </c>
      <c r="I1898" s="1">
        <f t="shared" si="149"/>
        <v>0</v>
      </c>
    </row>
    <row r="1899" spans="1:9" x14ac:dyDescent="0.3">
      <c r="A1899" s="26">
        <v>47189</v>
      </c>
      <c r="B1899" s="27">
        <f t="shared" si="145"/>
        <v>2029</v>
      </c>
      <c r="C1899" s="27">
        <f t="shared" si="146"/>
        <v>3</v>
      </c>
      <c r="D1899" s="27">
        <f t="shared" si="147"/>
        <v>12</v>
      </c>
      <c r="E1899" s="27">
        <f t="shared" si="148"/>
        <v>2</v>
      </c>
      <c r="F1899" s="27">
        <f>VLOOKUP(E1899,[1]t_calendarioPolitica!A:C,3,FALSE)</f>
        <v>1</v>
      </c>
      <c r="G1899" s="1">
        <v>1</v>
      </c>
      <c r="H1899" s="1">
        <v>1</v>
      </c>
      <c r="I1899" s="1">
        <f t="shared" si="149"/>
        <v>1</v>
      </c>
    </row>
    <row r="1900" spans="1:9" x14ac:dyDescent="0.3">
      <c r="A1900" s="26">
        <v>47190</v>
      </c>
      <c r="B1900" s="27">
        <f t="shared" si="145"/>
        <v>2029</v>
      </c>
      <c r="C1900" s="27">
        <f t="shared" si="146"/>
        <v>3</v>
      </c>
      <c r="D1900" s="27">
        <f t="shared" si="147"/>
        <v>13</v>
      </c>
      <c r="E1900" s="27">
        <f t="shared" si="148"/>
        <v>3</v>
      </c>
      <c r="F1900" s="27">
        <f>VLOOKUP(E1900,[1]t_calendarioPolitica!A:C,3,FALSE)</f>
        <v>1</v>
      </c>
      <c r="G1900" s="1">
        <v>1</v>
      </c>
      <c r="H1900" s="1">
        <v>1</v>
      </c>
      <c r="I1900" s="1">
        <f t="shared" si="149"/>
        <v>1</v>
      </c>
    </row>
    <row r="1901" spans="1:9" x14ac:dyDescent="0.3">
      <c r="A1901" s="26">
        <v>47191</v>
      </c>
      <c r="B1901" s="27">
        <f t="shared" si="145"/>
        <v>2029</v>
      </c>
      <c r="C1901" s="27">
        <f t="shared" si="146"/>
        <v>3</v>
      </c>
      <c r="D1901" s="27">
        <f t="shared" si="147"/>
        <v>14</v>
      </c>
      <c r="E1901" s="27">
        <f t="shared" si="148"/>
        <v>4</v>
      </c>
      <c r="F1901" s="27">
        <f>VLOOKUP(E1901,[1]t_calendarioPolitica!A:C,3,FALSE)</f>
        <v>1</v>
      </c>
      <c r="G1901" s="1">
        <v>1</v>
      </c>
      <c r="H1901" s="1">
        <v>1</v>
      </c>
      <c r="I1901" s="1">
        <f t="shared" si="149"/>
        <v>1</v>
      </c>
    </row>
    <row r="1902" spans="1:9" x14ac:dyDescent="0.3">
      <c r="A1902" s="26">
        <v>47192</v>
      </c>
      <c r="B1902" s="27">
        <f t="shared" si="145"/>
        <v>2029</v>
      </c>
      <c r="C1902" s="27">
        <f t="shared" si="146"/>
        <v>3</v>
      </c>
      <c r="D1902" s="27">
        <f t="shared" si="147"/>
        <v>15</v>
      </c>
      <c r="E1902" s="27">
        <f t="shared" si="148"/>
        <v>5</v>
      </c>
      <c r="F1902" s="27">
        <f>VLOOKUP(E1902,[1]t_calendarioPolitica!A:C,3,FALSE)</f>
        <v>1</v>
      </c>
      <c r="G1902" s="1">
        <v>1</v>
      </c>
      <c r="H1902" s="1">
        <v>1</v>
      </c>
      <c r="I1902" s="1">
        <f t="shared" si="149"/>
        <v>1</v>
      </c>
    </row>
    <row r="1903" spans="1:9" x14ac:dyDescent="0.3">
      <c r="A1903" s="26">
        <v>47193</v>
      </c>
      <c r="B1903" s="27">
        <f t="shared" si="145"/>
        <v>2029</v>
      </c>
      <c r="C1903" s="27">
        <f t="shared" si="146"/>
        <v>3</v>
      </c>
      <c r="D1903" s="27">
        <f t="shared" si="147"/>
        <v>16</v>
      </c>
      <c r="E1903" s="27">
        <f t="shared" si="148"/>
        <v>6</v>
      </c>
      <c r="F1903" s="27">
        <f>VLOOKUP(E1903,[1]t_calendarioPolitica!A:C,3,FALSE)</f>
        <v>1</v>
      </c>
      <c r="G1903" s="1">
        <v>1</v>
      </c>
      <c r="H1903" s="1">
        <v>1</v>
      </c>
      <c r="I1903" s="1">
        <f t="shared" si="149"/>
        <v>1</v>
      </c>
    </row>
    <row r="1904" spans="1:9" x14ac:dyDescent="0.3">
      <c r="A1904" s="26">
        <v>47194</v>
      </c>
      <c r="B1904" s="27">
        <f t="shared" si="145"/>
        <v>2029</v>
      </c>
      <c r="C1904" s="27">
        <f t="shared" si="146"/>
        <v>3</v>
      </c>
      <c r="D1904" s="27">
        <f t="shared" si="147"/>
        <v>17</v>
      </c>
      <c r="E1904" s="27">
        <f t="shared" si="148"/>
        <v>7</v>
      </c>
      <c r="F1904" s="27">
        <f>VLOOKUP(E1904,[1]t_calendarioPolitica!A:C,3,FALSE)</f>
        <v>2</v>
      </c>
      <c r="G1904" s="1">
        <v>1</v>
      </c>
      <c r="H1904" s="1">
        <v>1</v>
      </c>
      <c r="I1904" s="1">
        <f t="shared" si="149"/>
        <v>1</v>
      </c>
    </row>
    <row r="1905" spans="1:9" x14ac:dyDescent="0.3">
      <c r="A1905" s="26">
        <v>47195</v>
      </c>
      <c r="B1905" s="27">
        <f t="shared" si="145"/>
        <v>2029</v>
      </c>
      <c r="C1905" s="27">
        <f t="shared" si="146"/>
        <v>3</v>
      </c>
      <c r="D1905" s="27">
        <f t="shared" si="147"/>
        <v>18</v>
      </c>
      <c r="E1905" s="27">
        <f t="shared" si="148"/>
        <v>1</v>
      </c>
      <c r="F1905" s="27">
        <f>VLOOKUP(E1905,[1]t_calendarioPolitica!A:C,3,FALSE)</f>
        <v>0</v>
      </c>
      <c r="G1905" s="1">
        <v>1</v>
      </c>
      <c r="H1905" s="1">
        <v>1</v>
      </c>
      <c r="I1905" s="1">
        <f t="shared" si="149"/>
        <v>0</v>
      </c>
    </row>
    <row r="1906" spans="1:9" x14ac:dyDescent="0.3">
      <c r="A1906" s="26">
        <v>47196</v>
      </c>
      <c r="B1906" s="27">
        <f t="shared" si="145"/>
        <v>2029</v>
      </c>
      <c r="C1906" s="27">
        <f t="shared" si="146"/>
        <v>3</v>
      </c>
      <c r="D1906" s="27">
        <f t="shared" si="147"/>
        <v>19</v>
      </c>
      <c r="E1906" s="27">
        <f t="shared" si="148"/>
        <v>2</v>
      </c>
      <c r="F1906" s="27">
        <f>VLOOKUP(E1906,[1]t_calendarioPolitica!A:C,3,FALSE)</f>
        <v>1</v>
      </c>
      <c r="G1906" s="1">
        <v>1</v>
      </c>
      <c r="H1906" s="1">
        <v>1</v>
      </c>
      <c r="I1906" s="1">
        <f t="shared" si="149"/>
        <v>1</v>
      </c>
    </row>
    <row r="1907" spans="1:9" x14ac:dyDescent="0.3">
      <c r="A1907" s="26">
        <v>47197</v>
      </c>
      <c r="B1907" s="27">
        <f t="shared" si="145"/>
        <v>2029</v>
      </c>
      <c r="C1907" s="27">
        <f t="shared" si="146"/>
        <v>3</v>
      </c>
      <c r="D1907" s="27">
        <f t="shared" si="147"/>
        <v>20</v>
      </c>
      <c r="E1907" s="27">
        <f t="shared" si="148"/>
        <v>3</v>
      </c>
      <c r="F1907" s="27">
        <f>VLOOKUP(E1907,[1]t_calendarioPolitica!A:C,3,FALSE)</f>
        <v>1</v>
      </c>
      <c r="G1907" s="1">
        <v>1</v>
      </c>
      <c r="H1907" s="1">
        <v>1</v>
      </c>
      <c r="I1907" s="1">
        <f t="shared" si="149"/>
        <v>1</v>
      </c>
    </row>
    <row r="1908" spans="1:9" x14ac:dyDescent="0.3">
      <c r="A1908" s="26">
        <v>47198</v>
      </c>
      <c r="B1908" s="27">
        <f t="shared" si="145"/>
        <v>2029</v>
      </c>
      <c r="C1908" s="27">
        <f t="shared" si="146"/>
        <v>3</v>
      </c>
      <c r="D1908" s="27">
        <f t="shared" si="147"/>
        <v>21</v>
      </c>
      <c r="E1908" s="27">
        <f t="shared" si="148"/>
        <v>4</v>
      </c>
      <c r="F1908" s="27">
        <f>VLOOKUP(E1908,[1]t_calendarioPolitica!A:C,3,FALSE)</f>
        <v>1</v>
      </c>
      <c r="G1908" s="1">
        <v>1</v>
      </c>
      <c r="H1908" s="1">
        <v>1</v>
      </c>
      <c r="I1908" s="1">
        <f t="shared" si="149"/>
        <v>1</v>
      </c>
    </row>
    <row r="1909" spans="1:9" x14ac:dyDescent="0.3">
      <c r="A1909" s="26">
        <v>47199</v>
      </c>
      <c r="B1909" s="27">
        <f t="shared" si="145"/>
        <v>2029</v>
      </c>
      <c r="C1909" s="27">
        <f t="shared" si="146"/>
        <v>3</v>
      </c>
      <c r="D1909" s="27">
        <f t="shared" si="147"/>
        <v>22</v>
      </c>
      <c r="E1909" s="27">
        <f t="shared" si="148"/>
        <v>5</v>
      </c>
      <c r="F1909" s="27">
        <f>VLOOKUP(E1909,[1]t_calendarioPolitica!A:C,3,FALSE)</f>
        <v>1</v>
      </c>
      <c r="G1909" s="1">
        <v>1</v>
      </c>
      <c r="H1909" s="1">
        <v>1</v>
      </c>
      <c r="I1909" s="1">
        <f t="shared" si="149"/>
        <v>1</v>
      </c>
    </row>
    <row r="1910" spans="1:9" x14ac:dyDescent="0.3">
      <c r="A1910" s="26">
        <v>47200</v>
      </c>
      <c r="B1910" s="27">
        <f t="shared" si="145"/>
        <v>2029</v>
      </c>
      <c r="C1910" s="27">
        <f t="shared" si="146"/>
        <v>3</v>
      </c>
      <c r="D1910" s="27">
        <f t="shared" si="147"/>
        <v>23</v>
      </c>
      <c r="E1910" s="27">
        <f t="shared" si="148"/>
        <v>6</v>
      </c>
      <c r="F1910" s="27">
        <f>VLOOKUP(E1910,[1]t_calendarioPolitica!A:C,3,FALSE)</f>
        <v>1</v>
      </c>
      <c r="G1910" s="1">
        <v>1</v>
      </c>
      <c r="H1910" s="1">
        <v>1</v>
      </c>
      <c r="I1910" s="1">
        <f t="shared" si="149"/>
        <v>1</v>
      </c>
    </row>
    <row r="1911" spans="1:9" x14ac:dyDescent="0.3">
      <c r="A1911" s="26">
        <v>47201</v>
      </c>
      <c r="B1911" s="27">
        <f t="shared" si="145"/>
        <v>2029</v>
      </c>
      <c r="C1911" s="27">
        <f t="shared" si="146"/>
        <v>3</v>
      </c>
      <c r="D1911" s="27">
        <f t="shared" si="147"/>
        <v>24</v>
      </c>
      <c r="E1911" s="27">
        <f t="shared" si="148"/>
        <v>7</v>
      </c>
      <c r="F1911" s="27">
        <f>VLOOKUP(E1911,[1]t_calendarioPolitica!A:C,3,FALSE)</f>
        <v>2</v>
      </c>
      <c r="G1911" s="1">
        <v>1</v>
      </c>
      <c r="H1911" s="1">
        <v>1</v>
      </c>
      <c r="I1911" s="1">
        <f t="shared" si="149"/>
        <v>1</v>
      </c>
    </row>
    <row r="1912" spans="1:9" x14ac:dyDescent="0.3">
      <c r="A1912" s="26">
        <v>47202</v>
      </c>
      <c r="B1912" s="27">
        <f t="shared" si="145"/>
        <v>2029</v>
      </c>
      <c r="C1912" s="27">
        <f t="shared" si="146"/>
        <v>3</v>
      </c>
      <c r="D1912" s="27">
        <f t="shared" si="147"/>
        <v>25</v>
      </c>
      <c r="E1912" s="27">
        <f t="shared" si="148"/>
        <v>1</v>
      </c>
      <c r="F1912" s="27">
        <f>VLOOKUP(E1912,[1]t_calendarioPolitica!A:C,3,FALSE)</f>
        <v>0</v>
      </c>
      <c r="G1912" s="1">
        <v>1</v>
      </c>
      <c r="H1912" s="1">
        <v>1</v>
      </c>
      <c r="I1912" s="1">
        <f t="shared" si="149"/>
        <v>0</v>
      </c>
    </row>
    <row r="1913" spans="1:9" x14ac:dyDescent="0.3">
      <c r="A1913" s="26">
        <v>47203</v>
      </c>
      <c r="B1913" s="27">
        <f t="shared" si="145"/>
        <v>2029</v>
      </c>
      <c r="C1913" s="27">
        <f t="shared" si="146"/>
        <v>3</v>
      </c>
      <c r="D1913" s="27">
        <f t="shared" si="147"/>
        <v>26</v>
      </c>
      <c r="E1913" s="27">
        <f t="shared" si="148"/>
        <v>2</v>
      </c>
      <c r="F1913" s="27">
        <f>VLOOKUP(E1913,[1]t_calendarioPolitica!A:C,3,FALSE)</f>
        <v>1</v>
      </c>
      <c r="G1913" s="1">
        <v>1</v>
      </c>
      <c r="H1913" s="1">
        <v>1</v>
      </c>
      <c r="I1913" s="1">
        <f t="shared" si="149"/>
        <v>1</v>
      </c>
    </row>
    <row r="1914" spans="1:9" x14ac:dyDescent="0.3">
      <c r="A1914" s="26">
        <v>47204</v>
      </c>
      <c r="B1914" s="27">
        <f t="shared" si="145"/>
        <v>2029</v>
      </c>
      <c r="C1914" s="27">
        <f t="shared" si="146"/>
        <v>3</v>
      </c>
      <c r="D1914" s="27">
        <f t="shared" si="147"/>
        <v>27</v>
      </c>
      <c r="E1914" s="27">
        <f t="shared" si="148"/>
        <v>3</v>
      </c>
      <c r="F1914" s="27">
        <f>VLOOKUP(E1914,[1]t_calendarioPolitica!A:C,3,FALSE)</f>
        <v>1</v>
      </c>
      <c r="G1914" s="1">
        <v>1</v>
      </c>
      <c r="H1914" s="1">
        <v>1</v>
      </c>
      <c r="I1914" s="1">
        <f t="shared" si="149"/>
        <v>1</v>
      </c>
    </row>
    <row r="1915" spans="1:9" x14ac:dyDescent="0.3">
      <c r="A1915" s="26">
        <v>47205</v>
      </c>
      <c r="B1915" s="27">
        <f t="shared" si="145"/>
        <v>2029</v>
      </c>
      <c r="C1915" s="27">
        <f t="shared" si="146"/>
        <v>3</v>
      </c>
      <c r="D1915" s="27">
        <f t="shared" si="147"/>
        <v>28</v>
      </c>
      <c r="E1915" s="27">
        <f t="shared" si="148"/>
        <v>4</v>
      </c>
      <c r="F1915" s="27">
        <f>VLOOKUP(E1915,[1]t_calendarioPolitica!A:C,3,FALSE)</f>
        <v>1</v>
      </c>
      <c r="G1915" s="1">
        <v>1</v>
      </c>
      <c r="H1915" s="1">
        <v>1</v>
      </c>
      <c r="I1915" s="1">
        <f t="shared" si="149"/>
        <v>1</v>
      </c>
    </row>
    <row r="1916" spans="1:9" x14ac:dyDescent="0.3">
      <c r="A1916" s="26">
        <v>47206</v>
      </c>
      <c r="B1916" s="27">
        <f t="shared" si="145"/>
        <v>2029</v>
      </c>
      <c r="C1916" s="27">
        <f t="shared" si="146"/>
        <v>3</v>
      </c>
      <c r="D1916" s="27">
        <f t="shared" si="147"/>
        <v>29</v>
      </c>
      <c r="E1916" s="27">
        <f t="shared" si="148"/>
        <v>5</v>
      </c>
      <c r="F1916" s="27">
        <f>VLOOKUP(E1916,[1]t_calendarioPolitica!A:C,3,FALSE)</f>
        <v>1</v>
      </c>
      <c r="G1916" s="1">
        <v>1</v>
      </c>
      <c r="H1916" s="1">
        <v>1</v>
      </c>
      <c r="I1916" s="1">
        <f t="shared" si="149"/>
        <v>1</v>
      </c>
    </row>
    <row r="1917" spans="1:9" x14ac:dyDescent="0.3">
      <c r="A1917" s="26">
        <v>47207</v>
      </c>
      <c r="B1917" s="27">
        <f t="shared" si="145"/>
        <v>2029</v>
      </c>
      <c r="C1917" s="27">
        <f t="shared" si="146"/>
        <v>3</v>
      </c>
      <c r="D1917" s="27">
        <f t="shared" si="147"/>
        <v>30</v>
      </c>
      <c r="E1917" s="27">
        <f t="shared" si="148"/>
        <v>6</v>
      </c>
      <c r="F1917" s="27">
        <f>VLOOKUP(E1917,[1]t_calendarioPolitica!A:C,3,FALSE)</f>
        <v>1</v>
      </c>
      <c r="G1917" s="1">
        <v>1</v>
      </c>
      <c r="H1917" s="1">
        <v>1</v>
      </c>
      <c r="I1917" s="1">
        <f t="shared" si="149"/>
        <v>1</v>
      </c>
    </row>
    <row r="1918" spans="1:9" x14ac:dyDescent="0.3">
      <c r="A1918" s="26">
        <v>47208</v>
      </c>
      <c r="B1918" s="27">
        <f t="shared" si="145"/>
        <v>2029</v>
      </c>
      <c r="C1918" s="27">
        <f t="shared" si="146"/>
        <v>3</v>
      </c>
      <c r="D1918" s="27">
        <f t="shared" si="147"/>
        <v>31</v>
      </c>
      <c r="E1918" s="27">
        <f t="shared" si="148"/>
        <v>7</v>
      </c>
      <c r="F1918" s="27">
        <f>VLOOKUP(E1918,[1]t_calendarioPolitica!A:C,3,FALSE)</f>
        <v>2</v>
      </c>
      <c r="G1918" s="1">
        <v>1</v>
      </c>
      <c r="H1918" s="1">
        <v>1</v>
      </c>
      <c r="I1918" s="1">
        <f t="shared" si="149"/>
        <v>1</v>
      </c>
    </row>
    <row r="1919" spans="1:9" x14ac:dyDescent="0.3">
      <c r="A1919" s="26">
        <v>47209</v>
      </c>
      <c r="B1919" s="27">
        <f t="shared" si="145"/>
        <v>2029</v>
      </c>
      <c r="C1919" s="27">
        <f t="shared" si="146"/>
        <v>4</v>
      </c>
      <c r="D1919" s="27">
        <f t="shared" si="147"/>
        <v>1</v>
      </c>
      <c r="E1919" s="27">
        <f t="shared" si="148"/>
        <v>1</v>
      </c>
      <c r="F1919" s="27">
        <f>VLOOKUP(E1919,[1]t_calendarioPolitica!A:C,3,FALSE)</f>
        <v>0</v>
      </c>
      <c r="G1919" s="1">
        <v>1</v>
      </c>
      <c r="H1919" s="1">
        <v>1</v>
      </c>
      <c r="I1919" s="1">
        <f t="shared" si="149"/>
        <v>0</v>
      </c>
    </row>
    <row r="1920" spans="1:9" x14ac:dyDescent="0.3">
      <c r="A1920" s="26">
        <v>47210</v>
      </c>
      <c r="B1920" s="27">
        <f t="shared" si="145"/>
        <v>2029</v>
      </c>
      <c r="C1920" s="27">
        <f t="shared" si="146"/>
        <v>4</v>
      </c>
      <c r="D1920" s="27">
        <f t="shared" si="147"/>
        <v>2</v>
      </c>
      <c r="E1920" s="27">
        <f t="shared" si="148"/>
        <v>2</v>
      </c>
      <c r="F1920" s="27">
        <f>VLOOKUP(E1920,[1]t_calendarioPolitica!A:C,3,FALSE)</f>
        <v>1</v>
      </c>
      <c r="G1920" s="1">
        <v>1</v>
      </c>
      <c r="H1920" s="1">
        <v>1</v>
      </c>
      <c r="I1920" s="1">
        <f t="shared" si="149"/>
        <v>1</v>
      </c>
    </row>
    <row r="1921" spans="1:9" x14ac:dyDescent="0.3">
      <c r="A1921" s="26">
        <v>47211</v>
      </c>
      <c r="B1921" s="27">
        <f t="shared" si="145"/>
        <v>2029</v>
      </c>
      <c r="C1921" s="27">
        <f t="shared" si="146"/>
        <v>4</v>
      </c>
      <c r="D1921" s="27">
        <f t="shared" si="147"/>
        <v>3</v>
      </c>
      <c r="E1921" s="27">
        <f t="shared" si="148"/>
        <v>3</v>
      </c>
      <c r="F1921" s="27">
        <f>VLOOKUP(E1921,[1]t_calendarioPolitica!A:C,3,FALSE)</f>
        <v>1</v>
      </c>
      <c r="G1921" s="1">
        <v>1</v>
      </c>
      <c r="H1921" s="1">
        <v>1</v>
      </c>
      <c r="I1921" s="1">
        <f t="shared" si="149"/>
        <v>1</v>
      </c>
    </row>
    <row r="1922" spans="1:9" x14ac:dyDescent="0.3">
      <c r="A1922" s="26">
        <v>47212</v>
      </c>
      <c r="B1922" s="27">
        <f t="shared" si="145"/>
        <v>2029</v>
      </c>
      <c r="C1922" s="27">
        <f t="shared" si="146"/>
        <v>4</v>
      </c>
      <c r="D1922" s="27">
        <f t="shared" si="147"/>
        <v>4</v>
      </c>
      <c r="E1922" s="27">
        <f t="shared" si="148"/>
        <v>4</v>
      </c>
      <c r="F1922" s="27">
        <f>VLOOKUP(E1922,[1]t_calendarioPolitica!A:C,3,FALSE)</f>
        <v>1</v>
      </c>
      <c r="G1922" s="1">
        <v>1</v>
      </c>
      <c r="H1922" s="1">
        <v>1</v>
      </c>
      <c r="I1922" s="1">
        <f t="shared" si="149"/>
        <v>1</v>
      </c>
    </row>
    <row r="1923" spans="1:9" x14ac:dyDescent="0.3">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VLOOKUP(E1923,[1]t_calendarioPolitica!A:C,3,FALSE)</f>
        <v>1</v>
      </c>
      <c r="G1923" s="1">
        <v>1</v>
      </c>
      <c r="H1923" s="1">
        <v>1</v>
      </c>
      <c r="I1923" s="1">
        <f t="shared" ref="I1923:I1986" si="154">IF(AND(F1923&lt;&gt;0, H1923&lt;&gt;0,G1923&lt;&gt;0), 1, 0)</f>
        <v>1</v>
      </c>
    </row>
    <row r="1924" spans="1:9" x14ac:dyDescent="0.3">
      <c r="A1924" s="26">
        <v>47214</v>
      </c>
      <c r="B1924" s="27">
        <f t="shared" si="150"/>
        <v>2029</v>
      </c>
      <c r="C1924" s="27">
        <f t="shared" si="151"/>
        <v>4</v>
      </c>
      <c r="D1924" s="27">
        <f t="shared" si="152"/>
        <v>6</v>
      </c>
      <c r="E1924" s="27">
        <f t="shared" si="153"/>
        <v>6</v>
      </c>
      <c r="F1924" s="27">
        <f>VLOOKUP(E1924,[1]t_calendarioPolitica!A:C,3,FALSE)</f>
        <v>1</v>
      </c>
      <c r="G1924" s="1">
        <v>1</v>
      </c>
      <c r="H1924" s="1">
        <v>1</v>
      </c>
      <c r="I1924" s="1">
        <f t="shared" si="154"/>
        <v>1</v>
      </c>
    </row>
    <row r="1925" spans="1:9" x14ac:dyDescent="0.3">
      <c r="A1925" s="26">
        <v>47215</v>
      </c>
      <c r="B1925" s="27">
        <f t="shared" si="150"/>
        <v>2029</v>
      </c>
      <c r="C1925" s="27">
        <f t="shared" si="151"/>
        <v>4</v>
      </c>
      <c r="D1925" s="27">
        <f t="shared" si="152"/>
        <v>7</v>
      </c>
      <c r="E1925" s="27">
        <f t="shared" si="153"/>
        <v>7</v>
      </c>
      <c r="F1925" s="27">
        <f>VLOOKUP(E1925,[1]t_calendarioPolitica!A:C,3,FALSE)</f>
        <v>2</v>
      </c>
      <c r="G1925" s="1">
        <v>1</v>
      </c>
      <c r="H1925" s="1">
        <v>1</v>
      </c>
      <c r="I1925" s="1">
        <f t="shared" si="154"/>
        <v>1</v>
      </c>
    </row>
    <row r="1926" spans="1:9" x14ac:dyDescent="0.3">
      <c r="A1926" s="26">
        <v>47216</v>
      </c>
      <c r="B1926" s="27">
        <f t="shared" si="150"/>
        <v>2029</v>
      </c>
      <c r="C1926" s="27">
        <f t="shared" si="151"/>
        <v>4</v>
      </c>
      <c r="D1926" s="27">
        <f t="shared" si="152"/>
        <v>8</v>
      </c>
      <c r="E1926" s="27">
        <f t="shared" si="153"/>
        <v>1</v>
      </c>
      <c r="F1926" s="27">
        <f>VLOOKUP(E1926,[1]t_calendarioPolitica!A:C,3,FALSE)</f>
        <v>0</v>
      </c>
      <c r="G1926" s="1">
        <v>1</v>
      </c>
      <c r="H1926" s="1">
        <v>1</v>
      </c>
      <c r="I1926" s="1">
        <f t="shared" si="154"/>
        <v>0</v>
      </c>
    </row>
    <row r="1927" spans="1:9" x14ac:dyDescent="0.3">
      <c r="A1927" s="26">
        <v>47217</v>
      </c>
      <c r="B1927" s="27">
        <f t="shared" si="150"/>
        <v>2029</v>
      </c>
      <c r="C1927" s="27">
        <f t="shared" si="151"/>
        <v>4</v>
      </c>
      <c r="D1927" s="27">
        <f t="shared" si="152"/>
        <v>9</v>
      </c>
      <c r="E1927" s="27">
        <f t="shared" si="153"/>
        <v>2</v>
      </c>
      <c r="F1927" s="27">
        <f>VLOOKUP(E1927,[1]t_calendarioPolitica!A:C,3,FALSE)</f>
        <v>1</v>
      </c>
      <c r="G1927" s="1">
        <v>1</v>
      </c>
      <c r="H1927" s="1">
        <v>1</v>
      </c>
      <c r="I1927" s="1">
        <f t="shared" si="154"/>
        <v>1</v>
      </c>
    </row>
    <row r="1928" spans="1:9" x14ac:dyDescent="0.3">
      <c r="A1928" s="26">
        <v>47218</v>
      </c>
      <c r="B1928" s="27">
        <f t="shared" si="150"/>
        <v>2029</v>
      </c>
      <c r="C1928" s="27">
        <f t="shared" si="151"/>
        <v>4</v>
      </c>
      <c r="D1928" s="27">
        <f t="shared" si="152"/>
        <v>10</v>
      </c>
      <c r="E1928" s="27">
        <f t="shared" si="153"/>
        <v>3</v>
      </c>
      <c r="F1928" s="27">
        <f>VLOOKUP(E1928,[1]t_calendarioPolitica!A:C,3,FALSE)</f>
        <v>1</v>
      </c>
      <c r="G1928" s="1">
        <v>1</v>
      </c>
      <c r="H1928" s="1">
        <v>1</v>
      </c>
      <c r="I1928" s="1">
        <f t="shared" si="154"/>
        <v>1</v>
      </c>
    </row>
    <row r="1929" spans="1:9" x14ac:dyDescent="0.3">
      <c r="A1929" s="26">
        <v>47219</v>
      </c>
      <c r="B1929" s="27">
        <f t="shared" si="150"/>
        <v>2029</v>
      </c>
      <c r="C1929" s="27">
        <f t="shared" si="151"/>
        <v>4</v>
      </c>
      <c r="D1929" s="27">
        <f t="shared" si="152"/>
        <v>11</v>
      </c>
      <c r="E1929" s="27">
        <f t="shared" si="153"/>
        <v>4</v>
      </c>
      <c r="F1929" s="27">
        <f>VLOOKUP(E1929,[1]t_calendarioPolitica!A:C,3,FALSE)</f>
        <v>1</v>
      </c>
      <c r="G1929" s="1">
        <v>1</v>
      </c>
      <c r="H1929" s="1">
        <v>1</v>
      </c>
      <c r="I1929" s="1">
        <f t="shared" si="154"/>
        <v>1</v>
      </c>
    </row>
    <row r="1930" spans="1:9" x14ac:dyDescent="0.3">
      <c r="A1930" s="26">
        <v>47220</v>
      </c>
      <c r="B1930" s="27">
        <f t="shared" si="150"/>
        <v>2029</v>
      </c>
      <c r="C1930" s="27">
        <f t="shared" si="151"/>
        <v>4</v>
      </c>
      <c r="D1930" s="27">
        <f t="shared" si="152"/>
        <v>12</v>
      </c>
      <c r="E1930" s="27">
        <f t="shared" si="153"/>
        <v>5</v>
      </c>
      <c r="F1930" s="27">
        <f>VLOOKUP(E1930,[1]t_calendarioPolitica!A:C,3,FALSE)</f>
        <v>1</v>
      </c>
      <c r="G1930" s="1">
        <v>1</v>
      </c>
      <c r="H1930" s="1">
        <v>1</v>
      </c>
      <c r="I1930" s="1">
        <f t="shared" si="154"/>
        <v>1</v>
      </c>
    </row>
    <row r="1931" spans="1:9" x14ac:dyDescent="0.3">
      <c r="A1931" s="26">
        <v>47221</v>
      </c>
      <c r="B1931" s="27">
        <f t="shared" si="150"/>
        <v>2029</v>
      </c>
      <c r="C1931" s="27">
        <f t="shared" si="151"/>
        <v>4</v>
      </c>
      <c r="D1931" s="27">
        <f t="shared" si="152"/>
        <v>13</v>
      </c>
      <c r="E1931" s="27">
        <f t="shared" si="153"/>
        <v>6</v>
      </c>
      <c r="F1931" s="27">
        <f>VLOOKUP(E1931,[1]t_calendarioPolitica!A:C,3,FALSE)</f>
        <v>1</v>
      </c>
      <c r="G1931" s="1">
        <v>1</v>
      </c>
      <c r="H1931" s="1">
        <v>1</v>
      </c>
      <c r="I1931" s="1">
        <f t="shared" si="154"/>
        <v>1</v>
      </c>
    </row>
    <row r="1932" spans="1:9" x14ac:dyDescent="0.3">
      <c r="A1932" s="26">
        <v>47222</v>
      </c>
      <c r="B1932" s="27">
        <f t="shared" si="150"/>
        <v>2029</v>
      </c>
      <c r="C1932" s="27">
        <f t="shared" si="151"/>
        <v>4</v>
      </c>
      <c r="D1932" s="27">
        <f t="shared" si="152"/>
        <v>14</v>
      </c>
      <c r="E1932" s="27">
        <f t="shared" si="153"/>
        <v>7</v>
      </c>
      <c r="F1932" s="27">
        <f>VLOOKUP(E1932,[1]t_calendarioPolitica!A:C,3,FALSE)</f>
        <v>2</v>
      </c>
      <c r="G1932" s="1">
        <v>1</v>
      </c>
      <c r="H1932" s="1">
        <v>1</v>
      </c>
      <c r="I1932" s="1">
        <f t="shared" si="154"/>
        <v>1</v>
      </c>
    </row>
    <row r="1933" spans="1:9" x14ac:dyDescent="0.3">
      <c r="A1933" s="26">
        <v>47223</v>
      </c>
      <c r="B1933" s="27">
        <f t="shared" si="150"/>
        <v>2029</v>
      </c>
      <c r="C1933" s="27">
        <f t="shared" si="151"/>
        <v>4</v>
      </c>
      <c r="D1933" s="27">
        <f t="shared" si="152"/>
        <v>15</v>
      </c>
      <c r="E1933" s="27">
        <f t="shared" si="153"/>
        <v>1</v>
      </c>
      <c r="F1933" s="27">
        <f>VLOOKUP(E1933,[1]t_calendarioPolitica!A:C,3,FALSE)</f>
        <v>0</v>
      </c>
      <c r="G1933" s="1">
        <v>1</v>
      </c>
      <c r="H1933" s="1">
        <v>1</v>
      </c>
      <c r="I1933" s="1">
        <f t="shared" si="154"/>
        <v>0</v>
      </c>
    </row>
    <row r="1934" spans="1:9" x14ac:dyDescent="0.3">
      <c r="A1934" s="26">
        <v>47224</v>
      </c>
      <c r="B1934" s="27">
        <f t="shared" si="150"/>
        <v>2029</v>
      </c>
      <c r="C1934" s="27">
        <f t="shared" si="151"/>
        <v>4</v>
      </c>
      <c r="D1934" s="27">
        <f t="shared" si="152"/>
        <v>16</v>
      </c>
      <c r="E1934" s="27">
        <f t="shared" si="153"/>
        <v>2</v>
      </c>
      <c r="F1934" s="27">
        <f>VLOOKUP(E1934,[1]t_calendarioPolitica!A:C,3,FALSE)</f>
        <v>1</v>
      </c>
      <c r="G1934" s="1">
        <v>1</v>
      </c>
      <c r="H1934" s="1">
        <v>1</v>
      </c>
      <c r="I1934" s="1">
        <f t="shared" si="154"/>
        <v>1</v>
      </c>
    </row>
    <row r="1935" spans="1:9" x14ac:dyDescent="0.3">
      <c r="A1935" s="26">
        <v>47225</v>
      </c>
      <c r="B1935" s="27">
        <f t="shared" si="150"/>
        <v>2029</v>
      </c>
      <c r="C1935" s="27">
        <f t="shared" si="151"/>
        <v>4</v>
      </c>
      <c r="D1935" s="27">
        <f t="shared" si="152"/>
        <v>17</v>
      </c>
      <c r="E1935" s="27">
        <f t="shared" si="153"/>
        <v>3</v>
      </c>
      <c r="F1935" s="27">
        <f>VLOOKUP(E1935,[1]t_calendarioPolitica!A:C,3,FALSE)</f>
        <v>1</v>
      </c>
      <c r="G1935" s="1">
        <v>1</v>
      </c>
      <c r="H1935" s="1">
        <v>1</v>
      </c>
      <c r="I1935" s="1">
        <f t="shared" si="154"/>
        <v>1</v>
      </c>
    </row>
    <row r="1936" spans="1:9" x14ac:dyDescent="0.3">
      <c r="A1936" s="26">
        <v>47226</v>
      </c>
      <c r="B1936" s="27">
        <f t="shared" si="150"/>
        <v>2029</v>
      </c>
      <c r="C1936" s="27">
        <f t="shared" si="151"/>
        <v>4</v>
      </c>
      <c r="D1936" s="27">
        <f t="shared" si="152"/>
        <v>18</v>
      </c>
      <c r="E1936" s="27">
        <f t="shared" si="153"/>
        <v>4</v>
      </c>
      <c r="F1936" s="27">
        <f>VLOOKUP(E1936,[1]t_calendarioPolitica!A:C,3,FALSE)</f>
        <v>1</v>
      </c>
      <c r="G1936" s="1">
        <v>1</v>
      </c>
      <c r="H1936" s="1">
        <v>1</v>
      </c>
      <c r="I1936" s="1">
        <f t="shared" si="154"/>
        <v>1</v>
      </c>
    </row>
    <row r="1937" spans="1:9" x14ac:dyDescent="0.3">
      <c r="A1937" s="26">
        <v>47227</v>
      </c>
      <c r="B1937" s="27">
        <f t="shared" si="150"/>
        <v>2029</v>
      </c>
      <c r="C1937" s="27">
        <f t="shared" si="151"/>
        <v>4</v>
      </c>
      <c r="D1937" s="27">
        <f t="shared" si="152"/>
        <v>19</v>
      </c>
      <c r="E1937" s="27">
        <f t="shared" si="153"/>
        <v>5</v>
      </c>
      <c r="F1937" s="27">
        <f>VLOOKUP(E1937,[1]t_calendarioPolitica!A:C,3,FALSE)</f>
        <v>1</v>
      </c>
      <c r="G1937" s="1">
        <v>1</v>
      </c>
      <c r="H1937" s="1">
        <v>1</v>
      </c>
      <c r="I1937" s="1">
        <f t="shared" si="154"/>
        <v>1</v>
      </c>
    </row>
    <row r="1938" spans="1:9" x14ac:dyDescent="0.3">
      <c r="A1938" s="26">
        <v>47228</v>
      </c>
      <c r="B1938" s="27">
        <f t="shared" si="150"/>
        <v>2029</v>
      </c>
      <c r="C1938" s="27">
        <f t="shared" si="151"/>
        <v>4</v>
      </c>
      <c r="D1938" s="27">
        <f t="shared" si="152"/>
        <v>20</v>
      </c>
      <c r="E1938" s="27">
        <f t="shared" si="153"/>
        <v>6</v>
      </c>
      <c r="F1938" s="27">
        <f>VLOOKUP(E1938,[1]t_calendarioPolitica!A:C,3,FALSE)</f>
        <v>1</v>
      </c>
      <c r="G1938" s="1">
        <v>1</v>
      </c>
      <c r="H1938" s="1">
        <v>1</v>
      </c>
      <c r="I1938" s="1">
        <f t="shared" si="154"/>
        <v>1</v>
      </c>
    </row>
    <row r="1939" spans="1:9" x14ac:dyDescent="0.3">
      <c r="A1939" s="26">
        <v>47229</v>
      </c>
      <c r="B1939" s="27">
        <f t="shared" si="150"/>
        <v>2029</v>
      </c>
      <c r="C1939" s="27">
        <f t="shared" si="151"/>
        <v>4</v>
      </c>
      <c r="D1939" s="27">
        <f t="shared" si="152"/>
        <v>21</v>
      </c>
      <c r="E1939" s="27">
        <f t="shared" si="153"/>
        <v>7</v>
      </c>
      <c r="F1939" s="27">
        <f>VLOOKUP(E1939,[1]t_calendarioPolitica!A:C,3,FALSE)</f>
        <v>2</v>
      </c>
      <c r="G1939" s="1">
        <v>1</v>
      </c>
      <c r="H1939" s="1">
        <v>1</v>
      </c>
      <c r="I1939" s="1">
        <f t="shared" si="154"/>
        <v>1</v>
      </c>
    </row>
    <row r="1940" spans="1:9" x14ac:dyDescent="0.3">
      <c r="A1940" s="26">
        <v>47230</v>
      </c>
      <c r="B1940" s="27">
        <f t="shared" si="150"/>
        <v>2029</v>
      </c>
      <c r="C1940" s="27">
        <f t="shared" si="151"/>
        <v>4</v>
      </c>
      <c r="D1940" s="27">
        <f t="shared" si="152"/>
        <v>22</v>
      </c>
      <c r="E1940" s="27">
        <f t="shared" si="153"/>
        <v>1</v>
      </c>
      <c r="F1940" s="27">
        <f>VLOOKUP(E1940,[1]t_calendarioPolitica!A:C,3,FALSE)</f>
        <v>0</v>
      </c>
      <c r="G1940" s="1">
        <v>1</v>
      </c>
      <c r="H1940" s="1">
        <v>1</v>
      </c>
      <c r="I1940" s="1">
        <f t="shared" si="154"/>
        <v>0</v>
      </c>
    </row>
    <row r="1941" spans="1:9" x14ac:dyDescent="0.3">
      <c r="A1941" s="26">
        <v>47231</v>
      </c>
      <c r="B1941" s="27">
        <f t="shared" si="150"/>
        <v>2029</v>
      </c>
      <c r="C1941" s="27">
        <f t="shared" si="151"/>
        <v>4</v>
      </c>
      <c r="D1941" s="27">
        <f t="shared" si="152"/>
        <v>23</v>
      </c>
      <c r="E1941" s="27">
        <f t="shared" si="153"/>
        <v>2</v>
      </c>
      <c r="F1941" s="27">
        <f>VLOOKUP(E1941,[1]t_calendarioPolitica!A:C,3,FALSE)</f>
        <v>1</v>
      </c>
      <c r="G1941" s="1">
        <v>1</v>
      </c>
      <c r="H1941" s="1">
        <v>1</v>
      </c>
      <c r="I1941" s="1">
        <f t="shared" si="154"/>
        <v>1</v>
      </c>
    </row>
    <row r="1942" spans="1:9" x14ac:dyDescent="0.3">
      <c r="A1942" s="26">
        <v>47232</v>
      </c>
      <c r="B1942" s="27">
        <f t="shared" si="150"/>
        <v>2029</v>
      </c>
      <c r="C1942" s="27">
        <f t="shared" si="151"/>
        <v>4</v>
      </c>
      <c r="D1942" s="27">
        <f t="shared" si="152"/>
        <v>24</v>
      </c>
      <c r="E1942" s="27">
        <f t="shared" si="153"/>
        <v>3</v>
      </c>
      <c r="F1942" s="27">
        <f>VLOOKUP(E1942,[1]t_calendarioPolitica!A:C,3,FALSE)</f>
        <v>1</v>
      </c>
      <c r="G1942" s="1">
        <v>1</v>
      </c>
      <c r="H1942" s="1">
        <v>1</v>
      </c>
      <c r="I1942" s="1">
        <f t="shared" si="154"/>
        <v>1</v>
      </c>
    </row>
    <row r="1943" spans="1:9" x14ac:dyDescent="0.3">
      <c r="A1943" s="26">
        <v>47233</v>
      </c>
      <c r="B1943" s="27">
        <f t="shared" si="150"/>
        <v>2029</v>
      </c>
      <c r="C1943" s="27">
        <f t="shared" si="151"/>
        <v>4</v>
      </c>
      <c r="D1943" s="27">
        <f t="shared" si="152"/>
        <v>25</v>
      </c>
      <c r="E1943" s="27">
        <f t="shared" si="153"/>
        <v>4</v>
      </c>
      <c r="F1943" s="27">
        <f>VLOOKUP(E1943,[1]t_calendarioPolitica!A:C,3,FALSE)</f>
        <v>1</v>
      </c>
      <c r="G1943" s="1">
        <v>1</v>
      </c>
      <c r="H1943" s="1">
        <v>1</v>
      </c>
      <c r="I1943" s="1">
        <f t="shared" si="154"/>
        <v>1</v>
      </c>
    </row>
    <row r="1944" spans="1:9" x14ac:dyDescent="0.3">
      <c r="A1944" s="26">
        <v>47234</v>
      </c>
      <c r="B1944" s="27">
        <f t="shared" si="150"/>
        <v>2029</v>
      </c>
      <c r="C1944" s="27">
        <f t="shared" si="151"/>
        <v>4</v>
      </c>
      <c r="D1944" s="27">
        <f t="shared" si="152"/>
        <v>26</v>
      </c>
      <c r="E1944" s="27">
        <f t="shared" si="153"/>
        <v>5</v>
      </c>
      <c r="F1944" s="27">
        <f>VLOOKUP(E1944,[1]t_calendarioPolitica!A:C,3,FALSE)</f>
        <v>1</v>
      </c>
      <c r="G1944" s="1">
        <v>1</v>
      </c>
      <c r="H1944" s="1">
        <v>1</v>
      </c>
      <c r="I1944" s="1">
        <f t="shared" si="154"/>
        <v>1</v>
      </c>
    </row>
    <row r="1945" spans="1:9" x14ac:dyDescent="0.3">
      <c r="A1945" s="26">
        <v>47235</v>
      </c>
      <c r="B1945" s="27">
        <f t="shared" si="150"/>
        <v>2029</v>
      </c>
      <c r="C1945" s="27">
        <f t="shared" si="151"/>
        <v>4</v>
      </c>
      <c r="D1945" s="27">
        <f t="shared" si="152"/>
        <v>27</v>
      </c>
      <c r="E1945" s="27">
        <f t="shared" si="153"/>
        <v>6</v>
      </c>
      <c r="F1945" s="27">
        <f>VLOOKUP(E1945,[1]t_calendarioPolitica!A:C,3,FALSE)</f>
        <v>1</v>
      </c>
      <c r="G1945" s="1">
        <v>1</v>
      </c>
      <c r="H1945" s="1">
        <v>1</v>
      </c>
      <c r="I1945" s="1">
        <f t="shared" si="154"/>
        <v>1</v>
      </c>
    </row>
    <row r="1946" spans="1:9" x14ac:dyDescent="0.3">
      <c r="A1946" s="26">
        <v>47236</v>
      </c>
      <c r="B1946" s="27">
        <f t="shared" si="150"/>
        <v>2029</v>
      </c>
      <c r="C1946" s="27">
        <f t="shared" si="151"/>
        <v>4</v>
      </c>
      <c r="D1946" s="27">
        <f t="shared" si="152"/>
        <v>28</v>
      </c>
      <c r="E1946" s="27">
        <f t="shared" si="153"/>
        <v>7</v>
      </c>
      <c r="F1946" s="27">
        <f>VLOOKUP(E1946,[1]t_calendarioPolitica!A:C,3,FALSE)</f>
        <v>2</v>
      </c>
      <c r="G1946" s="1">
        <v>1</v>
      </c>
      <c r="H1946" s="1">
        <v>1</v>
      </c>
      <c r="I1946" s="1">
        <f t="shared" si="154"/>
        <v>1</v>
      </c>
    </row>
    <row r="1947" spans="1:9" x14ac:dyDescent="0.3">
      <c r="A1947" s="26">
        <v>47237</v>
      </c>
      <c r="B1947" s="27">
        <f t="shared" si="150"/>
        <v>2029</v>
      </c>
      <c r="C1947" s="27">
        <f t="shared" si="151"/>
        <v>4</v>
      </c>
      <c r="D1947" s="27">
        <f t="shared" si="152"/>
        <v>29</v>
      </c>
      <c r="E1947" s="27">
        <f t="shared" si="153"/>
        <v>1</v>
      </c>
      <c r="F1947" s="27">
        <f>VLOOKUP(E1947,[1]t_calendarioPolitica!A:C,3,FALSE)</f>
        <v>0</v>
      </c>
      <c r="G1947" s="1">
        <v>1</v>
      </c>
      <c r="H1947" s="1">
        <v>1</v>
      </c>
      <c r="I1947" s="1">
        <f t="shared" si="154"/>
        <v>0</v>
      </c>
    </row>
    <row r="1948" spans="1:9" x14ac:dyDescent="0.3">
      <c r="A1948" s="26">
        <v>47238</v>
      </c>
      <c r="B1948" s="27">
        <f t="shared" si="150"/>
        <v>2029</v>
      </c>
      <c r="C1948" s="27">
        <f t="shared" si="151"/>
        <v>4</v>
      </c>
      <c r="D1948" s="27">
        <f t="shared" si="152"/>
        <v>30</v>
      </c>
      <c r="E1948" s="27">
        <f t="shared" si="153"/>
        <v>2</v>
      </c>
      <c r="F1948" s="27">
        <f>VLOOKUP(E1948,[1]t_calendarioPolitica!A:C,3,FALSE)</f>
        <v>1</v>
      </c>
      <c r="G1948" s="1">
        <v>1</v>
      </c>
      <c r="H1948" s="1">
        <v>1</v>
      </c>
      <c r="I1948" s="1">
        <f t="shared" si="154"/>
        <v>1</v>
      </c>
    </row>
    <row r="1949" spans="1:9" x14ac:dyDescent="0.3">
      <c r="A1949" s="26">
        <v>47239</v>
      </c>
      <c r="B1949" s="27">
        <f t="shared" si="150"/>
        <v>2029</v>
      </c>
      <c r="C1949" s="27">
        <f t="shared" si="151"/>
        <v>5</v>
      </c>
      <c r="D1949" s="27">
        <f t="shared" si="152"/>
        <v>1</v>
      </c>
      <c r="E1949" s="27">
        <f t="shared" si="153"/>
        <v>3</v>
      </c>
      <c r="F1949" s="27">
        <f>VLOOKUP(E1949,[1]t_calendarioPolitica!A:C,3,FALSE)</f>
        <v>1</v>
      </c>
      <c r="G1949" s="1">
        <v>1</v>
      </c>
      <c r="H1949" s="1">
        <v>1</v>
      </c>
      <c r="I1949" s="1">
        <f t="shared" si="154"/>
        <v>1</v>
      </c>
    </row>
    <row r="1950" spans="1:9" x14ac:dyDescent="0.3">
      <c r="A1950" s="26">
        <v>47240</v>
      </c>
      <c r="B1950" s="27">
        <f t="shared" si="150"/>
        <v>2029</v>
      </c>
      <c r="C1950" s="27">
        <f t="shared" si="151"/>
        <v>5</v>
      </c>
      <c r="D1950" s="27">
        <f t="shared" si="152"/>
        <v>2</v>
      </c>
      <c r="E1950" s="27">
        <f t="shared" si="153"/>
        <v>4</v>
      </c>
      <c r="F1950" s="27">
        <f>VLOOKUP(E1950,[1]t_calendarioPolitica!A:C,3,FALSE)</f>
        <v>1</v>
      </c>
      <c r="G1950" s="1">
        <v>1</v>
      </c>
      <c r="H1950" s="1">
        <v>1</v>
      </c>
      <c r="I1950" s="1">
        <f t="shared" si="154"/>
        <v>1</v>
      </c>
    </row>
    <row r="1951" spans="1:9" x14ac:dyDescent="0.3">
      <c r="A1951" s="26">
        <v>47241</v>
      </c>
      <c r="B1951" s="27">
        <f t="shared" si="150"/>
        <v>2029</v>
      </c>
      <c r="C1951" s="27">
        <f t="shared" si="151"/>
        <v>5</v>
      </c>
      <c r="D1951" s="27">
        <f t="shared" si="152"/>
        <v>3</v>
      </c>
      <c r="E1951" s="27">
        <f t="shared" si="153"/>
        <v>5</v>
      </c>
      <c r="F1951" s="27">
        <f>VLOOKUP(E1951,[1]t_calendarioPolitica!A:C,3,FALSE)</f>
        <v>1</v>
      </c>
      <c r="G1951" s="1">
        <v>1</v>
      </c>
      <c r="H1951" s="1">
        <v>1</v>
      </c>
      <c r="I1951" s="1">
        <f t="shared" si="154"/>
        <v>1</v>
      </c>
    </row>
    <row r="1952" spans="1:9" x14ac:dyDescent="0.3">
      <c r="A1952" s="26">
        <v>47242</v>
      </c>
      <c r="B1952" s="27">
        <f t="shared" si="150"/>
        <v>2029</v>
      </c>
      <c r="C1952" s="27">
        <f t="shared" si="151"/>
        <v>5</v>
      </c>
      <c r="D1952" s="27">
        <f t="shared" si="152"/>
        <v>4</v>
      </c>
      <c r="E1952" s="27">
        <f t="shared" si="153"/>
        <v>6</v>
      </c>
      <c r="F1952" s="27">
        <f>VLOOKUP(E1952,[1]t_calendarioPolitica!A:C,3,FALSE)</f>
        <v>1</v>
      </c>
      <c r="G1952" s="1">
        <v>1</v>
      </c>
      <c r="H1952" s="1">
        <v>1</v>
      </c>
      <c r="I1952" s="1">
        <f t="shared" si="154"/>
        <v>1</v>
      </c>
    </row>
    <row r="1953" spans="1:9" x14ac:dyDescent="0.3">
      <c r="A1953" s="26">
        <v>47243</v>
      </c>
      <c r="B1953" s="27">
        <f t="shared" si="150"/>
        <v>2029</v>
      </c>
      <c r="C1953" s="27">
        <f t="shared" si="151"/>
        <v>5</v>
      </c>
      <c r="D1953" s="27">
        <f t="shared" si="152"/>
        <v>5</v>
      </c>
      <c r="E1953" s="27">
        <f t="shared" si="153"/>
        <v>7</v>
      </c>
      <c r="F1953" s="27">
        <f>VLOOKUP(E1953,[1]t_calendarioPolitica!A:C,3,FALSE)</f>
        <v>2</v>
      </c>
      <c r="G1953" s="1">
        <v>1</v>
      </c>
      <c r="H1953" s="1">
        <v>1</v>
      </c>
      <c r="I1953" s="1">
        <f t="shared" si="154"/>
        <v>1</v>
      </c>
    </row>
    <row r="1954" spans="1:9" x14ac:dyDescent="0.3">
      <c r="A1954" s="26">
        <v>47244</v>
      </c>
      <c r="B1954" s="27">
        <f t="shared" si="150"/>
        <v>2029</v>
      </c>
      <c r="C1954" s="27">
        <f t="shared" si="151"/>
        <v>5</v>
      </c>
      <c r="D1954" s="27">
        <f t="shared" si="152"/>
        <v>6</v>
      </c>
      <c r="E1954" s="27">
        <f t="shared" si="153"/>
        <v>1</v>
      </c>
      <c r="F1954" s="27">
        <f>VLOOKUP(E1954,[1]t_calendarioPolitica!A:C,3,FALSE)</f>
        <v>0</v>
      </c>
      <c r="G1954" s="1">
        <v>1</v>
      </c>
      <c r="H1954" s="1">
        <v>1</v>
      </c>
      <c r="I1954" s="1">
        <f t="shared" si="154"/>
        <v>0</v>
      </c>
    </row>
    <row r="1955" spans="1:9" x14ac:dyDescent="0.3">
      <c r="A1955" s="26">
        <v>47245</v>
      </c>
      <c r="B1955" s="27">
        <f t="shared" si="150"/>
        <v>2029</v>
      </c>
      <c r="C1955" s="27">
        <f t="shared" si="151"/>
        <v>5</v>
      </c>
      <c r="D1955" s="27">
        <f t="shared" si="152"/>
        <v>7</v>
      </c>
      <c r="E1955" s="27">
        <f t="shared" si="153"/>
        <v>2</v>
      </c>
      <c r="F1955" s="27">
        <f>VLOOKUP(E1955,[1]t_calendarioPolitica!A:C,3,FALSE)</f>
        <v>1</v>
      </c>
      <c r="G1955" s="1">
        <v>1</v>
      </c>
      <c r="H1955" s="1">
        <v>1</v>
      </c>
      <c r="I1955" s="1">
        <f t="shared" si="154"/>
        <v>1</v>
      </c>
    </row>
    <row r="1956" spans="1:9" x14ac:dyDescent="0.3">
      <c r="A1956" s="26">
        <v>47246</v>
      </c>
      <c r="B1956" s="27">
        <f t="shared" si="150"/>
        <v>2029</v>
      </c>
      <c r="C1956" s="27">
        <f t="shared" si="151"/>
        <v>5</v>
      </c>
      <c r="D1956" s="27">
        <f t="shared" si="152"/>
        <v>8</v>
      </c>
      <c r="E1956" s="27">
        <f t="shared" si="153"/>
        <v>3</v>
      </c>
      <c r="F1956" s="27">
        <f>VLOOKUP(E1956,[1]t_calendarioPolitica!A:C,3,FALSE)</f>
        <v>1</v>
      </c>
      <c r="G1956" s="1">
        <v>1</v>
      </c>
      <c r="H1956" s="1">
        <v>1</v>
      </c>
      <c r="I1956" s="1">
        <f t="shared" si="154"/>
        <v>1</v>
      </c>
    </row>
    <row r="1957" spans="1:9" x14ac:dyDescent="0.3">
      <c r="A1957" s="26">
        <v>47247</v>
      </c>
      <c r="B1957" s="27">
        <f t="shared" si="150"/>
        <v>2029</v>
      </c>
      <c r="C1957" s="27">
        <f t="shared" si="151"/>
        <v>5</v>
      </c>
      <c r="D1957" s="27">
        <f t="shared" si="152"/>
        <v>9</v>
      </c>
      <c r="E1957" s="27">
        <f t="shared" si="153"/>
        <v>4</v>
      </c>
      <c r="F1957" s="27">
        <f>VLOOKUP(E1957,[1]t_calendarioPolitica!A:C,3,FALSE)</f>
        <v>1</v>
      </c>
      <c r="G1957" s="1">
        <v>1</v>
      </c>
      <c r="H1957" s="1">
        <v>1</v>
      </c>
      <c r="I1957" s="1">
        <f t="shared" si="154"/>
        <v>1</v>
      </c>
    </row>
    <row r="1958" spans="1:9" x14ac:dyDescent="0.3">
      <c r="A1958" s="26">
        <v>47248</v>
      </c>
      <c r="B1958" s="27">
        <f t="shared" si="150"/>
        <v>2029</v>
      </c>
      <c r="C1958" s="27">
        <f t="shared" si="151"/>
        <v>5</v>
      </c>
      <c r="D1958" s="27">
        <f t="shared" si="152"/>
        <v>10</v>
      </c>
      <c r="E1958" s="27">
        <f t="shared" si="153"/>
        <v>5</v>
      </c>
      <c r="F1958" s="27">
        <f>VLOOKUP(E1958,[1]t_calendarioPolitica!A:C,3,FALSE)</f>
        <v>1</v>
      </c>
      <c r="G1958" s="1">
        <v>1</v>
      </c>
      <c r="H1958" s="1">
        <v>0</v>
      </c>
      <c r="I1958" s="1">
        <f t="shared" si="154"/>
        <v>0</v>
      </c>
    </row>
    <row r="1959" spans="1:9" x14ac:dyDescent="0.3">
      <c r="A1959" s="26">
        <v>47249</v>
      </c>
      <c r="B1959" s="27">
        <f t="shared" si="150"/>
        <v>2029</v>
      </c>
      <c r="C1959" s="27">
        <f t="shared" si="151"/>
        <v>5</v>
      </c>
      <c r="D1959" s="27">
        <f t="shared" si="152"/>
        <v>11</v>
      </c>
      <c r="E1959" s="27">
        <f t="shared" si="153"/>
        <v>6</v>
      </c>
      <c r="F1959" s="27">
        <f>VLOOKUP(E1959,[1]t_calendarioPolitica!A:C,3,FALSE)</f>
        <v>1</v>
      </c>
      <c r="G1959" s="1">
        <v>1</v>
      </c>
      <c r="H1959" s="1">
        <v>1</v>
      </c>
      <c r="I1959" s="1">
        <f t="shared" si="154"/>
        <v>1</v>
      </c>
    </row>
    <row r="1960" spans="1:9" x14ac:dyDescent="0.3">
      <c r="A1960" s="26">
        <v>47250</v>
      </c>
      <c r="B1960" s="27">
        <f t="shared" si="150"/>
        <v>2029</v>
      </c>
      <c r="C1960" s="27">
        <f t="shared" si="151"/>
        <v>5</v>
      </c>
      <c r="D1960" s="27">
        <f t="shared" si="152"/>
        <v>12</v>
      </c>
      <c r="E1960" s="27">
        <f t="shared" si="153"/>
        <v>7</v>
      </c>
      <c r="F1960" s="27">
        <f>VLOOKUP(E1960,[1]t_calendarioPolitica!A:C,3,FALSE)</f>
        <v>2</v>
      </c>
      <c r="G1960" s="1">
        <v>1</v>
      </c>
      <c r="H1960" s="1">
        <v>1</v>
      </c>
      <c r="I1960" s="1">
        <f t="shared" si="154"/>
        <v>1</v>
      </c>
    </row>
    <row r="1961" spans="1:9" x14ac:dyDescent="0.3">
      <c r="A1961" s="26">
        <v>47251</v>
      </c>
      <c r="B1961" s="27">
        <f t="shared" si="150"/>
        <v>2029</v>
      </c>
      <c r="C1961" s="27">
        <f t="shared" si="151"/>
        <v>5</v>
      </c>
      <c r="D1961" s="27">
        <f t="shared" si="152"/>
        <v>13</v>
      </c>
      <c r="E1961" s="27">
        <f t="shared" si="153"/>
        <v>1</v>
      </c>
      <c r="F1961" s="27">
        <f>VLOOKUP(E1961,[1]t_calendarioPolitica!A:C,3,FALSE)</f>
        <v>0</v>
      </c>
      <c r="G1961" s="1">
        <v>1</v>
      </c>
      <c r="H1961" s="1">
        <v>1</v>
      </c>
      <c r="I1961" s="1">
        <f t="shared" si="154"/>
        <v>0</v>
      </c>
    </row>
    <row r="1962" spans="1:9" x14ac:dyDescent="0.3">
      <c r="A1962" s="26">
        <v>47252</v>
      </c>
      <c r="B1962" s="27">
        <f t="shared" si="150"/>
        <v>2029</v>
      </c>
      <c r="C1962" s="27">
        <f t="shared" si="151"/>
        <v>5</v>
      </c>
      <c r="D1962" s="27">
        <f t="shared" si="152"/>
        <v>14</v>
      </c>
      <c r="E1962" s="27">
        <f t="shared" si="153"/>
        <v>2</v>
      </c>
      <c r="F1962" s="27">
        <f>VLOOKUP(E1962,[1]t_calendarioPolitica!A:C,3,FALSE)</f>
        <v>1</v>
      </c>
      <c r="G1962" s="1">
        <v>1</v>
      </c>
      <c r="H1962" s="1">
        <v>1</v>
      </c>
      <c r="I1962" s="1">
        <f t="shared" si="154"/>
        <v>1</v>
      </c>
    </row>
    <row r="1963" spans="1:9" x14ac:dyDescent="0.3">
      <c r="A1963" s="26">
        <v>47253</v>
      </c>
      <c r="B1963" s="27">
        <f t="shared" si="150"/>
        <v>2029</v>
      </c>
      <c r="C1963" s="27">
        <f t="shared" si="151"/>
        <v>5</v>
      </c>
      <c r="D1963" s="27">
        <f t="shared" si="152"/>
        <v>15</v>
      </c>
      <c r="E1963" s="27">
        <f t="shared" si="153"/>
        <v>3</v>
      </c>
      <c r="F1963" s="27">
        <f>VLOOKUP(E1963,[1]t_calendarioPolitica!A:C,3,FALSE)</f>
        <v>1</v>
      </c>
      <c r="G1963" s="1">
        <v>1</v>
      </c>
      <c r="H1963" s="1">
        <v>1</v>
      </c>
      <c r="I1963" s="1">
        <f t="shared" si="154"/>
        <v>1</v>
      </c>
    </row>
    <row r="1964" spans="1:9" x14ac:dyDescent="0.3">
      <c r="A1964" s="26">
        <v>47254</v>
      </c>
      <c r="B1964" s="27">
        <f t="shared" si="150"/>
        <v>2029</v>
      </c>
      <c r="C1964" s="27">
        <f t="shared" si="151"/>
        <v>5</v>
      </c>
      <c r="D1964" s="27">
        <f t="shared" si="152"/>
        <v>16</v>
      </c>
      <c r="E1964" s="27">
        <f t="shared" si="153"/>
        <v>4</v>
      </c>
      <c r="F1964" s="27">
        <f>VLOOKUP(E1964,[1]t_calendarioPolitica!A:C,3,FALSE)</f>
        <v>1</v>
      </c>
      <c r="G1964" s="1">
        <v>1</v>
      </c>
      <c r="H1964" s="1">
        <v>1</v>
      </c>
      <c r="I1964" s="1">
        <f t="shared" si="154"/>
        <v>1</v>
      </c>
    </row>
    <row r="1965" spans="1:9" x14ac:dyDescent="0.3">
      <c r="A1965" s="26">
        <v>47255</v>
      </c>
      <c r="B1965" s="27">
        <f t="shared" si="150"/>
        <v>2029</v>
      </c>
      <c r="C1965" s="27">
        <f t="shared" si="151"/>
        <v>5</v>
      </c>
      <c r="D1965" s="27">
        <f t="shared" si="152"/>
        <v>17</v>
      </c>
      <c r="E1965" s="27">
        <f t="shared" si="153"/>
        <v>5</v>
      </c>
      <c r="F1965" s="27">
        <f>VLOOKUP(E1965,[1]t_calendarioPolitica!A:C,3,FALSE)</f>
        <v>1</v>
      </c>
      <c r="G1965" s="1">
        <v>1</v>
      </c>
      <c r="H1965" s="1">
        <v>1</v>
      </c>
      <c r="I1965" s="1">
        <f t="shared" si="154"/>
        <v>1</v>
      </c>
    </row>
    <row r="1966" spans="1:9" x14ac:dyDescent="0.3">
      <c r="A1966" s="26">
        <v>47256</v>
      </c>
      <c r="B1966" s="27">
        <f t="shared" si="150"/>
        <v>2029</v>
      </c>
      <c r="C1966" s="27">
        <f t="shared" si="151"/>
        <v>5</v>
      </c>
      <c r="D1966" s="27">
        <f t="shared" si="152"/>
        <v>18</v>
      </c>
      <c r="E1966" s="27">
        <f t="shared" si="153"/>
        <v>6</v>
      </c>
      <c r="F1966" s="27">
        <f>VLOOKUP(E1966,[1]t_calendarioPolitica!A:C,3,FALSE)</f>
        <v>1</v>
      </c>
      <c r="G1966" s="1">
        <v>1</v>
      </c>
      <c r="H1966" s="1">
        <v>1</v>
      </c>
      <c r="I1966" s="1">
        <f t="shared" si="154"/>
        <v>1</v>
      </c>
    </row>
    <row r="1967" spans="1:9" x14ac:dyDescent="0.3">
      <c r="A1967" s="26">
        <v>47257</v>
      </c>
      <c r="B1967" s="27">
        <f t="shared" si="150"/>
        <v>2029</v>
      </c>
      <c r="C1967" s="27">
        <f t="shared" si="151"/>
        <v>5</v>
      </c>
      <c r="D1967" s="27">
        <f t="shared" si="152"/>
        <v>19</v>
      </c>
      <c r="E1967" s="27">
        <f t="shared" si="153"/>
        <v>7</v>
      </c>
      <c r="F1967" s="27">
        <f>VLOOKUP(E1967,[1]t_calendarioPolitica!A:C,3,FALSE)</f>
        <v>2</v>
      </c>
      <c r="G1967" s="1">
        <v>1</v>
      </c>
      <c r="H1967" s="1">
        <v>1</v>
      </c>
      <c r="I1967" s="1">
        <f t="shared" si="154"/>
        <v>1</v>
      </c>
    </row>
    <row r="1968" spans="1:9" x14ac:dyDescent="0.3">
      <c r="A1968" s="26">
        <v>47258</v>
      </c>
      <c r="B1968" s="27">
        <f t="shared" si="150"/>
        <v>2029</v>
      </c>
      <c r="C1968" s="27">
        <f t="shared" si="151"/>
        <v>5</v>
      </c>
      <c r="D1968" s="27">
        <f t="shared" si="152"/>
        <v>20</v>
      </c>
      <c r="E1968" s="27">
        <f t="shared" si="153"/>
        <v>1</v>
      </c>
      <c r="F1968" s="27">
        <f>VLOOKUP(E1968,[1]t_calendarioPolitica!A:C,3,FALSE)</f>
        <v>0</v>
      </c>
      <c r="G1968" s="1">
        <v>1</v>
      </c>
      <c r="H1968" s="1">
        <v>1</v>
      </c>
      <c r="I1968" s="1">
        <f t="shared" si="154"/>
        <v>0</v>
      </c>
    </row>
    <row r="1969" spans="1:9" x14ac:dyDescent="0.3">
      <c r="A1969" s="26">
        <v>47259</v>
      </c>
      <c r="B1969" s="27">
        <f t="shared" si="150"/>
        <v>2029</v>
      </c>
      <c r="C1969" s="27">
        <f t="shared" si="151"/>
        <v>5</v>
      </c>
      <c r="D1969" s="27">
        <f t="shared" si="152"/>
        <v>21</v>
      </c>
      <c r="E1969" s="27">
        <f t="shared" si="153"/>
        <v>2</v>
      </c>
      <c r="F1969" s="27">
        <f>VLOOKUP(E1969,[1]t_calendarioPolitica!A:C,3,FALSE)</f>
        <v>1</v>
      </c>
      <c r="G1969" s="1">
        <v>1</v>
      </c>
      <c r="H1969" s="1">
        <v>1</v>
      </c>
      <c r="I1969" s="1">
        <f t="shared" si="154"/>
        <v>1</v>
      </c>
    </row>
    <row r="1970" spans="1:9" x14ac:dyDescent="0.3">
      <c r="A1970" s="26">
        <v>47260</v>
      </c>
      <c r="B1970" s="27">
        <f t="shared" si="150"/>
        <v>2029</v>
      </c>
      <c r="C1970" s="27">
        <f t="shared" si="151"/>
        <v>5</v>
      </c>
      <c r="D1970" s="27">
        <f t="shared" si="152"/>
        <v>22</v>
      </c>
      <c r="E1970" s="27">
        <f t="shared" si="153"/>
        <v>3</v>
      </c>
      <c r="F1970" s="27">
        <f>VLOOKUP(E1970,[1]t_calendarioPolitica!A:C,3,FALSE)</f>
        <v>1</v>
      </c>
      <c r="G1970" s="1">
        <v>1</v>
      </c>
      <c r="H1970" s="1">
        <v>1</v>
      </c>
      <c r="I1970" s="1">
        <f t="shared" si="154"/>
        <v>1</v>
      </c>
    </row>
    <row r="1971" spans="1:9" x14ac:dyDescent="0.3">
      <c r="A1971" s="26">
        <v>47261</v>
      </c>
      <c r="B1971" s="27">
        <f t="shared" si="150"/>
        <v>2029</v>
      </c>
      <c r="C1971" s="27">
        <f t="shared" si="151"/>
        <v>5</v>
      </c>
      <c r="D1971" s="27">
        <f t="shared" si="152"/>
        <v>23</v>
      </c>
      <c r="E1971" s="27">
        <f t="shared" si="153"/>
        <v>4</v>
      </c>
      <c r="F1971" s="27">
        <f>VLOOKUP(E1971,[1]t_calendarioPolitica!A:C,3,FALSE)</f>
        <v>1</v>
      </c>
      <c r="G1971" s="1">
        <v>1</v>
      </c>
      <c r="H1971" s="1">
        <v>1</v>
      </c>
      <c r="I1971" s="1">
        <f t="shared" si="154"/>
        <v>1</v>
      </c>
    </row>
    <row r="1972" spans="1:9" x14ac:dyDescent="0.3">
      <c r="A1972" s="26">
        <v>47262</v>
      </c>
      <c r="B1972" s="27">
        <f t="shared" si="150"/>
        <v>2029</v>
      </c>
      <c r="C1972" s="27">
        <f t="shared" si="151"/>
        <v>5</v>
      </c>
      <c r="D1972" s="27">
        <f t="shared" si="152"/>
        <v>24</v>
      </c>
      <c r="E1972" s="27">
        <f t="shared" si="153"/>
        <v>5</v>
      </c>
      <c r="F1972" s="27">
        <f>VLOOKUP(E1972,[1]t_calendarioPolitica!A:C,3,FALSE)</f>
        <v>1</v>
      </c>
      <c r="G1972" s="1">
        <v>1</v>
      </c>
      <c r="H1972" s="1">
        <v>1</v>
      </c>
      <c r="I1972" s="1">
        <f t="shared" si="154"/>
        <v>1</v>
      </c>
    </row>
    <row r="1973" spans="1:9" x14ac:dyDescent="0.3">
      <c r="A1973" s="26">
        <v>47263</v>
      </c>
      <c r="B1973" s="27">
        <f t="shared" si="150"/>
        <v>2029</v>
      </c>
      <c r="C1973" s="27">
        <f t="shared" si="151"/>
        <v>5</v>
      </c>
      <c r="D1973" s="27">
        <f t="shared" si="152"/>
        <v>25</v>
      </c>
      <c r="E1973" s="27">
        <f t="shared" si="153"/>
        <v>6</v>
      </c>
      <c r="F1973" s="27">
        <f>VLOOKUP(E1973,[1]t_calendarioPolitica!A:C,3,FALSE)</f>
        <v>1</v>
      </c>
      <c r="G1973" s="1">
        <v>1</v>
      </c>
      <c r="H1973" s="1">
        <v>1</v>
      </c>
      <c r="I1973" s="1">
        <f t="shared" si="154"/>
        <v>1</v>
      </c>
    </row>
    <row r="1974" spans="1:9" x14ac:dyDescent="0.3">
      <c r="A1974" s="26">
        <v>47264</v>
      </c>
      <c r="B1974" s="27">
        <f t="shared" si="150"/>
        <v>2029</v>
      </c>
      <c r="C1974" s="27">
        <f t="shared" si="151"/>
        <v>5</v>
      </c>
      <c r="D1974" s="27">
        <f t="shared" si="152"/>
        <v>26</v>
      </c>
      <c r="E1974" s="27">
        <f t="shared" si="153"/>
        <v>7</v>
      </c>
      <c r="F1974" s="27">
        <f>VLOOKUP(E1974,[1]t_calendarioPolitica!A:C,3,FALSE)</f>
        <v>2</v>
      </c>
      <c r="G1974" s="1">
        <v>1</v>
      </c>
      <c r="H1974" s="1">
        <v>1</v>
      </c>
      <c r="I1974" s="1">
        <f t="shared" si="154"/>
        <v>1</v>
      </c>
    </row>
    <row r="1975" spans="1:9" x14ac:dyDescent="0.3">
      <c r="A1975" s="26">
        <v>47265</v>
      </c>
      <c r="B1975" s="27">
        <f t="shared" si="150"/>
        <v>2029</v>
      </c>
      <c r="C1975" s="27">
        <f t="shared" si="151"/>
        <v>5</v>
      </c>
      <c r="D1975" s="27">
        <f t="shared" si="152"/>
        <v>27</v>
      </c>
      <c r="E1975" s="27">
        <f t="shared" si="153"/>
        <v>1</v>
      </c>
      <c r="F1975" s="27">
        <f>VLOOKUP(E1975,[1]t_calendarioPolitica!A:C,3,FALSE)</f>
        <v>0</v>
      </c>
      <c r="G1975" s="1">
        <v>1</v>
      </c>
      <c r="H1975" s="1">
        <v>1</v>
      </c>
      <c r="I1975" s="1">
        <f t="shared" si="154"/>
        <v>0</v>
      </c>
    </row>
    <row r="1976" spans="1:9" x14ac:dyDescent="0.3">
      <c r="A1976" s="26">
        <v>47266</v>
      </c>
      <c r="B1976" s="27">
        <f t="shared" si="150"/>
        <v>2029</v>
      </c>
      <c r="C1976" s="27">
        <f t="shared" si="151"/>
        <v>5</v>
      </c>
      <c r="D1976" s="27">
        <f t="shared" si="152"/>
        <v>28</v>
      </c>
      <c r="E1976" s="27">
        <f t="shared" si="153"/>
        <v>2</v>
      </c>
      <c r="F1976" s="27">
        <f>VLOOKUP(E1976,[1]t_calendarioPolitica!A:C,3,FALSE)</f>
        <v>1</v>
      </c>
      <c r="G1976" s="1">
        <v>1</v>
      </c>
      <c r="H1976" s="1">
        <v>1</v>
      </c>
      <c r="I1976" s="1">
        <f t="shared" si="154"/>
        <v>1</v>
      </c>
    </row>
    <row r="1977" spans="1:9" x14ac:dyDescent="0.3">
      <c r="A1977" s="26">
        <v>47267</v>
      </c>
      <c r="B1977" s="27">
        <f t="shared" si="150"/>
        <v>2029</v>
      </c>
      <c r="C1977" s="27">
        <f t="shared" si="151"/>
        <v>5</v>
      </c>
      <c r="D1977" s="27">
        <f t="shared" si="152"/>
        <v>29</v>
      </c>
      <c r="E1977" s="27">
        <f t="shared" si="153"/>
        <v>3</v>
      </c>
      <c r="F1977" s="27">
        <f>VLOOKUP(E1977,[1]t_calendarioPolitica!A:C,3,FALSE)</f>
        <v>1</v>
      </c>
      <c r="G1977" s="1">
        <v>1</v>
      </c>
      <c r="H1977" s="1">
        <v>1</v>
      </c>
      <c r="I1977" s="1">
        <f t="shared" si="154"/>
        <v>1</v>
      </c>
    </row>
    <row r="1978" spans="1:9" x14ac:dyDescent="0.3">
      <c r="A1978" s="26">
        <v>47268</v>
      </c>
      <c r="B1978" s="27">
        <f t="shared" si="150"/>
        <v>2029</v>
      </c>
      <c r="C1978" s="27">
        <f t="shared" si="151"/>
        <v>5</v>
      </c>
      <c r="D1978" s="27">
        <f t="shared" si="152"/>
        <v>30</v>
      </c>
      <c r="E1978" s="27">
        <f t="shared" si="153"/>
        <v>4</v>
      </c>
      <c r="F1978" s="27">
        <f>VLOOKUP(E1978,[1]t_calendarioPolitica!A:C,3,FALSE)</f>
        <v>1</v>
      </c>
      <c r="G1978" s="1">
        <v>1</v>
      </c>
      <c r="H1978" s="1">
        <v>1</v>
      </c>
      <c r="I1978" s="1">
        <f t="shared" si="154"/>
        <v>1</v>
      </c>
    </row>
    <row r="1979" spans="1:9" x14ac:dyDescent="0.3">
      <c r="A1979" s="26">
        <v>47269</v>
      </c>
      <c r="B1979" s="27">
        <f t="shared" si="150"/>
        <v>2029</v>
      </c>
      <c r="C1979" s="27">
        <f t="shared" si="151"/>
        <v>5</v>
      </c>
      <c r="D1979" s="27">
        <f t="shared" si="152"/>
        <v>31</v>
      </c>
      <c r="E1979" s="27">
        <f t="shared" si="153"/>
        <v>5</v>
      </c>
      <c r="F1979" s="27">
        <f>VLOOKUP(E1979,[1]t_calendarioPolitica!A:C,3,FALSE)</f>
        <v>1</v>
      </c>
      <c r="G1979" s="1">
        <v>1</v>
      </c>
      <c r="H1979" s="1">
        <v>1</v>
      </c>
      <c r="I1979" s="1">
        <f t="shared" si="154"/>
        <v>1</v>
      </c>
    </row>
    <row r="1980" spans="1:9" x14ac:dyDescent="0.3">
      <c r="A1980" s="26">
        <v>47270</v>
      </c>
      <c r="B1980" s="27">
        <f t="shared" si="150"/>
        <v>2029</v>
      </c>
      <c r="C1980" s="27">
        <f t="shared" si="151"/>
        <v>6</v>
      </c>
      <c r="D1980" s="27">
        <f t="shared" si="152"/>
        <v>1</v>
      </c>
      <c r="E1980" s="27">
        <f t="shared" si="153"/>
        <v>6</v>
      </c>
      <c r="F1980" s="27">
        <f>VLOOKUP(E1980,[1]t_calendarioPolitica!A:C,3,FALSE)</f>
        <v>1</v>
      </c>
      <c r="G1980" s="1">
        <v>1</v>
      </c>
      <c r="H1980" s="1">
        <v>1</v>
      </c>
      <c r="I1980" s="1">
        <f t="shared" si="154"/>
        <v>1</v>
      </c>
    </row>
    <row r="1981" spans="1:9" x14ac:dyDescent="0.3">
      <c r="A1981" s="26">
        <v>47271</v>
      </c>
      <c r="B1981" s="27">
        <f t="shared" si="150"/>
        <v>2029</v>
      </c>
      <c r="C1981" s="27">
        <f t="shared" si="151"/>
        <v>6</v>
      </c>
      <c r="D1981" s="27">
        <f t="shared" si="152"/>
        <v>2</v>
      </c>
      <c r="E1981" s="27">
        <f t="shared" si="153"/>
        <v>7</v>
      </c>
      <c r="F1981" s="27">
        <f>VLOOKUP(E1981,[1]t_calendarioPolitica!A:C,3,FALSE)</f>
        <v>2</v>
      </c>
      <c r="G1981" s="1">
        <v>1</v>
      </c>
      <c r="H1981" s="1">
        <v>1</v>
      </c>
      <c r="I1981" s="1">
        <f t="shared" si="154"/>
        <v>1</v>
      </c>
    </row>
    <row r="1982" spans="1:9" x14ac:dyDescent="0.3">
      <c r="A1982" s="26">
        <v>47272</v>
      </c>
      <c r="B1982" s="27">
        <f t="shared" si="150"/>
        <v>2029</v>
      </c>
      <c r="C1982" s="27">
        <f t="shared" si="151"/>
        <v>6</v>
      </c>
      <c r="D1982" s="27">
        <f t="shared" si="152"/>
        <v>3</v>
      </c>
      <c r="E1982" s="27">
        <f t="shared" si="153"/>
        <v>1</v>
      </c>
      <c r="F1982" s="27">
        <f>VLOOKUP(E1982,[1]t_calendarioPolitica!A:C,3,FALSE)</f>
        <v>0</v>
      </c>
      <c r="G1982" s="1">
        <v>1</v>
      </c>
      <c r="H1982" s="1">
        <v>1</v>
      </c>
      <c r="I1982" s="1">
        <f t="shared" si="154"/>
        <v>0</v>
      </c>
    </row>
    <row r="1983" spans="1:9" x14ac:dyDescent="0.3">
      <c r="A1983" s="26">
        <v>47273</v>
      </c>
      <c r="B1983" s="27">
        <f t="shared" si="150"/>
        <v>2029</v>
      </c>
      <c r="C1983" s="27">
        <f t="shared" si="151"/>
        <v>6</v>
      </c>
      <c r="D1983" s="27">
        <f t="shared" si="152"/>
        <v>4</v>
      </c>
      <c r="E1983" s="27">
        <f t="shared" si="153"/>
        <v>2</v>
      </c>
      <c r="F1983" s="27">
        <f>VLOOKUP(E1983,[1]t_calendarioPolitica!A:C,3,FALSE)</f>
        <v>1</v>
      </c>
      <c r="G1983" s="1">
        <v>1</v>
      </c>
      <c r="H1983" s="1">
        <v>1</v>
      </c>
      <c r="I1983" s="1">
        <f t="shared" si="154"/>
        <v>1</v>
      </c>
    </row>
    <row r="1984" spans="1:9" x14ac:dyDescent="0.3">
      <c r="A1984" s="26">
        <v>47274</v>
      </c>
      <c r="B1984" s="27">
        <f t="shared" si="150"/>
        <v>2029</v>
      </c>
      <c r="C1984" s="27">
        <f t="shared" si="151"/>
        <v>6</v>
      </c>
      <c r="D1984" s="27">
        <f t="shared" si="152"/>
        <v>5</v>
      </c>
      <c r="E1984" s="27">
        <f t="shared" si="153"/>
        <v>3</v>
      </c>
      <c r="F1984" s="27">
        <f>VLOOKUP(E1984,[1]t_calendarioPolitica!A:C,3,FALSE)</f>
        <v>1</v>
      </c>
      <c r="G1984" s="1">
        <v>1</v>
      </c>
      <c r="H1984" s="1">
        <v>1</v>
      </c>
      <c r="I1984" s="1">
        <f t="shared" si="154"/>
        <v>1</v>
      </c>
    </row>
    <row r="1985" spans="1:9" x14ac:dyDescent="0.3">
      <c r="A1985" s="26">
        <v>47275</v>
      </c>
      <c r="B1985" s="27">
        <f t="shared" si="150"/>
        <v>2029</v>
      </c>
      <c r="C1985" s="27">
        <f t="shared" si="151"/>
        <v>6</v>
      </c>
      <c r="D1985" s="27">
        <f t="shared" si="152"/>
        <v>6</v>
      </c>
      <c r="E1985" s="27">
        <f t="shared" si="153"/>
        <v>4</v>
      </c>
      <c r="F1985" s="27">
        <f>VLOOKUP(E1985,[1]t_calendarioPolitica!A:C,3,FALSE)</f>
        <v>1</v>
      </c>
      <c r="G1985" s="1">
        <v>1</v>
      </c>
      <c r="H1985" s="1">
        <v>1</v>
      </c>
      <c r="I1985" s="1">
        <f t="shared" si="154"/>
        <v>1</v>
      </c>
    </row>
    <row r="1986" spans="1:9" x14ac:dyDescent="0.3">
      <c r="A1986" s="26">
        <v>47276</v>
      </c>
      <c r="B1986" s="27">
        <f t="shared" si="150"/>
        <v>2029</v>
      </c>
      <c r="C1986" s="27">
        <f t="shared" si="151"/>
        <v>6</v>
      </c>
      <c r="D1986" s="27">
        <f t="shared" si="152"/>
        <v>7</v>
      </c>
      <c r="E1986" s="27">
        <f t="shared" si="153"/>
        <v>5</v>
      </c>
      <c r="F1986" s="27">
        <f>VLOOKUP(E1986,[1]t_calendarioPolitica!A:C,3,FALSE)</f>
        <v>1</v>
      </c>
      <c r="G1986" s="1">
        <v>1</v>
      </c>
      <c r="H1986" s="1">
        <v>1</v>
      </c>
      <c r="I1986" s="1">
        <f t="shared" si="154"/>
        <v>1</v>
      </c>
    </row>
    <row r="1987" spans="1:9" x14ac:dyDescent="0.3">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VLOOKUP(E1987,[1]t_calendarioPolitica!A:C,3,FALSE)</f>
        <v>1</v>
      </c>
      <c r="G1987" s="1">
        <v>1</v>
      </c>
      <c r="H1987" s="1">
        <v>1</v>
      </c>
      <c r="I1987" s="1">
        <f t="shared" ref="I1987:I2050" si="159">IF(AND(F1987&lt;&gt;0, H1987&lt;&gt;0,G1987&lt;&gt;0), 1, 0)</f>
        <v>1</v>
      </c>
    </row>
    <row r="1988" spans="1:9" x14ac:dyDescent="0.3">
      <c r="A1988" s="26">
        <v>47278</v>
      </c>
      <c r="B1988" s="27">
        <f t="shared" si="155"/>
        <v>2029</v>
      </c>
      <c r="C1988" s="27">
        <f t="shared" si="156"/>
        <v>6</v>
      </c>
      <c r="D1988" s="27">
        <f t="shared" si="157"/>
        <v>9</v>
      </c>
      <c r="E1988" s="27">
        <f t="shared" si="158"/>
        <v>7</v>
      </c>
      <c r="F1988" s="27">
        <f>VLOOKUP(E1988,[1]t_calendarioPolitica!A:C,3,FALSE)</f>
        <v>2</v>
      </c>
      <c r="G1988" s="1">
        <v>1</v>
      </c>
      <c r="H1988" s="1">
        <v>1</v>
      </c>
      <c r="I1988" s="1">
        <f t="shared" si="159"/>
        <v>1</v>
      </c>
    </row>
    <row r="1989" spans="1:9" x14ac:dyDescent="0.3">
      <c r="A1989" s="26">
        <v>47279</v>
      </c>
      <c r="B1989" s="27">
        <f t="shared" si="155"/>
        <v>2029</v>
      </c>
      <c r="C1989" s="27">
        <f t="shared" si="156"/>
        <v>6</v>
      </c>
      <c r="D1989" s="27">
        <f t="shared" si="157"/>
        <v>10</v>
      </c>
      <c r="E1989" s="27">
        <f t="shared" si="158"/>
        <v>1</v>
      </c>
      <c r="F1989" s="27">
        <f>VLOOKUP(E1989,[1]t_calendarioPolitica!A:C,3,FALSE)</f>
        <v>0</v>
      </c>
      <c r="G1989" s="1">
        <v>1</v>
      </c>
      <c r="H1989" s="1">
        <v>1</v>
      </c>
      <c r="I1989" s="1">
        <f t="shared" si="159"/>
        <v>0</v>
      </c>
    </row>
    <row r="1990" spans="1:9" x14ac:dyDescent="0.3">
      <c r="A1990" s="26">
        <v>47280</v>
      </c>
      <c r="B1990" s="27">
        <f t="shared" si="155"/>
        <v>2029</v>
      </c>
      <c r="C1990" s="27">
        <f t="shared" si="156"/>
        <v>6</v>
      </c>
      <c r="D1990" s="27">
        <f t="shared" si="157"/>
        <v>11</v>
      </c>
      <c r="E1990" s="27">
        <f t="shared" si="158"/>
        <v>2</v>
      </c>
      <c r="F1990" s="27">
        <f>VLOOKUP(E1990,[1]t_calendarioPolitica!A:C,3,FALSE)</f>
        <v>1</v>
      </c>
      <c r="G1990" s="1">
        <v>1</v>
      </c>
      <c r="H1990" s="1">
        <v>1</v>
      </c>
      <c r="I1990" s="1">
        <f t="shared" si="159"/>
        <v>1</v>
      </c>
    </row>
    <row r="1991" spans="1:9" x14ac:dyDescent="0.3">
      <c r="A1991" s="26">
        <v>47281</v>
      </c>
      <c r="B1991" s="27">
        <f t="shared" si="155"/>
        <v>2029</v>
      </c>
      <c r="C1991" s="27">
        <f t="shared" si="156"/>
        <v>6</v>
      </c>
      <c r="D1991" s="27">
        <f t="shared" si="157"/>
        <v>12</v>
      </c>
      <c r="E1991" s="27">
        <f t="shared" si="158"/>
        <v>3</v>
      </c>
      <c r="F1991" s="27">
        <f>VLOOKUP(E1991,[1]t_calendarioPolitica!A:C,3,FALSE)</f>
        <v>1</v>
      </c>
      <c r="G1991" s="1">
        <v>1</v>
      </c>
      <c r="H1991" s="1">
        <v>1</v>
      </c>
      <c r="I1991" s="1">
        <f t="shared" si="159"/>
        <v>1</v>
      </c>
    </row>
    <row r="1992" spans="1:9" x14ac:dyDescent="0.3">
      <c r="A1992" s="26">
        <v>47282</v>
      </c>
      <c r="B1992" s="27">
        <f t="shared" si="155"/>
        <v>2029</v>
      </c>
      <c r="C1992" s="27">
        <f t="shared" si="156"/>
        <v>6</v>
      </c>
      <c r="D1992" s="27">
        <f t="shared" si="157"/>
        <v>13</v>
      </c>
      <c r="E1992" s="27">
        <f t="shared" si="158"/>
        <v>4</v>
      </c>
      <c r="F1992" s="27">
        <f>VLOOKUP(E1992,[1]t_calendarioPolitica!A:C,3,FALSE)</f>
        <v>1</v>
      </c>
      <c r="G1992" s="1">
        <v>1</v>
      </c>
      <c r="H1992" s="1">
        <v>1</v>
      </c>
      <c r="I1992" s="1">
        <f t="shared" si="159"/>
        <v>1</v>
      </c>
    </row>
    <row r="1993" spans="1:9" x14ac:dyDescent="0.3">
      <c r="A1993" s="26">
        <v>47283</v>
      </c>
      <c r="B1993" s="27">
        <f t="shared" si="155"/>
        <v>2029</v>
      </c>
      <c r="C1993" s="27">
        <f t="shared" si="156"/>
        <v>6</v>
      </c>
      <c r="D1993" s="27">
        <f t="shared" si="157"/>
        <v>14</v>
      </c>
      <c r="E1993" s="27">
        <f t="shared" si="158"/>
        <v>5</v>
      </c>
      <c r="F1993" s="27">
        <f>VLOOKUP(E1993,[1]t_calendarioPolitica!A:C,3,FALSE)</f>
        <v>1</v>
      </c>
      <c r="G1993" s="1">
        <v>1</v>
      </c>
      <c r="H1993" s="1">
        <v>1</v>
      </c>
      <c r="I1993" s="1">
        <f t="shared" si="159"/>
        <v>1</v>
      </c>
    </row>
    <row r="1994" spans="1:9" x14ac:dyDescent="0.3">
      <c r="A1994" s="26">
        <v>47284</v>
      </c>
      <c r="B1994" s="27">
        <f t="shared" si="155"/>
        <v>2029</v>
      </c>
      <c r="C1994" s="27">
        <f t="shared" si="156"/>
        <v>6</v>
      </c>
      <c r="D1994" s="27">
        <f t="shared" si="157"/>
        <v>15</v>
      </c>
      <c r="E1994" s="27">
        <f t="shared" si="158"/>
        <v>6</v>
      </c>
      <c r="F1994" s="27">
        <f>VLOOKUP(E1994,[1]t_calendarioPolitica!A:C,3,FALSE)</f>
        <v>1</v>
      </c>
      <c r="G1994" s="1">
        <v>1</v>
      </c>
      <c r="H1994" s="1">
        <v>1</v>
      </c>
      <c r="I1994" s="1">
        <f t="shared" si="159"/>
        <v>1</v>
      </c>
    </row>
    <row r="1995" spans="1:9" x14ac:dyDescent="0.3">
      <c r="A1995" s="26">
        <v>47285</v>
      </c>
      <c r="B1995" s="27">
        <f t="shared" si="155"/>
        <v>2029</v>
      </c>
      <c r="C1995" s="27">
        <f t="shared" si="156"/>
        <v>6</v>
      </c>
      <c r="D1995" s="27">
        <f t="shared" si="157"/>
        <v>16</v>
      </c>
      <c r="E1995" s="27">
        <f t="shared" si="158"/>
        <v>7</v>
      </c>
      <c r="F1995" s="27">
        <f>VLOOKUP(E1995,[1]t_calendarioPolitica!A:C,3,FALSE)</f>
        <v>2</v>
      </c>
      <c r="G1995" s="1">
        <v>1</v>
      </c>
      <c r="H1995" s="1">
        <v>1</v>
      </c>
      <c r="I1995" s="1">
        <f t="shared" si="159"/>
        <v>1</v>
      </c>
    </row>
    <row r="1996" spans="1:9" x14ac:dyDescent="0.3">
      <c r="A1996" s="26">
        <v>47286</v>
      </c>
      <c r="B1996" s="27">
        <f t="shared" si="155"/>
        <v>2029</v>
      </c>
      <c r="C1996" s="27">
        <f t="shared" si="156"/>
        <v>6</v>
      </c>
      <c r="D1996" s="27">
        <f t="shared" si="157"/>
        <v>17</v>
      </c>
      <c r="E1996" s="27">
        <f t="shared" si="158"/>
        <v>1</v>
      </c>
      <c r="F1996" s="27">
        <f>VLOOKUP(E1996,[1]t_calendarioPolitica!A:C,3,FALSE)</f>
        <v>0</v>
      </c>
      <c r="G1996" s="1">
        <v>1</v>
      </c>
      <c r="H1996" s="1">
        <v>1</v>
      </c>
      <c r="I1996" s="1">
        <f t="shared" si="159"/>
        <v>0</v>
      </c>
    </row>
    <row r="1997" spans="1:9" x14ac:dyDescent="0.3">
      <c r="A1997" s="26">
        <v>47287</v>
      </c>
      <c r="B1997" s="27">
        <f t="shared" si="155"/>
        <v>2029</v>
      </c>
      <c r="C1997" s="27">
        <f t="shared" si="156"/>
        <v>6</v>
      </c>
      <c r="D1997" s="27">
        <f t="shared" si="157"/>
        <v>18</v>
      </c>
      <c r="E1997" s="27">
        <f t="shared" si="158"/>
        <v>2</v>
      </c>
      <c r="F1997" s="27">
        <f>VLOOKUP(E1997,[1]t_calendarioPolitica!A:C,3,FALSE)</f>
        <v>1</v>
      </c>
      <c r="G1997" s="1">
        <v>1</v>
      </c>
      <c r="H1997" s="1">
        <v>1</v>
      </c>
      <c r="I1997" s="1">
        <f t="shared" si="159"/>
        <v>1</v>
      </c>
    </row>
    <row r="1998" spans="1:9" x14ac:dyDescent="0.3">
      <c r="A1998" s="26">
        <v>47288</v>
      </c>
      <c r="B1998" s="27">
        <f t="shared" si="155"/>
        <v>2029</v>
      </c>
      <c r="C1998" s="27">
        <f t="shared" si="156"/>
        <v>6</v>
      </c>
      <c r="D1998" s="27">
        <f t="shared" si="157"/>
        <v>19</v>
      </c>
      <c r="E1998" s="27">
        <f t="shared" si="158"/>
        <v>3</v>
      </c>
      <c r="F1998" s="27">
        <f>VLOOKUP(E1998,[1]t_calendarioPolitica!A:C,3,FALSE)</f>
        <v>1</v>
      </c>
      <c r="G1998" s="1">
        <v>1</v>
      </c>
      <c r="H1998" s="1">
        <v>1</v>
      </c>
      <c r="I1998" s="1">
        <f t="shared" si="159"/>
        <v>1</v>
      </c>
    </row>
    <row r="1999" spans="1:9" x14ac:dyDescent="0.3">
      <c r="A1999" s="26">
        <v>47289</v>
      </c>
      <c r="B1999" s="27">
        <f t="shared" si="155"/>
        <v>2029</v>
      </c>
      <c r="C1999" s="27">
        <f t="shared" si="156"/>
        <v>6</v>
      </c>
      <c r="D1999" s="27">
        <f t="shared" si="157"/>
        <v>20</v>
      </c>
      <c r="E1999" s="27">
        <f t="shared" si="158"/>
        <v>4</v>
      </c>
      <c r="F1999" s="27">
        <f>VLOOKUP(E1999,[1]t_calendarioPolitica!A:C,3,FALSE)</f>
        <v>1</v>
      </c>
      <c r="G1999" s="1">
        <v>1</v>
      </c>
      <c r="H1999" s="1">
        <v>1</v>
      </c>
      <c r="I1999" s="1">
        <f t="shared" si="159"/>
        <v>1</v>
      </c>
    </row>
    <row r="2000" spans="1:9" x14ac:dyDescent="0.3">
      <c r="A2000" s="26">
        <v>47290</v>
      </c>
      <c r="B2000" s="27">
        <f t="shared" si="155"/>
        <v>2029</v>
      </c>
      <c r="C2000" s="27">
        <f t="shared" si="156"/>
        <v>6</v>
      </c>
      <c r="D2000" s="27">
        <f t="shared" si="157"/>
        <v>21</v>
      </c>
      <c r="E2000" s="27">
        <f t="shared" si="158"/>
        <v>5</v>
      </c>
      <c r="F2000" s="27">
        <f>VLOOKUP(E2000,[1]t_calendarioPolitica!A:C,3,FALSE)</f>
        <v>1</v>
      </c>
      <c r="G2000" s="1">
        <v>1</v>
      </c>
      <c r="H2000" s="1">
        <v>1</v>
      </c>
      <c r="I2000" s="1">
        <f t="shared" si="159"/>
        <v>1</v>
      </c>
    </row>
    <row r="2001" spans="1:9" x14ac:dyDescent="0.3">
      <c r="A2001" s="26">
        <v>47291</v>
      </c>
      <c r="B2001" s="27">
        <f t="shared" si="155"/>
        <v>2029</v>
      </c>
      <c r="C2001" s="27">
        <f t="shared" si="156"/>
        <v>6</v>
      </c>
      <c r="D2001" s="27">
        <f t="shared" si="157"/>
        <v>22</v>
      </c>
      <c r="E2001" s="27">
        <f t="shared" si="158"/>
        <v>6</v>
      </c>
      <c r="F2001" s="27">
        <f>VLOOKUP(E2001,[1]t_calendarioPolitica!A:C,3,FALSE)</f>
        <v>1</v>
      </c>
      <c r="G2001" s="1">
        <v>1</v>
      </c>
      <c r="H2001" s="1">
        <v>1</v>
      </c>
      <c r="I2001" s="1">
        <f t="shared" si="159"/>
        <v>1</v>
      </c>
    </row>
    <row r="2002" spans="1:9" x14ac:dyDescent="0.3">
      <c r="A2002" s="26">
        <v>47292</v>
      </c>
      <c r="B2002" s="27">
        <f t="shared" si="155"/>
        <v>2029</v>
      </c>
      <c r="C2002" s="27">
        <f t="shared" si="156"/>
        <v>6</v>
      </c>
      <c r="D2002" s="27">
        <f t="shared" si="157"/>
        <v>23</v>
      </c>
      <c r="E2002" s="27">
        <f t="shared" si="158"/>
        <v>7</v>
      </c>
      <c r="F2002" s="27">
        <f>VLOOKUP(E2002,[1]t_calendarioPolitica!A:C,3,FALSE)</f>
        <v>2</v>
      </c>
      <c r="G2002" s="1">
        <v>1</v>
      </c>
      <c r="H2002" s="1">
        <v>1</v>
      </c>
      <c r="I2002" s="1">
        <f t="shared" si="159"/>
        <v>1</v>
      </c>
    </row>
    <row r="2003" spans="1:9" x14ac:dyDescent="0.3">
      <c r="A2003" s="26">
        <v>47293</v>
      </c>
      <c r="B2003" s="27">
        <f t="shared" si="155"/>
        <v>2029</v>
      </c>
      <c r="C2003" s="27">
        <f t="shared" si="156"/>
        <v>6</v>
      </c>
      <c r="D2003" s="27">
        <f t="shared" si="157"/>
        <v>24</v>
      </c>
      <c r="E2003" s="27">
        <f t="shared" si="158"/>
        <v>1</v>
      </c>
      <c r="F2003" s="27">
        <f>VLOOKUP(E2003,[1]t_calendarioPolitica!A:C,3,FALSE)</f>
        <v>0</v>
      </c>
      <c r="G2003" s="1">
        <v>1</v>
      </c>
      <c r="H2003" s="1">
        <v>1</v>
      </c>
      <c r="I2003" s="1">
        <f t="shared" si="159"/>
        <v>0</v>
      </c>
    </row>
    <row r="2004" spans="1:9" x14ac:dyDescent="0.3">
      <c r="A2004" s="26">
        <v>47294</v>
      </c>
      <c r="B2004" s="27">
        <f t="shared" si="155"/>
        <v>2029</v>
      </c>
      <c r="C2004" s="27">
        <f t="shared" si="156"/>
        <v>6</v>
      </c>
      <c r="D2004" s="27">
        <f t="shared" si="157"/>
        <v>25</v>
      </c>
      <c r="E2004" s="27">
        <f t="shared" si="158"/>
        <v>2</v>
      </c>
      <c r="F2004" s="27">
        <f>VLOOKUP(E2004,[1]t_calendarioPolitica!A:C,3,FALSE)</f>
        <v>1</v>
      </c>
      <c r="G2004" s="1">
        <v>1</v>
      </c>
      <c r="H2004" s="1">
        <v>1</v>
      </c>
      <c r="I2004" s="1">
        <f t="shared" si="159"/>
        <v>1</v>
      </c>
    </row>
    <row r="2005" spans="1:9" x14ac:dyDescent="0.3">
      <c r="A2005" s="26">
        <v>47295</v>
      </c>
      <c r="B2005" s="27">
        <f t="shared" si="155"/>
        <v>2029</v>
      </c>
      <c r="C2005" s="27">
        <f t="shared" si="156"/>
        <v>6</v>
      </c>
      <c r="D2005" s="27">
        <f t="shared" si="157"/>
        <v>26</v>
      </c>
      <c r="E2005" s="27">
        <f t="shared" si="158"/>
        <v>3</v>
      </c>
      <c r="F2005" s="27">
        <f>VLOOKUP(E2005,[1]t_calendarioPolitica!A:C,3,FALSE)</f>
        <v>1</v>
      </c>
      <c r="G2005" s="1">
        <v>1</v>
      </c>
      <c r="H2005" s="1">
        <v>1</v>
      </c>
      <c r="I2005" s="1">
        <f t="shared" si="159"/>
        <v>1</v>
      </c>
    </row>
    <row r="2006" spans="1:9" x14ac:dyDescent="0.3">
      <c r="A2006" s="26">
        <v>47296</v>
      </c>
      <c r="B2006" s="27">
        <f t="shared" si="155"/>
        <v>2029</v>
      </c>
      <c r="C2006" s="27">
        <f t="shared" si="156"/>
        <v>6</v>
      </c>
      <c r="D2006" s="27">
        <f t="shared" si="157"/>
        <v>27</v>
      </c>
      <c r="E2006" s="27">
        <f t="shared" si="158"/>
        <v>4</v>
      </c>
      <c r="F2006" s="27">
        <f>VLOOKUP(E2006,[1]t_calendarioPolitica!A:C,3,FALSE)</f>
        <v>1</v>
      </c>
      <c r="G2006" s="1">
        <v>1</v>
      </c>
      <c r="H2006" s="1">
        <v>1</v>
      </c>
      <c r="I2006" s="1">
        <f t="shared" si="159"/>
        <v>1</v>
      </c>
    </row>
    <row r="2007" spans="1:9" x14ac:dyDescent="0.3">
      <c r="A2007" s="26">
        <v>47297</v>
      </c>
      <c r="B2007" s="27">
        <f t="shared" si="155"/>
        <v>2029</v>
      </c>
      <c r="C2007" s="27">
        <f t="shared" si="156"/>
        <v>6</v>
      </c>
      <c r="D2007" s="27">
        <f t="shared" si="157"/>
        <v>28</v>
      </c>
      <c r="E2007" s="27">
        <f t="shared" si="158"/>
        <v>5</v>
      </c>
      <c r="F2007" s="27">
        <f>VLOOKUP(E2007,[1]t_calendarioPolitica!A:C,3,FALSE)</f>
        <v>1</v>
      </c>
      <c r="G2007" s="1">
        <v>1</v>
      </c>
      <c r="H2007" s="1">
        <v>1</v>
      </c>
      <c r="I2007" s="1">
        <f t="shared" si="159"/>
        <v>1</v>
      </c>
    </row>
    <row r="2008" spans="1:9" x14ac:dyDescent="0.3">
      <c r="A2008" s="26">
        <v>47298</v>
      </c>
      <c r="B2008" s="27">
        <f t="shared" si="155"/>
        <v>2029</v>
      </c>
      <c r="C2008" s="27">
        <f t="shared" si="156"/>
        <v>6</v>
      </c>
      <c r="D2008" s="27">
        <f t="shared" si="157"/>
        <v>29</v>
      </c>
      <c r="E2008" s="27">
        <f t="shared" si="158"/>
        <v>6</v>
      </c>
      <c r="F2008" s="27">
        <f>VLOOKUP(E2008,[1]t_calendarioPolitica!A:C,3,FALSE)</f>
        <v>1</v>
      </c>
      <c r="G2008" s="1">
        <v>1</v>
      </c>
      <c r="H2008" s="1">
        <v>1</v>
      </c>
      <c r="I2008" s="1">
        <f t="shared" si="159"/>
        <v>1</v>
      </c>
    </row>
    <row r="2009" spans="1:9" x14ac:dyDescent="0.3">
      <c r="A2009" s="26">
        <v>47299</v>
      </c>
      <c r="B2009" s="27">
        <f t="shared" si="155"/>
        <v>2029</v>
      </c>
      <c r="C2009" s="27">
        <f t="shared" si="156"/>
        <v>6</v>
      </c>
      <c r="D2009" s="27">
        <f t="shared" si="157"/>
        <v>30</v>
      </c>
      <c r="E2009" s="27">
        <f t="shared" si="158"/>
        <v>7</v>
      </c>
      <c r="F2009" s="27">
        <f>VLOOKUP(E2009,[1]t_calendarioPolitica!A:C,3,FALSE)</f>
        <v>2</v>
      </c>
      <c r="G2009" s="1">
        <v>1</v>
      </c>
      <c r="H2009" s="1">
        <v>1</v>
      </c>
      <c r="I2009" s="1">
        <f t="shared" si="159"/>
        <v>1</v>
      </c>
    </row>
    <row r="2010" spans="1:9" x14ac:dyDescent="0.3">
      <c r="A2010" s="26">
        <v>47300</v>
      </c>
      <c r="B2010" s="27">
        <f t="shared" si="155"/>
        <v>2029</v>
      </c>
      <c r="C2010" s="27">
        <f t="shared" si="156"/>
        <v>7</v>
      </c>
      <c r="D2010" s="27">
        <f t="shared" si="157"/>
        <v>1</v>
      </c>
      <c r="E2010" s="27">
        <f t="shared" si="158"/>
        <v>1</v>
      </c>
      <c r="F2010" s="27">
        <f>VLOOKUP(E2010,[1]t_calendarioPolitica!A:C,3,FALSE)</f>
        <v>0</v>
      </c>
      <c r="G2010" s="1">
        <v>1</v>
      </c>
      <c r="H2010" s="1">
        <v>1</v>
      </c>
      <c r="I2010" s="1">
        <f t="shared" si="159"/>
        <v>0</v>
      </c>
    </row>
    <row r="2011" spans="1:9" x14ac:dyDescent="0.3">
      <c r="A2011" s="26">
        <v>47301</v>
      </c>
      <c r="B2011" s="27">
        <f t="shared" si="155"/>
        <v>2029</v>
      </c>
      <c r="C2011" s="27">
        <f t="shared" si="156"/>
        <v>7</v>
      </c>
      <c r="D2011" s="27">
        <f t="shared" si="157"/>
        <v>2</v>
      </c>
      <c r="E2011" s="27">
        <f t="shared" si="158"/>
        <v>2</v>
      </c>
      <c r="F2011" s="27">
        <f>VLOOKUP(E2011,[1]t_calendarioPolitica!A:C,3,FALSE)</f>
        <v>1</v>
      </c>
      <c r="G2011" s="1">
        <v>1</v>
      </c>
      <c r="H2011" s="1">
        <v>1</v>
      </c>
      <c r="I2011" s="1">
        <f t="shared" si="159"/>
        <v>1</v>
      </c>
    </row>
    <row r="2012" spans="1:9" x14ac:dyDescent="0.3">
      <c r="A2012" s="26">
        <v>47302</v>
      </c>
      <c r="B2012" s="27">
        <f t="shared" si="155"/>
        <v>2029</v>
      </c>
      <c r="C2012" s="27">
        <f t="shared" si="156"/>
        <v>7</v>
      </c>
      <c r="D2012" s="27">
        <f t="shared" si="157"/>
        <v>3</v>
      </c>
      <c r="E2012" s="27">
        <f t="shared" si="158"/>
        <v>3</v>
      </c>
      <c r="F2012" s="27">
        <f>VLOOKUP(E2012,[1]t_calendarioPolitica!A:C,3,FALSE)</f>
        <v>1</v>
      </c>
      <c r="G2012" s="1">
        <v>1</v>
      </c>
      <c r="H2012" s="1">
        <v>1</v>
      </c>
      <c r="I2012" s="1">
        <f t="shared" si="159"/>
        <v>1</v>
      </c>
    </row>
    <row r="2013" spans="1:9" x14ac:dyDescent="0.3">
      <c r="A2013" s="26">
        <v>47303</v>
      </c>
      <c r="B2013" s="27">
        <f t="shared" si="155"/>
        <v>2029</v>
      </c>
      <c r="C2013" s="27">
        <f t="shared" si="156"/>
        <v>7</v>
      </c>
      <c r="D2013" s="27">
        <f t="shared" si="157"/>
        <v>4</v>
      </c>
      <c r="E2013" s="27">
        <f t="shared" si="158"/>
        <v>4</v>
      </c>
      <c r="F2013" s="27">
        <f>VLOOKUP(E2013,[1]t_calendarioPolitica!A:C,3,FALSE)</f>
        <v>1</v>
      </c>
      <c r="G2013" s="1">
        <v>1</v>
      </c>
      <c r="H2013" s="1">
        <v>1</v>
      </c>
      <c r="I2013" s="1">
        <f t="shared" si="159"/>
        <v>1</v>
      </c>
    </row>
    <row r="2014" spans="1:9" x14ac:dyDescent="0.3">
      <c r="A2014" s="26">
        <v>47304</v>
      </c>
      <c r="B2014" s="27">
        <f t="shared" si="155"/>
        <v>2029</v>
      </c>
      <c r="C2014" s="27">
        <f t="shared" si="156"/>
        <v>7</v>
      </c>
      <c r="D2014" s="27">
        <f t="shared" si="157"/>
        <v>5</v>
      </c>
      <c r="E2014" s="27">
        <f t="shared" si="158"/>
        <v>5</v>
      </c>
      <c r="F2014" s="27">
        <f>VLOOKUP(E2014,[1]t_calendarioPolitica!A:C,3,FALSE)</f>
        <v>1</v>
      </c>
      <c r="G2014" s="1">
        <v>1</v>
      </c>
      <c r="H2014" s="1">
        <v>1</v>
      </c>
      <c r="I2014" s="1">
        <f t="shared" si="159"/>
        <v>1</v>
      </c>
    </row>
    <row r="2015" spans="1:9" x14ac:dyDescent="0.3">
      <c r="A2015" s="26">
        <v>47305</v>
      </c>
      <c r="B2015" s="27">
        <f t="shared" si="155"/>
        <v>2029</v>
      </c>
      <c r="C2015" s="27">
        <f t="shared" si="156"/>
        <v>7</v>
      </c>
      <c r="D2015" s="27">
        <f t="shared" si="157"/>
        <v>6</v>
      </c>
      <c r="E2015" s="27">
        <f t="shared" si="158"/>
        <v>6</v>
      </c>
      <c r="F2015" s="27">
        <f>VLOOKUP(E2015,[1]t_calendarioPolitica!A:C,3,FALSE)</f>
        <v>1</v>
      </c>
      <c r="G2015" s="1">
        <v>1</v>
      </c>
      <c r="H2015" s="1">
        <v>1</v>
      </c>
      <c r="I2015" s="1">
        <f t="shared" si="159"/>
        <v>1</v>
      </c>
    </row>
    <row r="2016" spans="1:9" x14ac:dyDescent="0.3">
      <c r="A2016" s="26">
        <v>47306</v>
      </c>
      <c r="B2016" s="27">
        <f t="shared" si="155"/>
        <v>2029</v>
      </c>
      <c r="C2016" s="27">
        <f t="shared" si="156"/>
        <v>7</v>
      </c>
      <c r="D2016" s="27">
        <f t="shared" si="157"/>
        <v>7</v>
      </c>
      <c r="E2016" s="27">
        <f t="shared" si="158"/>
        <v>7</v>
      </c>
      <c r="F2016" s="27">
        <f>VLOOKUP(E2016,[1]t_calendarioPolitica!A:C,3,FALSE)</f>
        <v>2</v>
      </c>
      <c r="G2016" s="1">
        <v>1</v>
      </c>
      <c r="H2016" s="1">
        <v>1</v>
      </c>
      <c r="I2016" s="1">
        <f t="shared" si="159"/>
        <v>1</v>
      </c>
    </row>
    <row r="2017" spans="1:9" x14ac:dyDescent="0.3">
      <c r="A2017" s="26">
        <v>47307</v>
      </c>
      <c r="B2017" s="27">
        <f t="shared" si="155"/>
        <v>2029</v>
      </c>
      <c r="C2017" s="27">
        <f t="shared" si="156"/>
        <v>7</v>
      </c>
      <c r="D2017" s="27">
        <f t="shared" si="157"/>
        <v>8</v>
      </c>
      <c r="E2017" s="27">
        <f t="shared" si="158"/>
        <v>1</v>
      </c>
      <c r="F2017" s="27">
        <f>VLOOKUP(E2017,[1]t_calendarioPolitica!A:C,3,FALSE)</f>
        <v>0</v>
      </c>
      <c r="G2017" s="1">
        <v>1</v>
      </c>
      <c r="H2017" s="1">
        <v>1</v>
      </c>
      <c r="I2017" s="1">
        <f t="shared" si="159"/>
        <v>0</v>
      </c>
    </row>
    <row r="2018" spans="1:9" x14ac:dyDescent="0.3">
      <c r="A2018" s="26">
        <v>47308</v>
      </c>
      <c r="B2018" s="27">
        <f t="shared" si="155"/>
        <v>2029</v>
      </c>
      <c r="C2018" s="27">
        <f t="shared" si="156"/>
        <v>7</v>
      </c>
      <c r="D2018" s="27">
        <f t="shared" si="157"/>
        <v>9</v>
      </c>
      <c r="E2018" s="27">
        <f t="shared" si="158"/>
        <v>2</v>
      </c>
      <c r="F2018" s="27">
        <f>VLOOKUP(E2018,[1]t_calendarioPolitica!A:C,3,FALSE)</f>
        <v>1</v>
      </c>
      <c r="G2018" s="1">
        <v>1</v>
      </c>
      <c r="H2018" s="1">
        <v>1</v>
      </c>
      <c r="I2018" s="1">
        <f t="shared" si="159"/>
        <v>1</v>
      </c>
    </row>
    <row r="2019" spans="1:9" x14ac:dyDescent="0.3">
      <c r="A2019" s="26">
        <v>47309</v>
      </c>
      <c r="B2019" s="27">
        <f t="shared" si="155"/>
        <v>2029</v>
      </c>
      <c r="C2019" s="27">
        <f t="shared" si="156"/>
        <v>7</v>
      </c>
      <c r="D2019" s="27">
        <f t="shared" si="157"/>
        <v>10</v>
      </c>
      <c r="E2019" s="27">
        <f t="shared" si="158"/>
        <v>3</v>
      </c>
      <c r="F2019" s="27">
        <f>VLOOKUP(E2019,[1]t_calendarioPolitica!A:C,3,FALSE)</f>
        <v>1</v>
      </c>
      <c r="G2019" s="1">
        <v>1</v>
      </c>
      <c r="H2019" s="1">
        <v>1</v>
      </c>
      <c r="I2019" s="1">
        <f t="shared" si="159"/>
        <v>1</v>
      </c>
    </row>
    <row r="2020" spans="1:9" x14ac:dyDescent="0.3">
      <c r="A2020" s="26">
        <v>47310</v>
      </c>
      <c r="B2020" s="27">
        <f t="shared" si="155"/>
        <v>2029</v>
      </c>
      <c r="C2020" s="27">
        <f t="shared" si="156"/>
        <v>7</v>
      </c>
      <c r="D2020" s="27">
        <f t="shared" si="157"/>
        <v>11</v>
      </c>
      <c r="E2020" s="27">
        <f t="shared" si="158"/>
        <v>4</v>
      </c>
      <c r="F2020" s="27">
        <f>VLOOKUP(E2020,[1]t_calendarioPolitica!A:C,3,FALSE)</f>
        <v>1</v>
      </c>
      <c r="G2020" s="1">
        <v>1</v>
      </c>
      <c r="H2020" s="1">
        <v>1</v>
      </c>
      <c r="I2020" s="1">
        <f t="shared" si="159"/>
        <v>1</v>
      </c>
    </row>
    <row r="2021" spans="1:9" x14ac:dyDescent="0.3">
      <c r="A2021" s="26">
        <v>47311</v>
      </c>
      <c r="B2021" s="27">
        <f t="shared" si="155"/>
        <v>2029</v>
      </c>
      <c r="C2021" s="27">
        <f t="shared" si="156"/>
        <v>7</v>
      </c>
      <c r="D2021" s="27">
        <f t="shared" si="157"/>
        <v>12</v>
      </c>
      <c r="E2021" s="27">
        <f t="shared" si="158"/>
        <v>5</v>
      </c>
      <c r="F2021" s="27">
        <f>VLOOKUP(E2021,[1]t_calendarioPolitica!A:C,3,FALSE)</f>
        <v>1</v>
      </c>
      <c r="G2021" s="1">
        <v>1</v>
      </c>
      <c r="H2021" s="1">
        <v>1</v>
      </c>
      <c r="I2021" s="1">
        <f t="shared" si="159"/>
        <v>1</v>
      </c>
    </row>
    <row r="2022" spans="1:9" x14ac:dyDescent="0.3">
      <c r="A2022" s="26">
        <v>47312</v>
      </c>
      <c r="B2022" s="27">
        <f t="shared" si="155"/>
        <v>2029</v>
      </c>
      <c r="C2022" s="27">
        <f t="shared" si="156"/>
        <v>7</v>
      </c>
      <c r="D2022" s="27">
        <f t="shared" si="157"/>
        <v>13</v>
      </c>
      <c r="E2022" s="27">
        <f t="shared" si="158"/>
        <v>6</v>
      </c>
      <c r="F2022" s="27">
        <f>VLOOKUP(E2022,[1]t_calendarioPolitica!A:C,3,FALSE)</f>
        <v>1</v>
      </c>
      <c r="G2022" s="1">
        <v>1</v>
      </c>
      <c r="H2022" s="1">
        <v>1</v>
      </c>
      <c r="I2022" s="1">
        <f t="shared" si="159"/>
        <v>1</v>
      </c>
    </row>
    <row r="2023" spans="1:9" x14ac:dyDescent="0.3">
      <c r="A2023" s="26">
        <v>47313</v>
      </c>
      <c r="B2023" s="27">
        <f t="shared" si="155"/>
        <v>2029</v>
      </c>
      <c r="C2023" s="27">
        <f t="shared" si="156"/>
        <v>7</v>
      </c>
      <c r="D2023" s="27">
        <f t="shared" si="157"/>
        <v>14</v>
      </c>
      <c r="E2023" s="27">
        <f t="shared" si="158"/>
        <v>7</v>
      </c>
      <c r="F2023" s="27">
        <f>VLOOKUP(E2023,[1]t_calendarioPolitica!A:C,3,FALSE)</f>
        <v>2</v>
      </c>
      <c r="G2023" s="1">
        <v>1</v>
      </c>
      <c r="H2023" s="1">
        <v>1</v>
      </c>
      <c r="I2023" s="1">
        <f t="shared" si="159"/>
        <v>1</v>
      </c>
    </row>
    <row r="2024" spans="1:9" x14ac:dyDescent="0.3">
      <c r="A2024" s="26">
        <v>47314</v>
      </c>
      <c r="B2024" s="27">
        <f t="shared" si="155"/>
        <v>2029</v>
      </c>
      <c r="C2024" s="27">
        <f t="shared" si="156"/>
        <v>7</v>
      </c>
      <c r="D2024" s="27">
        <f t="shared" si="157"/>
        <v>15</v>
      </c>
      <c r="E2024" s="27">
        <f t="shared" si="158"/>
        <v>1</v>
      </c>
      <c r="F2024" s="27">
        <f>VLOOKUP(E2024,[1]t_calendarioPolitica!A:C,3,FALSE)</f>
        <v>0</v>
      </c>
      <c r="G2024" s="1">
        <v>1</v>
      </c>
      <c r="H2024" s="1">
        <v>1</v>
      </c>
      <c r="I2024" s="1">
        <f t="shared" si="159"/>
        <v>0</v>
      </c>
    </row>
    <row r="2025" spans="1:9" x14ac:dyDescent="0.3">
      <c r="A2025" s="26">
        <v>47315</v>
      </c>
      <c r="B2025" s="27">
        <f t="shared" si="155"/>
        <v>2029</v>
      </c>
      <c r="C2025" s="27">
        <f t="shared" si="156"/>
        <v>7</v>
      </c>
      <c r="D2025" s="27">
        <f t="shared" si="157"/>
        <v>16</v>
      </c>
      <c r="E2025" s="27">
        <f t="shared" si="158"/>
        <v>2</v>
      </c>
      <c r="F2025" s="27">
        <f>VLOOKUP(E2025,[1]t_calendarioPolitica!A:C,3,FALSE)</f>
        <v>1</v>
      </c>
      <c r="G2025" s="1">
        <v>1</v>
      </c>
      <c r="H2025" s="1">
        <v>1</v>
      </c>
      <c r="I2025" s="1">
        <f t="shared" si="159"/>
        <v>1</v>
      </c>
    </row>
    <row r="2026" spans="1:9" x14ac:dyDescent="0.3">
      <c r="A2026" s="26">
        <v>47316</v>
      </c>
      <c r="B2026" s="27">
        <f t="shared" si="155"/>
        <v>2029</v>
      </c>
      <c r="C2026" s="27">
        <f t="shared" si="156"/>
        <v>7</v>
      </c>
      <c r="D2026" s="27">
        <f t="shared" si="157"/>
        <v>17</v>
      </c>
      <c r="E2026" s="27">
        <f t="shared" si="158"/>
        <v>3</v>
      </c>
      <c r="F2026" s="27">
        <f>VLOOKUP(E2026,[1]t_calendarioPolitica!A:C,3,FALSE)</f>
        <v>1</v>
      </c>
      <c r="G2026" s="1">
        <v>1</v>
      </c>
      <c r="H2026" s="1">
        <v>1</v>
      </c>
      <c r="I2026" s="1">
        <f t="shared" si="159"/>
        <v>1</v>
      </c>
    </row>
    <row r="2027" spans="1:9" x14ac:dyDescent="0.3">
      <c r="A2027" s="26">
        <v>47317</v>
      </c>
      <c r="B2027" s="27">
        <f t="shared" si="155"/>
        <v>2029</v>
      </c>
      <c r="C2027" s="27">
        <f t="shared" si="156"/>
        <v>7</v>
      </c>
      <c r="D2027" s="27">
        <f t="shared" si="157"/>
        <v>18</v>
      </c>
      <c r="E2027" s="27">
        <f t="shared" si="158"/>
        <v>4</v>
      </c>
      <c r="F2027" s="27">
        <f>VLOOKUP(E2027,[1]t_calendarioPolitica!A:C,3,FALSE)</f>
        <v>1</v>
      </c>
      <c r="G2027" s="1">
        <v>1</v>
      </c>
      <c r="H2027" s="1">
        <v>1</v>
      </c>
      <c r="I2027" s="1">
        <f t="shared" si="159"/>
        <v>1</v>
      </c>
    </row>
    <row r="2028" spans="1:9" x14ac:dyDescent="0.3">
      <c r="A2028" s="26">
        <v>47318</v>
      </c>
      <c r="B2028" s="27">
        <f t="shared" si="155"/>
        <v>2029</v>
      </c>
      <c r="C2028" s="27">
        <f t="shared" si="156"/>
        <v>7</v>
      </c>
      <c r="D2028" s="27">
        <f t="shared" si="157"/>
        <v>19</v>
      </c>
      <c r="E2028" s="27">
        <f t="shared" si="158"/>
        <v>5</v>
      </c>
      <c r="F2028" s="27">
        <f>VLOOKUP(E2028,[1]t_calendarioPolitica!A:C,3,FALSE)</f>
        <v>1</v>
      </c>
      <c r="G2028" s="1">
        <v>1</v>
      </c>
      <c r="H2028" s="1">
        <v>1</v>
      </c>
      <c r="I2028" s="1">
        <f t="shared" si="159"/>
        <v>1</v>
      </c>
    </row>
    <row r="2029" spans="1:9" x14ac:dyDescent="0.3">
      <c r="A2029" s="26">
        <v>47319</v>
      </c>
      <c r="B2029" s="27">
        <f t="shared" si="155"/>
        <v>2029</v>
      </c>
      <c r="C2029" s="27">
        <f t="shared" si="156"/>
        <v>7</v>
      </c>
      <c r="D2029" s="27">
        <f t="shared" si="157"/>
        <v>20</v>
      </c>
      <c r="E2029" s="27">
        <f t="shared" si="158"/>
        <v>6</v>
      </c>
      <c r="F2029" s="27">
        <f>VLOOKUP(E2029,[1]t_calendarioPolitica!A:C,3,FALSE)</f>
        <v>1</v>
      </c>
      <c r="G2029" s="1">
        <v>1</v>
      </c>
      <c r="H2029" s="1">
        <v>1</v>
      </c>
      <c r="I2029" s="1">
        <f t="shared" si="159"/>
        <v>1</v>
      </c>
    </row>
    <row r="2030" spans="1:9" x14ac:dyDescent="0.3">
      <c r="A2030" s="26">
        <v>47320</v>
      </c>
      <c r="B2030" s="27">
        <f t="shared" si="155"/>
        <v>2029</v>
      </c>
      <c r="C2030" s="27">
        <f t="shared" si="156"/>
        <v>7</v>
      </c>
      <c r="D2030" s="27">
        <f t="shared" si="157"/>
        <v>21</v>
      </c>
      <c r="E2030" s="27">
        <f t="shared" si="158"/>
        <v>7</v>
      </c>
      <c r="F2030" s="27">
        <f>VLOOKUP(E2030,[1]t_calendarioPolitica!A:C,3,FALSE)</f>
        <v>2</v>
      </c>
      <c r="G2030" s="1">
        <v>1</v>
      </c>
      <c r="H2030" s="1">
        <v>1</v>
      </c>
      <c r="I2030" s="1">
        <f t="shared" si="159"/>
        <v>1</v>
      </c>
    </row>
    <row r="2031" spans="1:9" x14ac:dyDescent="0.3">
      <c r="A2031" s="26">
        <v>47321</v>
      </c>
      <c r="B2031" s="27">
        <f t="shared" si="155"/>
        <v>2029</v>
      </c>
      <c r="C2031" s="27">
        <f t="shared" si="156"/>
        <v>7</v>
      </c>
      <c r="D2031" s="27">
        <f t="shared" si="157"/>
        <v>22</v>
      </c>
      <c r="E2031" s="27">
        <f t="shared" si="158"/>
        <v>1</v>
      </c>
      <c r="F2031" s="27">
        <f>VLOOKUP(E2031,[1]t_calendarioPolitica!A:C,3,FALSE)</f>
        <v>0</v>
      </c>
      <c r="G2031" s="1">
        <v>1</v>
      </c>
      <c r="H2031" s="1">
        <v>1</v>
      </c>
      <c r="I2031" s="1">
        <f t="shared" si="159"/>
        <v>0</v>
      </c>
    </row>
    <row r="2032" spans="1:9" x14ac:dyDescent="0.3">
      <c r="A2032" s="26">
        <v>47322</v>
      </c>
      <c r="B2032" s="27">
        <f t="shared" si="155"/>
        <v>2029</v>
      </c>
      <c r="C2032" s="27">
        <f t="shared" si="156"/>
        <v>7</v>
      </c>
      <c r="D2032" s="27">
        <f t="shared" si="157"/>
        <v>23</v>
      </c>
      <c r="E2032" s="27">
        <f t="shared" si="158"/>
        <v>2</v>
      </c>
      <c r="F2032" s="27">
        <f>VLOOKUP(E2032,[1]t_calendarioPolitica!A:C,3,FALSE)</f>
        <v>1</v>
      </c>
      <c r="G2032" s="1">
        <v>1</v>
      </c>
      <c r="H2032" s="1">
        <v>1</v>
      </c>
      <c r="I2032" s="1">
        <f t="shared" si="159"/>
        <v>1</v>
      </c>
    </row>
    <row r="2033" spans="1:9" x14ac:dyDescent="0.3">
      <c r="A2033" s="26">
        <v>47323</v>
      </c>
      <c r="B2033" s="27">
        <f t="shared" si="155"/>
        <v>2029</v>
      </c>
      <c r="C2033" s="27">
        <f t="shared" si="156"/>
        <v>7</v>
      </c>
      <c r="D2033" s="27">
        <f t="shared" si="157"/>
        <v>24</v>
      </c>
      <c r="E2033" s="27">
        <f t="shared" si="158"/>
        <v>3</v>
      </c>
      <c r="F2033" s="27">
        <f>VLOOKUP(E2033,[1]t_calendarioPolitica!A:C,3,FALSE)</f>
        <v>1</v>
      </c>
      <c r="G2033" s="1">
        <v>1</v>
      </c>
      <c r="H2033" s="1">
        <v>1</v>
      </c>
      <c r="I2033" s="1">
        <f t="shared" si="159"/>
        <v>1</v>
      </c>
    </row>
    <row r="2034" spans="1:9" x14ac:dyDescent="0.3">
      <c r="A2034" s="26">
        <v>47324</v>
      </c>
      <c r="B2034" s="27">
        <f t="shared" si="155"/>
        <v>2029</v>
      </c>
      <c r="C2034" s="27">
        <f t="shared" si="156"/>
        <v>7</v>
      </c>
      <c r="D2034" s="27">
        <f t="shared" si="157"/>
        <v>25</v>
      </c>
      <c r="E2034" s="27">
        <f t="shared" si="158"/>
        <v>4</v>
      </c>
      <c r="F2034" s="27">
        <f>VLOOKUP(E2034,[1]t_calendarioPolitica!A:C,3,FALSE)</f>
        <v>1</v>
      </c>
      <c r="G2034" s="1">
        <v>1</v>
      </c>
      <c r="H2034" s="1">
        <v>1</v>
      </c>
      <c r="I2034" s="1">
        <f t="shared" si="159"/>
        <v>1</v>
      </c>
    </row>
    <row r="2035" spans="1:9" x14ac:dyDescent="0.3">
      <c r="A2035" s="26">
        <v>47325</v>
      </c>
      <c r="B2035" s="27">
        <f t="shared" si="155"/>
        <v>2029</v>
      </c>
      <c r="C2035" s="27">
        <f t="shared" si="156"/>
        <v>7</v>
      </c>
      <c r="D2035" s="27">
        <f t="shared" si="157"/>
        <v>26</v>
      </c>
      <c r="E2035" s="27">
        <f t="shared" si="158"/>
        <v>5</v>
      </c>
      <c r="F2035" s="27">
        <f>VLOOKUP(E2035,[1]t_calendarioPolitica!A:C,3,FALSE)</f>
        <v>1</v>
      </c>
      <c r="G2035" s="1">
        <v>1</v>
      </c>
      <c r="H2035" s="1">
        <v>1</v>
      </c>
      <c r="I2035" s="1">
        <f t="shared" si="159"/>
        <v>1</v>
      </c>
    </row>
    <row r="2036" spans="1:9" x14ac:dyDescent="0.3">
      <c r="A2036" s="26">
        <v>47326</v>
      </c>
      <c r="B2036" s="27">
        <f t="shared" si="155"/>
        <v>2029</v>
      </c>
      <c r="C2036" s="27">
        <f t="shared" si="156"/>
        <v>7</v>
      </c>
      <c r="D2036" s="27">
        <f t="shared" si="157"/>
        <v>27</v>
      </c>
      <c r="E2036" s="27">
        <f t="shared" si="158"/>
        <v>6</v>
      </c>
      <c r="F2036" s="27">
        <f>VLOOKUP(E2036,[1]t_calendarioPolitica!A:C,3,FALSE)</f>
        <v>1</v>
      </c>
      <c r="G2036" s="1">
        <v>1</v>
      </c>
      <c r="H2036" s="1">
        <v>1</v>
      </c>
      <c r="I2036" s="1">
        <f t="shared" si="159"/>
        <v>1</v>
      </c>
    </row>
    <row r="2037" spans="1:9" x14ac:dyDescent="0.3">
      <c r="A2037" s="26">
        <v>47327</v>
      </c>
      <c r="B2037" s="27">
        <f t="shared" si="155"/>
        <v>2029</v>
      </c>
      <c r="C2037" s="27">
        <f t="shared" si="156"/>
        <v>7</v>
      </c>
      <c r="D2037" s="27">
        <f t="shared" si="157"/>
        <v>28</v>
      </c>
      <c r="E2037" s="27">
        <f t="shared" si="158"/>
        <v>7</v>
      </c>
      <c r="F2037" s="27">
        <f>VLOOKUP(E2037,[1]t_calendarioPolitica!A:C,3,FALSE)</f>
        <v>2</v>
      </c>
      <c r="G2037" s="1">
        <v>1</v>
      </c>
      <c r="H2037" s="1">
        <v>1</v>
      </c>
      <c r="I2037" s="1">
        <f t="shared" si="159"/>
        <v>1</v>
      </c>
    </row>
    <row r="2038" spans="1:9" x14ac:dyDescent="0.3">
      <c r="A2038" s="26">
        <v>47328</v>
      </c>
      <c r="B2038" s="27">
        <f t="shared" si="155"/>
        <v>2029</v>
      </c>
      <c r="C2038" s="27">
        <f t="shared" si="156"/>
        <v>7</v>
      </c>
      <c r="D2038" s="27">
        <f t="shared" si="157"/>
        <v>29</v>
      </c>
      <c r="E2038" s="27">
        <f t="shared" si="158"/>
        <v>1</v>
      </c>
      <c r="F2038" s="27">
        <f>VLOOKUP(E2038,[1]t_calendarioPolitica!A:C,3,FALSE)</f>
        <v>0</v>
      </c>
      <c r="G2038" s="1">
        <v>1</v>
      </c>
      <c r="H2038" s="1">
        <v>1</v>
      </c>
      <c r="I2038" s="1">
        <f t="shared" si="159"/>
        <v>0</v>
      </c>
    </row>
    <row r="2039" spans="1:9" x14ac:dyDescent="0.3">
      <c r="A2039" s="26">
        <v>47329</v>
      </c>
      <c r="B2039" s="27">
        <f t="shared" si="155"/>
        <v>2029</v>
      </c>
      <c r="C2039" s="27">
        <f t="shared" si="156"/>
        <v>7</v>
      </c>
      <c r="D2039" s="27">
        <f t="shared" si="157"/>
        <v>30</v>
      </c>
      <c r="E2039" s="27">
        <f t="shared" si="158"/>
        <v>2</v>
      </c>
      <c r="F2039" s="27">
        <f>VLOOKUP(E2039,[1]t_calendarioPolitica!A:C,3,FALSE)</f>
        <v>1</v>
      </c>
      <c r="G2039" s="1">
        <v>1</v>
      </c>
      <c r="H2039" s="1">
        <v>1</v>
      </c>
      <c r="I2039" s="1">
        <f t="shared" si="159"/>
        <v>1</v>
      </c>
    </row>
    <row r="2040" spans="1:9" x14ac:dyDescent="0.3">
      <c r="A2040" s="26">
        <v>47330</v>
      </c>
      <c r="B2040" s="27">
        <f t="shared" si="155"/>
        <v>2029</v>
      </c>
      <c r="C2040" s="27">
        <f t="shared" si="156"/>
        <v>7</v>
      </c>
      <c r="D2040" s="27">
        <f t="shared" si="157"/>
        <v>31</v>
      </c>
      <c r="E2040" s="27">
        <f t="shared" si="158"/>
        <v>3</v>
      </c>
      <c r="F2040" s="27">
        <f>VLOOKUP(E2040,[1]t_calendarioPolitica!A:C,3,FALSE)</f>
        <v>1</v>
      </c>
      <c r="G2040" s="1">
        <v>1</v>
      </c>
      <c r="H2040" s="1">
        <v>1</v>
      </c>
      <c r="I2040" s="1">
        <f t="shared" si="159"/>
        <v>1</v>
      </c>
    </row>
    <row r="2041" spans="1:9" x14ac:dyDescent="0.3">
      <c r="A2041" s="26">
        <v>47331</v>
      </c>
      <c r="B2041" s="27">
        <f t="shared" si="155"/>
        <v>2029</v>
      </c>
      <c r="C2041" s="27">
        <f t="shared" si="156"/>
        <v>8</v>
      </c>
      <c r="D2041" s="27">
        <f t="shared" si="157"/>
        <v>1</v>
      </c>
      <c r="E2041" s="27">
        <f t="shared" si="158"/>
        <v>4</v>
      </c>
      <c r="F2041" s="27">
        <f>VLOOKUP(E2041,[1]t_calendarioPolitica!A:C,3,FALSE)</f>
        <v>1</v>
      </c>
      <c r="G2041" s="1">
        <v>1</v>
      </c>
      <c r="H2041" s="1">
        <v>1</v>
      </c>
      <c r="I2041" s="1">
        <f t="shared" si="159"/>
        <v>1</v>
      </c>
    </row>
    <row r="2042" spans="1:9" x14ac:dyDescent="0.3">
      <c r="A2042" s="26">
        <v>47332</v>
      </c>
      <c r="B2042" s="27">
        <f t="shared" si="155"/>
        <v>2029</v>
      </c>
      <c r="C2042" s="27">
        <f t="shared" si="156"/>
        <v>8</v>
      </c>
      <c r="D2042" s="27">
        <f t="shared" si="157"/>
        <v>2</v>
      </c>
      <c r="E2042" s="27">
        <f t="shared" si="158"/>
        <v>5</v>
      </c>
      <c r="F2042" s="27">
        <f>VLOOKUP(E2042,[1]t_calendarioPolitica!A:C,3,FALSE)</f>
        <v>1</v>
      </c>
      <c r="G2042" s="1">
        <v>1</v>
      </c>
      <c r="H2042" s="1">
        <v>1</v>
      </c>
      <c r="I2042" s="1">
        <f t="shared" si="159"/>
        <v>1</v>
      </c>
    </row>
    <row r="2043" spans="1:9" x14ac:dyDescent="0.3">
      <c r="A2043" s="26">
        <v>47333</v>
      </c>
      <c r="B2043" s="27">
        <f t="shared" si="155"/>
        <v>2029</v>
      </c>
      <c r="C2043" s="27">
        <f t="shared" si="156"/>
        <v>8</v>
      </c>
      <c r="D2043" s="27">
        <f t="shared" si="157"/>
        <v>3</v>
      </c>
      <c r="E2043" s="27">
        <f t="shared" si="158"/>
        <v>6</v>
      </c>
      <c r="F2043" s="27">
        <f>VLOOKUP(E2043,[1]t_calendarioPolitica!A:C,3,FALSE)</f>
        <v>1</v>
      </c>
      <c r="G2043" s="1">
        <v>1</v>
      </c>
      <c r="H2043" s="1">
        <v>1</v>
      </c>
      <c r="I2043" s="1">
        <f t="shared" si="159"/>
        <v>1</v>
      </c>
    </row>
    <row r="2044" spans="1:9" x14ac:dyDescent="0.3">
      <c r="A2044" s="26">
        <v>47334</v>
      </c>
      <c r="B2044" s="27">
        <f t="shared" si="155"/>
        <v>2029</v>
      </c>
      <c r="C2044" s="27">
        <f t="shared" si="156"/>
        <v>8</v>
      </c>
      <c r="D2044" s="27">
        <f t="shared" si="157"/>
        <v>4</v>
      </c>
      <c r="E2044" s="27">
        <f t="shared" si="158"/>
        <v>7</v>
      </c>
      <c r="F2044" s="27">
        <f>VLOOKUP(E2044,[1]t_calendarioPolitica!A:C,3,FALSE)</f>
        <v>2</v>
      </c>
      <c r="G2044" s="1">
        <v>1</v>
      </c>
      <c r="H2044" s="1">
        <v>1</v>
      </c>
      <c r="I2044" s="1">
        <f t="shared" si="159"/>
        <v>1</v>
      </c>
    </row>
    <row r="2045" spans="1:9" x14ac:dyDescent="0.3">
      <c r="A2045" s="26">
        <v>47335</v>
      </c>
      <c r="B2045" s="27">
        <f t="shared" si="155"/>
        <v>2029</v>
      </c>
      <c r="C2045" s="27">
        <f t="shared" si="156"/>
        <v>8</v>
      </c>
      <c r="D2045" s="27">
        <f t="shared" si="157"/>
        <v>5</v>
      </c>
      <c r="E2045" s="27">
        <f t="shared" si="158"/>
        <v>1</v>
      </c>
      <c r="F2045" s="27">
        <f>VLOOKUP(E2045,[1]t_calendarioPolitica!A:C,3,FALSE)</f>
        <v>0</v>
      </c>
      <c r="G2045" s="1">
        <v>1</v>
      </c>
      <c r="H2045" s="1">
        <v>1</v>
      </c>
      <c r="I2045" s="1">
        <f t="shared" si="159"/>
        <v>0</v>
      </c>
    </row>
    <row r="2046" spans="1:9" x14ac:dyDescent="0.3">
      <c r="A2046" s="26">
        <v>47336</v>
      </c>
      <c r="B2046" s="27">
        <f t="shared" si="155"/>
        <v>2029</v>
      </c>
      <c r="C2046" s="27">
        <f t="shared" si="156"/>
        <v>8</v>
      </c>
      <c r="D2046" s="27">
        <f t="shared" si="157"/>
        <v>6</v>
      </c>
      <c r="E2046" s="27">
        <f t="shared" si="158"/>
        <v>2</v>
      </c>
      <c r="F2046" s="27">
        <f>VLOOKUP(E2046,[1]t_calendarioPolitica!A:C,3,FALSE)</f>
        <v>1</v>
      </c>
      <c r="G2046" s="1">
        <v>1</v>
      </c>
      <c r="H2046" s="1">
        <v>1</v>
      </c>
      <c r="I2046" s="1">
        <f t="shared" si="159"/>
        <v>1</v>
      </c>
    </row>
    <row r="2047" spans="1:9" x14ac:dyDescent="0.3">
      <c r="A2047" s="26">
        <v>47337</v>
      </c>
      <c r="B2047" s="27">
        <f t="shared" si="155"/>
        <v>2029</v>
      </c>
      <c r="C2047" s="27">
        <f t="shared" si="156"/>
        <v>8</v>
      </c>
      <c r="D2047" s="27">
        <f t="shared" si="157"/>
        <v>7</v>
      </c>
      <c r="E2047" s="27">
        <f t="shared" si="158"/>
        <v>3</v>
      </c>
      <c r="F2047" s="27">
        <f>VLOOKUP(E2047,[1]t_calendarioPolitica!A:C,3,FALSE)</f>
        <v>1</v>
      </c>
      <c r="G2047" s="1">
        <v>1</v>
      </c>
      <c r="H2047" s="1">
        <v>1</v>
      </c>
      <c r="I2047" s="1">
        <f t="shared" si="159"/>
        <v>1</v>
      </c>
    </row>
    <row r="2048" spans="1:9" x14ac:dyDescent="0.3">
      <c r="A2048" s="26">
        <v>47338</v>
      </c>
      <c r="B2048" s="27">
        <f t="shared" si="155"/>
        <v>2029</v>
      </c>
      <c r="C2048" s="27">
        <f t="shared" si="156"/>
        <v>8</v>
      </c>
      <c r="D2048" s="27">
        <f t="shared" si="157"/>
        <v>8</v>
      </c>
      <c r="E2048" s="27">
        <f t="shared" si="158"/>
        <v>4</v>
      </c>
      <c r="F2048" s="27">
        <f>VLOOKUP(E2048,[1]t_calendarioPolitica!A:C,3,FALSE)</f>
        <v>1</v>
      </c>
      <c r="G2048" s="1">
        <v>1</v>
      </c>
      <c r="H2048" s="1">
        <v>1</v>
      </c>
      <c r="I2048" s="1">
        <f t="shared" si="159"/>
        <v>1</v>
      </c>
    </row>
    <row r="2049" spans="1:9" x14ac:dyDescent="0.3">
      <c r="A2049" s="26">
        <v>47339</v>
      </c>
      <c r="B2049" s="27">
        <f t="shared" si="155"/>
        <v>2029</v>
      </c>
      <c r="C2049" s="27">
        <f t="shared" si="156"/>
        <v>8</v>
      </c>
      <c r="D2049" s="27">
        <f t="shared" si="157"/>
        <v>9</v>
      </c>
      <c r="E2049" s="27">
        <f t="shared" si="158"/>
        <v>5</v>
      </c>
      <c r="F2049" s="27">
        <f>VLOOKUP(E2049,[1]t_calendarioPolitica!A:C,3,FALSE)</f>
        <v>1</v>
      </c>
      <c r="G2049" s="1">
        <v>1</v>
      </c>
      <c r="H2049" s="1">
        <v>1</v>
      </c>
      <c r="I2049" s="1">
        <f t="shared" si="159"/>
        <v>1</v>
      </c>
    </row>
    <row r="2050" spans="1:9" x14ac:dyDescent="0.3">
      <c r="A2050" s="26">
        <v>47340</v>
      </c>
      <c r="B2050" s="27">
        <f t="shared" si="155"/>
        <v>2029</v>
      </c>
      <c r="C2050" s="27">
        <f t="shared" si="156"/>
        <v>8</v>
      </c>
      <c r="D2050" s="27">
        <f t="shared" si="157"/>
        <v>10</v>
      </c>
      <c r="E2050" s="27">
        <f t="shared" si="158"/>
        <v>6</v>
      </c>
      <c r="F2050" s="27">
        <f>VLOOKUP(E2050,[1]t_calendarioPolitica!A:C,3,FALSE)</f>
        <v>1</v>
      </c>
      <c r="G2050" s="1">
        <v>1</v>
      </c>
      <c r="H2050" s="1">
        <v>1</v>
      </c>
      <c r="I2050" s="1">
        <f t="shared" si="159"/>
        <v>1</v>
      </c>
    </row>
    <row r="2051" spans="1:9" x14ac:dyDescent="0.3">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VLOOKUP(E2051,[1]t_calendarioPolitica!A:C,3,FALSE)</f>
        <v>2</v>
      </c>
      <c r="G2051" s="1">
        <v>1</v>
      </c>
      <c r="H2051" s="1">
        <v>1</v>
      </c>
      <c r="I2051" s="1">
        <f t="shared" ref="I2051:I2114" si="164">IF(AND(F2051&lt;&gt;0, H2051&lt;&gt;0,G2051&lt;&gt;0), 1, 0)</f>
        <v>1</v>
      </c>
    </row>
    <row r="2052" spans="1:9" x14ac:dyDescent="0.3">
      <c r="A2052" s="26">
        <v>47342</v>
      </c>
      <c r="B2052" s="27">
        <f t="shared" si="160"/>
        <v>2029</v>
      </c>
      <c r="C2052" s="27">
        <f t="shared" si="161"/>
        <v>8</v>
      </c>
      <c r="D2052" s="27">
        <f t="shared" si="162"/>
        <v>12</v>
      </c>
      <c r="E2052" s="27">
        <f t="shared" si="163"/>
        <v>1</v>
      </c>
      <c r="F2052" s="27">
        <f>VLOOKUP(E2052,[1]t_calendarioPolitica!A:C,3,FALSE)</f>
        <v>0</v>
      </c>
      <c r="G2052" s="1">
        <v>1</v>
      </c>
      <c r="H2052" s="1">
        <v>1</v>
      </c>
      <c r="I2052" s="1">
        <f t="shared" si="164"/>
        <v>0</v>
      </c>
    </row>
    <row r="2053" spans="1:9" x14ac:dyDescent="0.3">
      <c r="A2053" s="26">
        <v>47343</v>
      </c>
      <c r="B2053" s="27">
        <f t="shared" si="160"/>
        <v>2029</v>
      </c>
      <c r="C2053" s="27">
        <f t="shared" si="161"/>
        <v>8</v>
      </c>
      <c r="D2053" s="27">
        <f t="shared" si="162"/>
        <v>13</v>
      </c>
      <c r="E2053" s="27">
        <f t="shared" si="163"/>
        <v>2</v>
      </c>
      <c r="F2053" s="27">
        <f>VLOOKUP(E2053,[1]t_calendarioPolitica!A:C,3,FALSE)</f>
        <v>1</v>
      </c>
      <c r="G2053" s="1">
        <v>1</v>
      </c>
      <c r="H2053" s="1">
        <v>1</v>
      </c>
      <c r="I2053" s="1">
        <f t="shared" si="164"/>
        <v>1</v>
      </c>
    </row>
    <row r="2054" spans="1:9" x14ac:dyDescent="0.3">
      <c r="A2054" s="26">
        <v>47344</v>
      </c>
      <c r="B2054" s="27">
        <f t="shared" si="160"/>
        <v>2029</v>
      </c>
      <c r="C2054" s="27">
        <f t="shared" si="161"/>
        <v>8</v>
      </c>
      <c r="D2054" s="27">
        <f t="shared" si="162"/>
        <v>14</v>
      </c>
      <c r="E2054" s="27">
        <f t="shared" si="163"/>
        <v>3</v>
      </c>
      <c r="F2054" s="27">
        <f>VLOOKUP(E2054,[1]t_calendarioPolitica!A:C,3,FALSE)</f>
        <v>1</v>
      </c>
      <c r="G2054" s="1">
        <v>1</v>
      </c>
      <c r="H2054" s="1">
        <v>1</v>
      </c>
      <c r="I2054" s="1">
        <f t="shared" si="164"/>
        <v>1</v>
      </c>
    </row>
    <row r="2055" spans="1:9" x14ac:dyDescent="0.3">
      <c r="A2055" s="26">
        <v>47345</v>
      </c>
      <c r="B2055" s="27">
        <f t="shared" si="160"/>
        <v>2029</v>
      </c>
      <c r="C2055" s="27">
        <f t="shared" si="161"/>
        <v>8</v>
      </c>
      <c r="D2055" s="27">
        <f t="shared" si="162"/>
        <v>15</v>
      </c>
      <c r="E2055" s="27">
        <f t="shared" si="163"/>
        <v>4</v>
      </c>
      <c r="F2055" s="27">
        <f>VLOOKUP(E2055,[1]t_calendarioPolitica!A:C,3,FALSE)</f>
        <v>1</v>
      </c>
      <c r="G2055" s="1">
        <v>1</v>
      </c>
      <c r="H2055" s="1">
        <v>1</v>
      </c>
      <c r="I2055" s="1">
        <f t="shared" si="164"/>
        <v>1</v>
      </c>
    </row>
    <row r="2056" spans="1:9" x14ac:dyDescent="0.3">
      <c r="A2056" s="26">
        <v>47346</v>
      </c>
      <c r="B2056" s="27">
        <f t="shared" si="160"/>
        <v>2029</v>
      </c>
      <c r="C2056" s="27">
        <f t="shared" si="161"/>
        <v>8</v>
      </c>
      <c r="D2056" s="27">
        <f t="shared" si="162"/>
        <v>16</v>
      </c>
      <c r="E2056" s="27">
        <f t="shared" si="163"/>
        <v>5</v>
      </c>
      <c r="F2056" s="27">
        <f>VLOOKUP(E2056,[1]t_calendarioPolitica!A:C,3,FALSE)</f>
        <v>1</v>
      </c>
      <c r="G2056" s="1">
        <v>1</v>
      </c>
      <c r="H2056" s="1">
        <v>1</v>
      </c>
      <c r="I2056" s="1">
        <f t="shared" si="164"/>
        <v>1</v>
      </c>
    </row>
    <row r="2057" spans="1:9" x14ac:dyDescent="0.3">
      <c r="A2057" s="26">
        <v>47347</v>
      </c>
      <c r="B2057" s="27">
        <f t="shared" si="160"/>
        <v>2029</v>
      </c>
      <c r="C2057" s="27">
        <f t="shared" si="161"/>
        <v>8</v>
      </c>
      <c r="D2057" s="27">
        <f t="shared" si="162"/>
        <v>17</v>
      </c>
      <c r="E2057" s="27">
        <f t="shared" si="163"/>
        <v>6</v>
      </c>
      <c r="F2057" s="27">
        <f>VLOOKUP(E2057,[1]t_calendarioPolitica!A:C,3,FALSE)</f>
        <v>1</v>
      </c>
      <c r="G2057" s="1">
        <v>1</v>
      </c>
      <c r="H2057" s="1">
        <v>1</v>
      </c>
      <c r="I2057" s="1">
        <f t="shared" si="164"/>
        <v>1</v>
      </c>
    </row>
    <row r="2058" spans="1:9" x14ac:dyDescent="0.3">
      <c r="A2058" s="26">
        <v>47348</v>
      </c>
      <c r="B2058" s="27">
        <f t="shared" si="160"/>
        <v>2029</v>
      </c>
      <c r="C2058" s="27">
        <f t="shared" si="161"/>
        <v>8</v>
      </c>
      <c r="D2058" s="27">
        <f t="shared" si="162"/>
        <v>18</v>
      </c>
      <c r="E2058" s="27">
        <f t="shared" si="163"/>
        <v>7</v>
      </c>
      <c r="F2058" s="27">
        <f>VLOOKUP(E2058,[1]t_calendarioPolitica!A:C,3,FALSE)</f>
        <v>2</v>
      </c>
      <c r="G2058" s="1">
        <v>1</v>
      </c>
      <c r="H2058" s="1">
        <v>1</v>
      </c>
      <c r="I2058" s="1">
        <f t="shared" si="164"/>
        <v>1</v>
      </c>
    </row>
    <row r="2059" spans="1:9" x14ac:dyDescent="0.3">
      <c r="A2059" s="26">
        <v>47349</v>
      </c>
      <c r="B2059" s="27">
        <f t="shared" si="160"/>
        <v>2029</v>
      </c>
      <c r="C2059" s="27">
        <f t="shared" si="161"/>
        <v>8</v>
      </c>
      <c r="D2059" s="27">
        <f t="shared" si="162"/>
        <v>19</v>
      </c>
      <c r="E2059" s="27">
        <f t="shared" si="163"/>
        <v>1</v>
      </c>
      <c r="F2059" s="27">
        <f>VLOOKUP(E2059,[1]t_calendarioPolitica!A:C,3,FALSE)</f>
        <v>0</v>
      </c>
      <c r="G2059" s="1">
        <v>1</v>
      </c>
      <c r="H2059" s="1">
        <v>1</v>
      </c>
      <c r="I2059" s="1">
        <f t="shared" si="164"/>
        <v>0</v>
      </c>
    </row>
    <row r="2060" spans="1:9" x14ac:dyDescent="0.3">
      <c r="A2060" s="26">
        <v>47350</v>
      </c>
      <c r="B2060" s="27">
        <f t="shared" si="160"/>
        <v>2029</v>
      </c>
      <c r="C2060" s="27">
        <f t="shared" si="161"/>
        <v>8</v>
      </c>
      <c r="D2060" s="27">
        <f t="shared" si="162"/>
        <v>20</v>
      </c>
      <c r="E2060" s="27">
        <f t="shared" si="163"/>
        <v>2</v>
      </c>
      <c r="F2060" s="27">
        <f>VLOOKUP(E2060,[1]t_calendarioPolitica!A:C,3,FALSE)</f>
        <v>1</v>
      </c>
      <c r="G2060" s="1">
        <v>1</v>
      </c>
      <c r="H2060" s="1">
        <v>1</v>
      </c>
      <c r="I2060" s="1">
        <f t="shared" si="164"/>
        <v>1</v>
      </c>
    </row>
    <row r="2061" spans="1:9" x14ac:dyDescent="0.3">
      <c r="A2061" s="26">
        <v>47351</v>
      </c>
      <c r="B2061" s="27">
        <f t="shared" si="160"/>
        <v>2029</v>
      </c>
      <c r="C2061" s="27">
        <f t="shared" si="161"/>
        <v>8</v>
      </c>
      <c r="D2061" s="27">
        <f t="shared" si="162"/>
        <v>21</v>
      </c>
      <c r="E2061" s="27">
        <f t="shared" si="163"/>
        <v>3</v>
      </c>
      <c r="F2061" s="27">
        <f>VLOOKUP(E2061,[1]t_calendarioPolitica!A:C,3,FALSE)</f>
        <v>1</v>
      </c>
      <c r="G2061" s="1">
        <v>1</v>
      </c>
      <c r="H2061" s="1">
        <v>1</v>
      </c>
      <c r="I2061" s="1">
        <f t="shared" si="164"/>
        <v>1</v>
      </c>
    </row>
    <row r="2062" spans="1:9" x14ac:dyDescent="0.3">
      <c r="A2062" s="26">
        <v>47352</v>
      </c>
      <c r="B2062" s="27">
        <f t="shared" si="160"/>
        <v>2029</v>
      </c>
      <c r="C2062" s="27">
        <f t="shared" si="161"/>
        <v>8</v>
      </c>
      <c r="D2062" s="27">
        <f t="shared" si="162"/>
        <v>22</v>
      </c>
      <c r="E2062" s="27">
        <f t="shared" si="163"/>
        <v>4</v>
      </c>
      <c r="F2062" s="27">
        <f>VLOOKUP(E2062,[1]t_calendarioPolitica!A:C,3,FALSE)</f>
        <v>1</v>
      </c>
      <c r="G2062" s="1">
        <v>1</v>
      </c>
      <c r="H2062" s="1">
        <v>1</v>
      </c>
      <c r="I2062" s="1">
        <f t="shared" si="164"/>
        <v>1</v>
      </c>
    </row>
    <row r="2063" spans="1:9" x14ac:dyDescent="0.3">
      <c r="A2063" s="26">
        <v>47353</v>
      </c>
      <c r="B2063" s="27">
        <f t="shared" si="160"/>
        <v>2029</v>
      </c>
      <c r="C2063" s="27">
        <f t="shared" si="161"/>
        <v>8</v>
      </c>
      <c r="D2063" s="27">
        <f t="shared" si="162"/>
        <v>23</v>
      </c>
      <c r="E2063" s="27">
        <f t="shared" si="163"/>
        <v>5</v>
      </c>
      <c r="F2063" s="27">
        <f>VLOOKUP(E2063,[1]t_calendarioPolitica!A:C,3,FALSE)</f>
        <v>1</v>
      </c>
      <c r="G2063" s="1">
        <v>1</v>
      </c>
      <c r="H2063" s="1">
        <v>1</v>
      </c>
      <c r="I2063" s="1">
        <f t="shared" si="164"/>
        <v>1</v>
      </c>
    </row>
    <row r="2064" spans="1:9" x14ac:dyDescent="0.3">
      <c r="A2064" s="26">
        <v>47354</v>
      </c>
      <c r="B2064" s="27">
        <f t="shared" si="160"/>
        <v>2029</v>
      </c>
      <c r="C2064" s="27">
        <f t="shared" si="161"/>
        <v>8</v>
      </c>
      <c r="D2064" s="27">
        <f t="shared" si="162"/>
        <v>24</v>
      </c>
      <c r="E2064" s="27">
        <f t="shared" si="163"/>
        <v>6</v>
      </c>
      <c r="F2064" s="27">
        <f>VLOOKUP(E2064,[1]t_calendarioPolitica!A:C,3,FALSE)</f>
        <v>1</v>
      </c>
      <c r="G2064" s="1">
        <v>1</v>
      </c>
      <c r="H2064" s="1">
        <v>1</v>
      </c>
      <c r="I2064" s="1">
        <f t="shared" si="164"/>
        <v>1</v>
      </c>
    </row>
    <row r="2065" spans="1:9" x14ac:dyDescent="0.3">
      <c r="A2065" s="26">
        <v>47355</v>
      </c>
      <c r="B2065" s="27">
        <f t="shared" si="160"/>
        <v>2029</v>
      </c>
      <c r="C2065" s="27">
        <f t="shared" si="161"/>
        <v>8</v>
      </c>
      <c r="D2065" s="27">
        <f t="shared" si="162"/>
        <v>25</v>
      </c>
      <c r="E2065" s="27">
        <f t="shared" si="163"/>
        <v>7</v>
      </c>
      <c r="F2065" s="27">
        <f>VLOOKUP(E2065,[1]t_calendarioPolitica!A:C,3,FALSE)</f>
        <v>2</v>
      </c>
      <c r="G2065" s="1">
        <v>1</v>
      </c>
      <c r="H2065" s="1">
        <v>1</v>
      </c>
      <c r="I2065" s="1">
        <f t="shared" si="164"/>
        <v>1</v>
      </c>
    </row>
    <row r="2066" spans="1:9" x14ac:dyDescent="0.3">
      <c r="A2066" s="26">
        <v>47356</v>
      </c>
      <c r="B2066" s="27">
        <f t="shared" si="160"/>
        <v>2029</v>
      </c>
      <c r="C2066" s="27">
        <f t="shared" si="161"/>
        <v>8</v>
      </c>
      <c r="D2066" s="27">
        <f t="shared" si="162"/>
        <v>26</v>
      </c>
      <c r="E2066" s="27">
        <f t="shared" si="163"/>
        <v>1</v>
      </c>
      <c r="F2066" s="27">
        <f>VLOOKUP(E2066,[1]t_calendarioPolitica!A:C,3,FALSE)</f>
        <v>0</v>
      </c>
      <c r="G2066" s="1">
        <v>1</v>
      </c>
      <c r="H2066" s="1">
        <v>1</v>
      </c>
      <c r="I2066" s="1">
        <f t="shared" si="164"/>
        <v>0</v>
      </c>
    </row>
    <row r="2067" spans="1:9" x14ac:dyDescent="0.3">
      <c r="A2067" s="26">
        <v>47357</v>
      </c>
      <c r="B2067" s="27">
        <f t="shared" si="160"/>
        <v>2029</v>
      </c>
      <c r="C2067" s="27">
        <f t="shared" si="161"/>
        <v>8</v>
      </c>
      <c r="D2067" s="27">
        <f t="shared" si="162"/>
        <v>27</v>
      </c>
      <c r="E2067" s="27">
        <f t="shared" si="163"/>
        <v>2</v>
      </c>
      <c r="F2067" s="27">
        <f>VLOOKUP(E2067,[1]t_calendarioPolitica!A:C,3,FALSE)</f>
        <v>1</v>
      </c>
      <c r="G2067" s="1">
        <v>1</v>
      </c>
      <c r="H2067" s="1">
        <v>1</v>
      </c>
      <c r="I2067" s="1">
        <f t="shared" si="164"/>
        <v>1</v>
      </c>
    </row>
    <row r="2068" spans="1:9" x14ac:dyDescent="0.3">
      <c r="A2068" s="26">
        <v>47358</v>
      </c>
      <c r="B2068" s="27">
        <f t="shared" si="160"/>
        <v>2029</v>
      </c>
      <c r="C2068" s="27">
        <f t="shared" si="161"/>
        <v>8</v>
      </c>
      <c r="D2068" s="27">
        <f t="shared" si="162"/>
        <v>28</v>
      </c>
      <c r="E2068" s="27">
        <f t="shared" si="163"/>
        <v>3</v>
      </c>
      <c r="F2068" s="27">
        <f>VLOOKUP(E2068,[1]t_calendarioPolitica!A:C,3,FALSE)</f>
        <v>1</v>
      </c>
      <c r="G2068" s="1">
        <v>1</v>
      </c>
      <c r="H2068" s="1">
        <v>1</v>
      </c>
      <c r="I2068" s="1">
        <f t="shared" si="164"/>
        <v>1</v>
      </c>
    </row>
    <row r="2069" spans="1:9" x14ac:dyDescent="0.3">
      <c r="A2069" s="26">
        <v>47359</v>
      </c>
      <c r="B2069" s="27">
        <f t="shared" si="160"/>
        <v>2029</v>
      </c>
      <c r="C2069" s="27">
        <f t="shared" si="161"/>
        <v>8</v>
      </c>
      <c r="D2069" s="27">
        <f t="shared" si="162"/>
        <v>29</v>
      </c>
      <c r="E2069" s="27">
        <f t="shared" si="163"/>
        <v>4</v>
      </c>
      <c r="F2069" s="27">
        <f>VLOOKUP(E2069,[1]t_calendarioPolitica!A:C,3,FALSE)</f>
        <v>1</v>
      </c>
      <c r="G2069" s="1">
        <v>1</v>
      </c>
      <c r="H2069" s="1">
        <v>1</v>
      </c>
      <c r="I2069" s="1">
        <f t="shared" si="164"/>
        <v>1</v>
      </c>
    </row>
    <row r="2070" spans="1:9" x14ac:dyDescent="0.3">
      <c r="A2070" s="26">
        <v>47360</v>
      </c>
      <c r="B2070" s="27">
        <f t="shared" si="160"/>
        <v>2029</v>
      </c>
      <c r="C2070" s="27">
        <f t="shared" si="161"/>
        <v>8</v>
      </c>
      <c r="D2070" s="27">
        <f t="shared" si="162"/>
        <v>30</v>
      </c>
      <c r="E2070" s="27">
        <f t="shared" si="163"/>
        <v>5</v>
      </c>
      <c r="F2070" s="27">
        <f>VLOOKUP(E2070,[1]t_calendarioPolitica!A:C,3,FALSE)</f>
        <v>1</v>
      </c>
      <c r="G2070" s="1">
        <v>1</v>
      </c>
      <c r="H2070" s="1">
        <v>1</v>
      </c>
      <c r="I2070" s="1">
        <f t="shared" si="164"/>
        <v>1</v>
      </c>
    </row>
    <row r="2071" spans="1:9" x14ac:dyDescent="0.3">
      <c r="A2071" s="26">
        <v>47361</v>
      </c>
      <c r="B2071" s="27">
        <f t="shared" si="160"/>
        <v>2029</v>
      </c>
      <c r="C2071" s="27">
        <f t="shared" si="161"/>
        <v>8</v>
      </c>
      <c r="D2071" s="27">
        <f t="shared" si="162"/>
        <v>31</v>
      </c>
      <c r="E2071" s="27">
        <f t="shared" si="163"/>
        <v>6</v>
      </c>
      <c r="F2071" s="27">
        <f>VLOOKUP(E2071,[1]t_calendarioPolitica!A:C,3,FALSE)</f>
        <v>1</v>
      </c>
      <c r="G2071" s="1">
        <v>1</v>
      </c>
      <c r="H2071" s="1">
        <v>1</v>
      </c>
      <c r="I2071" s="1">
        <f t="shared" si="164"/>
        <v>1</v>
      </c>
    </row>
    <row r="2072" spans="1:9" x14ac:dyDescent="0.3">
      <c r="A2072" s="26">
        <v>47362</v>
      </c>
      <c r="B2072" s="27">
        <f t="shared" si="160"/>
        <v>2029</v>
      </c>
      <c r="C2072" s="27">
        <f t="shared" si="161"/>
        <v>9</v>
      </c>
      <c r="D2072" s="27">
        <f t="shared" si="162"/>
        <v>1</v>
      </c>
      <c r="E2072" s="27">
        <f t="shared" si="163"/>
        <v>7</v>
      </c>
      <c r="F2072" s="27">
        <f>VLOOKUP(E2072,[1]t_calendarioPolitica!A:C,3,FALSE)</f>
        <v>2</v>
      </c>
      <c r="G2072" s="1">
        <v>1</v>
      </c>
      <c r="H2072" s="1">
        <v>1</v>
      </c>
      <c r="I2072" s="1">
        <f t="shared" si="164"/>
        <v>1</v>
      </c>
    </row>
    <row r="2073" spans="1:9" x14ac:dyDescent="0.3">
      <c r="A2073" s="26">
        <v>47363</v>
      </c>
      <c r="B2073" s="27">
        <f t="shared" si="160"/>
        <v>2029</v>
      </c>
      <c r="C2073" s="27">
        <f t="shared" si="161"/>
        <v>9</v>
      </c>
      <c r="D2073" s="27">
        <f t="shared" si="162"/>
        <v>2</v>
      </c>
      <c r="E2073" s="27">
        <f t="shared" si="163"/>
        <v>1</v>
      </c>
      <c r="F2073" s="27">
        <f>VLOOKUP(E2073,[1]t_calendarioPolitica!A:C,3,FALSE)</f>
        <v>0</v>
      </c>
      <c r="G2073" s="1">
        <v>1</v>
      </c>
      <c r="H2073" s="1">
        <v>1</v>
      </c>
      <c r="I2073" s="1">
        <f t="shared" si="164"/>
        <v>0</v>
      </c>
    </row>
    <row r="2074" spans="1:9" x14ac:dyDescent="0.3">
      <c r="A2074" s="26">
        <v>47364</v>
      </c>
      <c r="B2074" s="27">
        <f t="shared" si="160"/>
        <v>2029</v>
      </c>
      <c r="C2074" s="27">
        <f t="shared" si="161"/>
        <v>9</v>
      </c>
      <c r="D2074" s="27">
        <f t="shared" si="162"/>
        <v>3</v>
      </c>
      <c r="E2074" s="27">
        <f t="shared" si="163"/>
        <v>2</v>
      </c>
      <c r="F2074" s="27">
        <f>VLOOKUP(E2074,[1]t_calendarioPolitica!A:C,3,FALSE)</f>
        <v>1</v>
      </c>
      <c r="G2074" s="1">
        <v>1</v>
      </c>
      <c r="H2074" s="1">
        <v>1</v>
      </c>
      <c r="I2074" s="1">
        <f t="shared" si="164"/>
        <v>1</v>
      </c>
    </row>
    <row r="2075" spans="1:9" x14ac:dyDescent="0.3">
      <c r="A2075" s="26">
        <v>47365</v>
      </c>
      <c r="B2075" s="27">
        <f t="shared" si="160"/>
        <v>2029</v>
      </c>
      <c r="C2075" s="27">
        <f t="shared" si="161"/>
        <v>9</v>
      </c>
      <c r="D2075" s="27">
        <f t="shared" si="162"/>
        <v>4</v>
      </c>
      <c r="E2075" s="27">
        <f t="shared" si="163"/>
        <v>3</v>
      </c>
      <c r="F2075" s="27">
        <f>VLOOKUP(E2075,[1]t_calendarioPolitica!A:C,3,FALSE)</f>
        <v>1</v>
      </c>
      <c r="G2075" s="1">
        <v>1</v>
      </c>
      <c r="H2075" s="1">
        <v>1</v>
      </c>
      <c r="I2075" s="1">
        <f t="shared" si="164"/>
        <v>1</v>
      </c>
    </row>
    <row r="2076" spans="1:9" x14ac:dyDescent="0.3">
      <c r="A2076" s="26">
        <v>47366</v>
      </c>
      <c r="B2076" s="27">
        <f t="shared" si="160"/>
        <v>2029</v>
      </c>
      <c r="C2076" s="27">
        <f t="shared" si="161"/>
        <v>9</v>
      </c>
      <c r="D2076" s="27">
        <f t="shared" si="162"/>
        <v>5</v>
      </c>
      <c r="E2076" s="27">
        <f t="shared" si="163"/>
        <v>4</v>
      </c>
      <c r="F2076" s="27">
        <f>VLOOKUP(E2076,[1]t_calendarioPolitica!A:C,3,FALSE)</f>
        <v>1</v>
      </c>
      <c r="G2076" s="1">
        <v>1</v>
      </c>
      <c r="H2076" s="1">
        <v>1</v>
      </c>
      <c r="I2076" s="1">
        <f t="shared" si="164"/>
        <v>1</v>
      </c>
    </row>
    <row r="2077" spans="1:9" x14ac:dyDescent="0.3">
      <c r="A2077" s="26">
        <v>47367</v>
      </c>
      <c r="B2077" s="27">
        <f t="shared" si="160"/>
        <v>2029</v>
      </c>
      <c r="C2077" s="27">
        <f t="shared" si="161"/>
        <v>9</v>
      </c>
      <c r="D2077" s="27">
        <f t="shared" si="162"/>
        <v>6</v>
      </c>
      <c r="E2077" s="27">
        <f t="shared" si="163"/>
        <v>5</v>
      </c>
      <c r="F2077" s="27">
        <f>VLOOKUP(E2077,[1]t_calendarioPolitica!A:C,3,FALSE)</f>
        <v>1</v>
      </c>
      <c r="G2077" s="1">
        <v>1</v>
      </c>
      <c r="H2077" s="1">
        <v>1</v>
      </c>
      <c r="I2077" s="1">
        <f t="shared" si="164"/>
        <v>1</v>
      </c>
    </row>
    <row r="2078" spans="1:9" x14ac:dyDescent="0.3">
      <c r="A2078" s="26">
        <v>47368</v>
      </c>
      <c r="B2078" s="27">
        <f t="shared" si="160"/>
        <v>2029</v>
      </c>
      <c r="C2078" s="27">
        <f t="shared" si="161"/>
        <v>9</v>
      </c>
      <c r="D2078" s="27">
        <f t="shared" si="162"/>
        <v>7</v>
      </c>
      <c r="E2078" s="27">
        <f t="shared" si="163"/>
        <v>6</v>
      </c>
      <c r="F2078" s="27">
        <f>VLOOKUP(E2078,[1]t_calendarioPolitica!A:C,3,FALSE)</f>
        <v>1</v>
      </c>
      <c r="G2078" s="1">
        <v>1</v>
      </c>
      <c r="H2078" s="1">
        <v>1</v>
      </c>
      <c r="I2078" s="1">
        <f t="shared" si="164"/>
        <v>1</v>
      </c>
    </row>
    <row r="2079" spans="1:9" x14ac:dyDescent="0.3">
      <c r="A2079" s="26">
        <v>47369</v>
      </c>
      <c r="B2079" s="27">
        <f t="shared" si="160"/>
        <v>2029</v>
      </c>
      <c r="C2079" s="27">
        <f t="shared" si="161"/>
        <v>9</v>
      </c>
      <c r="D2079" s="27">
        <f t="shared" si="162"/>
        <v>8</v>
      </c>
      <c r="E2079" s="27">
        <f t="shared" si="163"/>
        <v>7</v>
      </c>
      <c r="F2079" s="27">
        <f>VLOOKUP(E2079,[1]t_calendarioPolitica!A:C,3,FALSE)</f>
        <v>2</v>
      </c>
      <c r="G2079" s="1">
        <v>1</v>
      </c>
      <c r="H2079" s="1">
        <v>1</v>
      </c>
      <c r="I2079" s="1">
        <f t="shared" si="164"/>
        <v>1</v>
      </c>
    </row>
    <row r="2080" spans="1:9" x14ac:dyDescent="0.3">
      <c r="A2080" s="26">
        <v>47370</v>
      </c>
      <c r="B2080" s="27">
        <f t="shared" si="160"/>
        <v>2029</v>
      </c>
      <c r="C2080" s="27">
        <f t="shared" si="161"/>
        <v>9</v>
      </c>
      <c r="D2080" s="27">
        <f t="shared" si="162"/>
        <v>9</v>
      </c>
      <c r="E2080" s="27">
        <f t="shared" si="163"/>
        <v>1</v>
      </c>
      <c r="F2080" s="27">
        <f>VLOOKUP(E2080,[1]t_calendarioPolitica!A:C,3,FALSE)</f>
        <v>0</v>
      </c>
      <c r="G2080" s="1">
        <v>1</v>
      </c>
      <c r="H2080" s="1">
        <v>1</v>
      </c>
      <c r="I2080" s="1">
        <f t="shared" si="164"/>
        <v>0</v>
      </c>
    </row>
    <row r="2081" spans="1:9" x14ac:dyDescent="0.3">
      <c r="A2081" s="26">
        <v>47371</v>
      </c>
      <c r="B2081" s="27">
        <f t="shared" si="160"/>
        <v>2029</v>
      </c>
      <c r="C2081" s="27">
        <f t="shared" si="161"/>
        <v>9</v>
      </c>
      <c r="D2081" s="27">
        <f t="shared" si="162"/>
        <v>10</v>
      </c>
      <c r="E2081" s="27">
        <f t="shared" si="163"/>
        <v>2</v>
      </c>
      <c r="F2081" s="27">
        <f>VLOOKUP(E2081,[1]t_calendarioPolitica!A:C,3,FALSE)</f>
        <v>1</v>
      </c>
      <c r="G2081" s="1">
        <v>1</v>
      </c>
      <c r="H2081" s="1">
        <v>1</v>
      </c>
      <c r="I2081" s="1">
        <f t="shared" si="164"/>
        <v>1</v>
      </c>
    </row>
    <row r="2082" spans="1:9" x14ac:dyDescent="0.3">
      <c r="A2082" s="26">
        <v>47372</v>
      </c>
      <c r="B2082" s="27">
        <f t="shared" si="160"/>
        <v>2029</v>
      </c>
      <c r="C2082" s="27">
        <f t="shared" si="161"/>
        <v>9</v>
      </c>
      <c r="D2082" s="27">
        <f t="shared" si="162"/>
        <v>11</v>
      </c>
      <c r="E2082" s="27">
        <f t="shared" si="163"/>
        <v>3</v>
      </c>
      <c r="F2082" s="27">
        <f>VLOOKUP(E2082,[1]t_calendarioPolitica!A:C,3,FALSE)</f>
        <v>1</v>
      </c>
      <c r="G2082" s="1">
        <v>1</v>
      </c>
      <c r="H2082" s="1">
        <v>1</v>
      </c>
      <c r="I2082" s="1">
        <f t="shared" si="164"/>
        <v>1</v>
      </c>
    </row>
    <row r="2083" spans="1:9" x14ac:dyDescent="0.3">
      <c r="A2083" s="26">
        <v>47373</v>
      </c>
      <c r="B2083" s="27">
        <f t="shared" si="160"/>
        <v>2029</v>
      </c>
      <c r="C2083" s="27">
        <f t="shared" si="161"/>
        <v>9</v>
      </c>
      <c r="D2083" s="27">
        <f t="shared" si="162"/>
        <v>12</v>
      </c>
      <c r="E2083" s="27">
        <f t="shared" si="163"/>
        <v>4</v>
      </c>
      <c r="F2083" s="27">
        <f>VLOOKUP(E2083,[1]t_calendarioPolitica!A:C,3,FALSE)</f>
        <v>1</v>
      </c>
      <c r="G2083" s="1">
        <v>1</v>
      </c>
      <c r="H2083" s="1">
        <v>1</v>
      </c>
      <c r="I2083" s="1">
        <f t="shared" si="164"/>
        <v>1</v>
      </c>
    </row>
    <row r="2084" spans="1:9" x14ac:dyDescent="0.3">
      <c r="A2084" s="26">
        <v>47374</v>
      </c>
      <c r="B2084" s="27">
        <f t="shared" si="160"/>
        <v>2029</v>
      </c>
      <c r="C2084" s="27">
        <f t="shared" si="161"/>
        <v>9</v>
      </c>
      <c r="D2084" s="27">
        <f t="shared" si="162"/>
        <v>13</v>
      </c>
      <c r="E2084" s="27">
        <f t="shared" si="163"/>
        <v>5</v>
      </c>
      <c r="F2084" s="27">
        <f>VLOOKUP(E2084,[1]t_calendarioPolitica!A:C,3,FALSE)</f>
        <v>1</v>
      </c>
      <c r="G2084" s="1">
        <v>1</v>
      </c>
      <c r="H2084" s="1">
        <v>1</v>
      </c>
      <c r="I2084" s="1">
        <f t="shared" si="164"/>
        <v>1</v>
      </c>
    </row>
    <row r="2085" spans="1:9" x14ac:dyDescent="0.3">
      <c r="A2085" s="26">
        <v>47375</v>
      </c>
      <c r="B2085" s="27">
        <f t="shared" si="160"/>
        <v>2029</v>
      </c>
      <c r="C2085" s="27">
        <f t="shared" si="161"/>
        <v>9</v>
      </c>
      <c r="D2085" s="27">
        <f t="shared" si="162"/>
        <v>14</v>
      </c>
      <c r="E2085" s="27">
        <f t="shared" si="163"/>
        <v>6</v>
      </c>
      <c r="F2085" s="27">
        <f>VLOOKUP(E2085,[1]t_calendarioPolitica!A:C,3,FALSE)</f>
        <v>1</v>
      </c>
      <c r="G2085" s="1">
        <v>1</v>
      </c>
      <c r="H2085" s="1">
        <v>1</v>
      </c>
      <c r="I2085" s="1">
        <f t="shared" si="164"/>
        <v>1</v>
      </c>
    </row>
    <row r="2086" spans="1:9" x14ac:dyDescent="0.3">
      <c r="A2086" s="26">
        <v>47376</v>
      </c>
      <c r="B2086" s="27">
        <f t="shared" si="160"/>
        <v>2029</v>
      </c>
      <c r="C2086" s="27">
        <f t="shared" si="161"/>
        <v>9</v>
      </c>
      <c r="D2086" s="27">
        <f t="shared" si="162"/>
        <v>15</v>
      </c>
      <c r="E2086" s="27">
        <f t="shared" si="163"/>
        <v>7</v>
      </c>
      <c r="F2086" s="27">
        <f>VLOOKUP(E2086,[1]t_calendarioPolitica!A:C,3,FALSE)</f>
        <v>2</v>
      </c>
      <c r="G2086" s="1">
        <v>1</v>
      </c>
      <c r="H2086" s="1">
        <v>0</v>
      </c>
      <c r="I2086" s="1">
        <f t="shared" si="164"/>
        <v>0</v>
      </c>
    </row>
    <row r="2087" spans="1:9" x14ac:dyDescent="0.3">
      <c r="A2087" s="26">
        <v>47377</v>
      </c>
      <c r="B2087" s="27">
        <f t="shared" si="160"/>
        <v>2029</v>
      </c>
      <c r="C2087" s="27">
        <f t="shared" si="161"/>
        <v>9</v>
      </c>
      <c r="D2087" s="27">
        <f t="shared" si="162"/>
        <v>16</v>
      </c>
      <c r="E2087" s="27">
        <f t="shared" si="163"/>
        <v>1</v>
      </c>
      <c r="F2087" s="27">
        <f>VLOOKUP(E2087,[1]t_calendarioPolitica!A:C,3,FALSE)</f>
        <v>0</v>
      </c>
      <c r="G2087" s="1">
        <v>0</v>
      </c>
      <c r="H2087" s="1">
        <v>1</v>
      </c>
      <c r="I2087" s="1">
        <f t="shared" si="164"/>
        <v>0</v>
      </c>
    </row>
    <row r="2088" spans="1:9" x14ac:dyDescent="0.3">
      <c r="A2088" s="26">
        <v>47378</v>
      </c>
      <c r="B2088" s="27">
        <f t="shared" si="160"/>
        <v>2029</v>
      </c>
      <c r="C2088" s="27">
        <f t="shared" si="161"/>
        <v>9</v>
      </c>
      <c r="D2088" s="27">
        <f t="shared" si="162"/>
        <v>17</v>
      </c>
      <c r="E2088" s="27">
        <f t="shared" si="163"/>
        <v>2</v>
      </c>
      <c r="F2088" s="27">
        <f>VLOOKUP(E2088,[1]t_calendarioPolitica!A:C,3,FALSE)</f>
        <v>1</v>
      </c>
      <c r="G2088" s="1">
        <v>1</v>
      </c>
      <c r="H2088" s="1">
        <v>1</v>
      </c>
      <c r="I2088" s="1">
        <f t="shared" si="164"/>
        <v>1</v>
      </c>
    </row>
    <row r="2089" spans="1:9" x14ac:dyDescent="0.3">
      <c r="A2089" s="26">
        <v>47379</v>
      </c>
      <c r="B2089" s="27">
        <f t="shared" si="160"/>
        <v>2029</v>
      </c>
      <c r="C2089" s="27">
        <f t="shared" si="161"/>
        <v>9</v>
      </c>
      <c r="D2089" s="27">
        <f t="shared" si="162"/>
        <v>18</v>
      </c>
      <c r="E2089" s="27">
        <f t="shared" si="163"/>
        <v>3</v>
      </c>
      <c r="F2089" s="27">
        <f>VLOOKUP(E2089,[1]t_calendarioPolitica!A:C,3,FALSE)</f>
        <v>1</v>
      </c>
      <c r="G2089" s="1">
        <v>1</v>
      </c>
      <c r="H2089" s="1">
        <v>1</v>
      </c>
      <c r="I2089" s="1">
        <f t="shared" si="164"/>
        <v>1</v>
      </c>
    </row>
    <row r="2090" spans="1:9" x14ac:dyDescent="0.3">
      <c r="A2090" s="26">
        <v>47380</v>
      </c>
      <c r="B2090" s="27">
        <f t="shared" si="160"/>
        <v>2029</v>
      </c>
      <c r="C2090" s="27">
        <f t="shared" si="161"/>
        <v>9</v>
      </c>
      <c r="D2090" s="27">
        <f t="shared" si="162"/>
        <v>19</v>
      </c>
      <c r="E2090" s="27">
        <f t="shared" si="163"/>
        <v>4</v>
      </c>
      <c r="F2090" s="27">
        <f>VLOOKUP(E2090,[1]t_calendarioPolitica!A:C,3,FALSE)</f>
        <v>1</v>
      </c>
      <c r="G2090" s="1">
        <v>1</v>
      </c>
      <c r="H2090" s="1">
        <v>1</v>
      </c>
      <c r="I2090" s="1">
        <f t="shared" si="164"/>
        <v>1</v>
      </c>
    </row>
    <row r="2091" spans="1:9" x14ac:dyDescent="0.3">
      <c r="A2091" s="26">
        <v>47381</v>
      </c>
      <c r="B2091" s="27">
        <f t="shared" si="160"/>
        <v>2029</v>
      </c>
      <c r="C2091" s="27">
        <f t="shared" si="161"/>
        <v>9</v>
      </c>
      <c r="D2091" s="27">
        <f t="shared" si="162"/>
        <v>20</v>
      </c>
      <c r="E2091" s="27">
        <f t="shared" si="163"/>
        <v>5</v>
      </c>
      <c r="F2091" s="27">
        <f>VLOOKUP(E2091,[1]t_calendarioPolitica!A:C,3,FALSE)</f>
        <v>1</v>
      </c>
      <c r="G2091" s="1">
        <v>1</v>
      </c>
      <c r="H2091" s="1">
        <v>1</v>
      </c>
      <c r="I2091" s="1">
        <f t="shared" si="164"/>
        <v>1</v>
      </c>
    </row>
    <row r="2092" spans="1:9" x14ac:dyDescent="0.3">
      <c r="A2092" s="26">
        <v>47382</v>
      </c>
      <c r="B2092" s="27">
        <f t="shared" si="160"/>
        <v>2029</v>
      </c>
      <c r="C2092" s="27">
        <f t="shared" si="161"/>
        <v>9</v>
      </c>
      <c r="D2092" s="27">
        <f t="shared" si="162"/>
        <v>21</v>
      </c>
      <c r="E2092" s="27">
        <f t="shared" si="163"/>
        <v>6</v>
      </c>
      <c r="F2092" s="27">
        <f>VLOOKUP(E2092,[1]t_calendarioPolitica!A:C,3,FALSE)</f>
        <v>1</v>
      </c>
      <c r="G2092" s="1">
        <v>1</v>
      </c>
      <c r="H2092" s="1">
        <v>1</v>
      </c>
      <c r="I2092" s="1">
        <f t="shared" si="164"/>
        <v>1</v>
      </c>
    </row>
    <row r="2093" spans="1:9" x14ac:dyDescent="0.3">
      <c r="A2093" s="26">
        <v>47383</v>
      </c>
      <c r="B2093" s="27">
        <f t="shared" si="160"/>
        <v>2029</v>
      </c>
      <c r="C2093" s="27">
        <f t="shared" si="161"/>
        <v>9</v>
      </c>
      <c r="D2093" s="27">
        <f t="shared" si="162"/>
        <v>22</v>
      </c>
      <c r="E2093" s="27">
        <f t="shared" si="163"/>
        <v>7</v>
      </c>
      <c r="F2093" s="27">
        <f>VLOOKUP(E2093,[1]t_calendarioPolitica!A:C,3,FALSE)</f>
        <v>2</v>
      </c>
      <c r="G2093" s="1">
        <v>1</v>
      </c>
      <c r="H2093" s="1">
        <v>1</v>
      </c>
      <c r="I2093" s="1">
        <f t="shared" si="164"/>
        <v>1</v>
      </c>
    </row>
    <row r="2094" spans="1:9" x14ac:dyDescent="0.3">
      <c r="A2094" s="26">
        <v>47384</v>
      </c>
      <c r="B2094" s="27">
        <f t="shared" si="160"/>
        <v>2029</v>
      </c>
      <c r="C2094" s="27">
        <f t="shared" si="161"/>
        <v>9</v>
      </c>
      <c r="D2094" s="27">
        <f t="shared" si="162"/>
        <v>23</v>
      </c>
      <c r="E2094" s="27">
        <f t="shared" si="163"/>
        <v>1</v>
      </c>
      <c r="F2094" s="27">
        <f>VLOOKUP(E2094,[1]t_calendarioPolitica!A:C,3,FALSE)</f>
        <v>0</v>
      </c>
      <c r="G2094" s="1">
        <v>1</v>
      </c>
      <c r="H2094" s="1">
        <v>1</v>
      </c>
      <c r="I2094" s="1">
        <f t="shared" si="164"/>
        <v>0</v>
      </c>
    </row>
    <row r="2095" spans="1:9" x14ac:dyDescent="0.3">
      <c r="A2095" s="26">
        <v>47385</v>
      </c>
      <c r="B2095" s="27">
        <f t="shared" si="160"/>
        <v>2029</v>
      </c>
      <c r="C2095" s="27">
        <f t="shared" si="161"/>
        <v>9</v>
      </c>
      <c r="D2095" s="27">
        <f t="shared" si="162"/>
        <v>24</v>
      </c>
      <c r="E2095" s="27">
        <f t="shared" si="163"/>
        <v>2</v>
      </c>
      <c r="F2095" s="27">
        <f>VLOOKUP(E2095,[1]t_calendarioPolitica!A:C,3,FALSE)</f>
        <v>1</v>
      </c>
      <c r="G2095" s="1">
        <v>1</v>
      </c>
      <c r="H2095" s="1">
        <v>1</v>
      </c>
      <c r="I2095" s="1">
        <f t="shared" si="164"/>
        <v>1</v>
      </c>
    </row>
    <row r="2096" spans="1:9" x14ac:dyDescent="0.3">
      <c r="A2096" s="26">
        <v>47386</v>
      </c>
      <c r="B2096" s="27">
        <f t="shared" si="160"/>
        <v>2029</v>
      </c>
      <c r="C2096" s="27">
        <f t="shared" si="161"/>
        <v>9</v>
      </c>
      <c r="D2096" s="27">
        <f t="shared" si="162"/>
        <v>25</v>
      </c>
      <c r="E2096" s="27">
        <f t="shared" si="163"/>
        <v>3</v>
      </c>
      <c r="F2096" s="27">
        <f>VLOOKUP(E2096,[1]t_calendarioPolitica!A:C,3,FALSE)</f>
        <v>1</v>
      </c>
      <c r="G2096" s="1">
        <v>1</v>
      </c>
      <c r="H2096" s="1">
        <v>1</v>
      </c>
      <c r="I2096" s="1">
        <f t="shared" si="164"/>
        <v>1</v>
      </c>
    </row>
    <row r="2097" spans="1:9" x14ac:dyDescent="0.3">
      <c r="A2097" s="26">
        <v>47387</v>
      </c>
      <c r="B2097" s="27">
        <f t="shared" si="160"/>
        <v>2029</v>
      </c>
      <c r="C2097" s="27">
        <f t="shared" si="161"/>
        <v>9</v>
      </c>
      <c r="D2097" s="27">
        <f t="shared" si="162"/>
        <v>26</v>
      </c>
      <c r="E2097" s="27">
        <f t="shared" si="163"/>
        <v>4</v>
      </c>
      <c r="F2097" s="27">
        <f>VLOOKUP(E2097,[1]t_calendarioPolitica!A:C,3,FALSE)</f>
        <v>1</v>
      </c>
      <c r="G2097" s="1">
        <v>1</v>
      </c>
      <c r="H2097" s="1">
        <v>1</v>
      </c>
      <c r="I2097" s="1">
        <f t="shared" si="164"/>
        <v>1</v>
      </c>
    </row>
    <row r="2098" spans="1:9" x14ac:dyDescent="0.3">
      <c r="A2098" s="26">
        <v>47388</v>
      </c>
      <c r="B2098" s="27">
        <f t="shared" si="160"/>
        <v>2029</v>
      </c>
      <c r="C2098" s="27">
        <f t="shared" si="161"/>
        <v>9</v>
      </c>
      <c r="D2098" s="27">
        <f t="shared" si="162"/>
        <v>27</v>
      </c>
      <c r="E2098" s="27">
        <f t="shared" si="163"/>
        <v>5</v>
      </c>
      <c r="F2098" s="27">
        <f>VLOOKUP(E2098,[1]t_calendarioPolitica!A:C,3,FALSE)</f>
        <v>1</v>
      </c>
      <c r="G2098" s="1">
        <v>1</v>
      </c>
      <c r="H2098" s="1">
        <v>1</v>
      </c>
      <c r="I2098" s="1">
        <f t="shared" si="164"/>
        <v>1</v>
      </c>
    </row>
    <row r="2099" spans="1:9" x14ac:dyDescent="0.3">
      <c r="A2099" s="26">
        <v>47389</v>
      </c>
      <c r="B2099" s="27">
        <f t="shared" si="160"/>
        <v>2029</v>
      </c>
      <c r="C2099" s="27">
        <f t="shared" si="161"/>
        <v>9</v>
      </c>
      <c r="D2099" s="27">
        <f t="shared" si="162"/>
        <v>28</v>
      </c>
      <c r="E2099" s="27">
        <f t="shared" si="163"/>
        <v>6</v>
      </c>
      <c r="F2099" s="27">
        <f>VLOOKUP(E2099,[1]t_calendarioPolitica!A:C,3,FALSE)</f>
        <v>1</v>
      </c>
      <c r="G2099" s="1">
        <v>1</v>
      </c>
      <c r="H2099" s="1">
        <v>1</v>
      </c>
      <c r="I2099" s="1">
        <f t="shared" si="164"/>
        <v>1</v>
      </c>
    </row>
    <row r="2100" spans="1:9" x14ac:dyDescent="0.3">
      <c r="A2100" s="26">
        <v>47390</v>
      </c>
      <c r="B2100" s="27">
        <f t="shared" si="160"/>
        <v>2029</v>
      </c>
      <c r="C2100" s="27">
        <f t="shared" si="161"/>
        <v>9</v>
      </c>
      <c r="D2100" s="27">
        <f t="shared" si="162"/>
        <v>29</v>
      </c>
      <c r="E2100" s="27">
        <f t="shared" si="163"/>
        <v>7</v>
      </c>
      <c r="F2100" s="27">
        <f>VLOOKUP(E2100,[1]t_calendarioPolitica!A:C,3,FALSE)</f>
        <v>2</v>
      </c>
      <c r="G2100" s="1">
        <v>1</v>
      </c>
      <c r="H2100" s="1">
        <v>1</v>
      </c>
      <c r="I2100" s="1">
        <f t="shared" si="164"/>
        <v>1</v>
      </c>
    </row>
    <row r="2101" spans="1:9" x14ac:dyDescent="0.3">
      <c r="A2101" s="26">
        <v>47391</v>
      </c>
      <c r="B2101" s="27">
        <f t="shared" si="160"/>
        <v>2029</v>
      </c>
      <c r="C2101" s="27">
        <f t="shared" si="161"/>
        <v>9</v>
      </c>
      <c r="D2101" s="27">
        <f t="shared" si="162"/>
        <v>30</v>
      </c>
      <c r="E2101" s="27">
        <f t="shared" si="163"/>
        <v>1</v>
      </c>
      <c r="F2101" s="27">
        <f>VLOOKUP(E2101,[1]t_calendarioPolitica!A:C,3,FALSE)</f>
        <v>0</v>
      </c>
      <c r="G2101" s="1">
        <v>1</v>
      </c>
      <c r="H2101" s="1">
        <v>1</v>
      </c>
      <c r="I2101" s="1">
        <f t="shared" si="164"/>
        <v>0</v>
      </c>
    </row>
    <row r="2102" spans="1:9" x14ac:dyDescent="0.3">
      <c r="A2102" s="26">
        <v>47392</v>
      </c>
      <c r="B2102" s="27">
        <f t="shared" si="160"/>
        <v>2029</v>
      </c>
      <c r="C2102" s="27">
        <f t="shared" si="161"/>
        <v>10</v>
      </c>
      <c r="D2102" s="27">
        <f t="shared" si="162"/>
        <v>1</v>
      </c>
      <c r="E2102" s="27">
        <f t="shared" si="163"/>
        <v>2</v>
      </c>
      <c r="F2102" s="27">
        <f>VLOOKUP(E2102,[1]t_calendarioPolitica!A:C,3,FALSE)</f>
        <v>1</v>
      </c>
      <c r="G2102" s="1">
        <v>1</v>
      </c>
      <c r="H2102" s="1">
        <v>1</v>
      </c>
      <c r="I2102" s="1">
        <f t="shared" si="164"/>
        <v>1</v>
      </c>
    </row>
    <row r="2103" spans="1:9" x14ac:dyDescent="0.3">
      <c r="A2103" s="26">
        <v>47393</v>
      </c>
      <c r="B2103" s="27">
        <f t="shared" si="160"/>
        <v>2029</v>
      </c>
      <c r="C2103" s="27">
        <f t="shared" si="161"/>
        <v>10</v>
      </c>
      <c r="D2103" s="27">
        <f t="shared" si="162"/>
        <v>2</v>
      </c>
      <c r="E2103" s="27">
        <f t="shared" si="163"/>
        <v>3</v>
      </c>
      <c r="F2103" s="27">
        <f>VLOOKUP(E2103,[1]t_calendarioPolitica!A:C,3,FALSE)</f>
        <v>1</v>
      </c>
      <c r="G2103" s="1">
        <v>1</v>
      </c>
      <c r="H2103" s="1">
        <v>1</v>
      </c>
      <c r="I2103" s="1">
        <f t="shared" si="164"/>
        <v>1</v>
      </c>
    </row>
    <row r="2104" spans="1:9" x14ac:dyDescent="0.3">
      <c r="A2104" s="26">
        <v>47394</v>
      </c>
      <c r="B2104" s="27">
        <f t="shared" si="160"/>
        <v>2029</v>
      </c>
      <c r="C2104" s="27">
        <f t="shared" si="161"/>
        <v>10</v>
      </c>
      <c r="D2104" s="27">
        <f t="shared" si="162"/>
        <v>3</v>
      </c>
      <c r="E2104" s="27">
        <f t="shared" si="163"/>
        <v>4</v>
      </c>
      <c r="F2104" s="27">
        <f>VLOOKUP(E2104,[1]t_calendarioPolitica!A:C,3,FALSE)</f>
        <v>1</v>
      </c>
      <c r="G2104" s="1">
        <v>1</v>
      </c>
      <c r="H2104" s="1">
        <v>1</v>
      </c>
      <c r="I2104" s="1">
        <f t="shared" si="164"/>
        <v>1</v>
      </c>
    </row>
    <row r="2105" spans="1:9" x14ac:dyDescent="0.3">
      <c r="A2105" s="26">
        <v>47395</v>
      </c>
      <c r="B2105" s="27">
        <f t="shared" si="160"/>
        <v>2029</v>
      </c>
      <c r="C2105" s="27">
        <f t="shared" si="161"/>
        <v>10</v>
      </c>
      <c r="D2105" s="27">
        <f t="shared" si="162"/>
        <v>4</v>
      </c>
      <c r="E2105" s="27">
        <f t="shared" si="163"/>
        <v>5</v>
      </c>
      <c r="F2105" s="27">
        <f>VLOOKUP(E2105,[1]t_calendarioPolitica!A:C,3,FALSE)</f>
        <v>1</v>
      </c>
      <c r="G2105" s="1">
        <v>1</v>
      </c>
      <c r="H2105" s="1">
        <v>1</v>
      </c>
      <c r="I2105" s="1">
        <f t="shared" si="164"/>
        <v>1</v>
      </c>
    </row>
    <row r="2106" spans="1:9" x14ac:dyDescent="0.3">
      <c r="A2106" s="26">
        <v>47396</v>
      </c>
      <c r="B2106" s="27">
        <f t="shared" si="160"/>
        <v>2029</v>
      </c>
      <c r="C2106" s="27">
        <f t="shared" si="161"/>
        <v>10</v>
      </c>
      <c r="D2106" s="27">
        <f t="shared" si="162"/>
        <v>5</v>
      </c>
      <c r="E2106" s="27">
        <f t="shared" si="163"/>
        <v>6</v>
      </c>
      <c r="F2106" s="27">
        <f>VLOOKUP(E2106,[1]t_calendarioPolitica!A:C,3,FALSE)</f>
        <v>1</v>
      </c>
      <c r="G2106" s="1">
        <v>1</v>
      </c>
      <c r="H2106" s="1">
        <v>1</v>
      </c>
      <c r="I2106" s="1">
        <f t="shared" si="164"/>
        <v>1</v>
      </c>
    </row>
    <row r="2107" spans="1:9" x14ac:dyDescent="0.3">
      <c r="A2107" s="26">
        <v>47397</v>
      </c>
      <c r="B2107" s="27">
        <f t="shared" si="160"/>
        <v>2029</v>
      </c>
      <c r="C2107" s="27">
        <f t="shared" si="161"/>
        <v>10</v>
      </c>
      <c r="D2107" s="27">
        <f t="shared" si="162"/>
        <v>6</v>
      </c>
      <c r="E2107" s="27">
        <f t="shared" si="163"/>
        <v>7</v>
      </c>
      <c r="F2107" s="27">
        <f>VLOOKUP(E2107,[1]t_calendarioPolitica!A:C,3,FALSE)</f>
        <v>2</v>
      </c>
      <c r="G2107" s="1">
        <v>1</v>
      </c>
      <c r="H2107" s="1">
        <v>1</v>
      </c>
      <c r="I2107" s="1">
        <f t="shared" si="164"/>
        <v>1</v>
      </c>
    </row>
    <row r="2108" spans="1:9" x14ac:dyDescent="0.3">
      <c r="A2108" s="26">
        <v>47398</v>
      </c>
      <c r="B2108" s="27">
        <f t="shared" si="160"/>
        <v>2029</v>
      </c>
      <c r="C2108" s="27">
        <f t="shared" si="161"/>
        <v>10</v>
      </c>
      <c r="D2108" s="27">
        <f t="shared" si="162"/>
        <v>7</v>
      </c>
      <c r="E2108" s="27">
        <f t="shared" si="163"/>
        <v>1</v>
      </c>
      <c r="F2108" s="27">
        <f>VLOOKUP(E2108,[1]t_calendarioPolitica!A:C,3,FALSE)</f>
        <v>0</v>
      </c>
      <c r="G2108" s="1">
        <v>1</v>
      </c>
      <c r="H2108" s="1">
        <v>1</v>
      </c>
      <c r="I2108" s="1">
        <f t="shared" si="164"/>
        <v>0</v>
      </c>
    </row>
    <row r="2109" spans="1:9" x14ac:dyDescent="0.3">
      <c r="A2109" s="26">
        <v>47399</v>
      </c>
      <c r="B2109" s="27">
        <f t="shared" si="160"/>
        <v>2029</v>
      </c>
      <c r="C2109" s="27">
        <f t="shared" si="161"/>
        <v>10</v>
      </c>
      <c r="D2109" s="27">
        <f t="shared" si="162"/>
        <v>8</v>
      </c>
      <c r="E2109" s="27">
        <f t="shared" si="163"/>
        <v>2</v>
      </c>
      <c r="F2109" s="27">
        <f>VLOOKUP(E2109,[1]t_calendarioPolitica!A:C,3,FALSE)</f>
        <v>1</v>
      </c>
      <c r="G2109" s="1">
        <v>1</v>
      </c>
      <c r="H2109" s="1">
        <v>1</v>
      </c>
      <c r="I2109" s="1">
        <f t="shared" si="164"/>
        <v>1</v>
      </c>
    </row>
    <row r="2110" spans="1:9" x14ac:dyDescent="0.3">
      <c r="A2110" s="26">
        <v>47400</v>
      </c>
      <c r="B2110" s="27">
        <f t="shared" si="160"/>
        <v>2029</v>
      </c>
      <c r="C2110" s="27">
        <f t="shared" si="161"/>
        <v>10</v>
      </c>
      <c r="D2110" s="27">
        <f t="shared" si="162"/>
        <v>9</v>
      </c>
      <c r="E2110" s="27">
        <f t="shared" si="163"/>
        <v>3</v>
      </c>
      <c r="F2110" s="27">
        <f>VLOOKUP(E2110,[1]t_calendarioPolitica!A:C,3,FALSE)</f>
        <v>1</v>
      </c>
      <c r="G2110" s="1">
        <v>1</v>
      </c>
      <c r="H2110" s="1">
        <v>1</v>
      </c>
      <c r="I2110" s="1">
        <f t="shared" si="164"/>
        <v>1</v>
      </c>
    </row>
    <row r="2111" spans="1:9" x14ac:dyDescent="0.3">
      <c r="A2111" s="26">
        <v>47401</v>
      </c>
      <c r="B2111" s="27">
        <f t="shared" si="160"/>
        <v>2029</v>
      </c>
      <c r="C2111" s="27">
        <f t="shared" si="161"/>
        <v>10</v>
      </c>
      <c r="D2111" s="27">
        <f t="shared" si="162"/>
        <v>10</v>
      </c>
      <c r="E2111" s="27">
        <f t="shared" si="163"/>
        <v>4</v>
      </c>
      <c r="F2111" s="27">
        <f>VLOOKUP(E2111,[1]t_calendarioPolitica!A:C,3,FALSE)</f>
        <v>1</v>
      </c>
      <c r="G2111" s="1">
        <v>1</v>
      </c>
      <c r="H2111" s="1">
        <v>1</v>
      </c>
      <c r="I2111" s="1">
        <f t="shared" si="164"/>
        <v>1</v>
      </c>
    </row>
    <row r="2112" spans="1:9" x14ac:dyDescent="0.3">
      <c r="A2112" s="26">
        <v>47402</v>
      </c>
      <c r="B2112" s="27">
        <f t="shared" si="160"/>
        <v>2029</v>
      </c>
      <c r="C2112" s="27">
        <f t="shared" si="161"/>
        <v>10</v>
      </c>
      <c r="D2112" s="27">
        <f t="shared" si="162"/>
        <v>11</v>
      </c>
      <c r="E2112" s="27">
        <f t="shared" si="163"/>
        <v>5</v>
      </c>
      <c r="F2112" s="27">
        <f>VLOOKUP(E2112,[1]t_calendarioPolitica!A:C,3,FALSE)</f>
        <v>1</v>
      </c>
      <c r="G2112" s="1">
        <v>1</v>
      </c>
      <c r="H2112" s="1">
        <v>1</v>
      </c>
      <c r="I2112" s="1">
        <f t="shared" si="164"/>
        <v>1</v>
      </c>
    </row>
    <row r="2113" spans="1:9" x14ac:dyDescent="0.3">
      <c r="A2113" s="26">
        <v>47403</v>
      </c>
      <c r="B2113" s="27">
        <f t="shared" si="160"/>
        <v>2029</v>
      </c>
      <c r="C2113" s="27">
        <f t="shared" si="161"/>
        <v>10</v>
      </c>
      <c r="D2113" s="27">
        <f t="shared" si="162"/>
        <v>12</v>
      </c>
      <c r="E2113" s="27">
        <f t="shared" si="163"/>
        <v>6</v>
      </c>
      <c r="F2113" s="27">
        <f>VLOOKUP(E2113,[1]t_calendarioPolitica!A:C,3,FALSE)</f>
        <v>1</v>
      </c>
      <c r="G2113" s="1">
        <v>1</v>
      </c>
      <c r="H2113" s="1">
        <v>1</v>
      </c>
      <c r="I2113" s="1">
        <f t="shared" si="164"/>
        <v>1</v>
      </c>
    </row>
    <row r="2114" spans="1:9" x14ac:dyDescent="0.3">
      <c r="A2114" s="26">
        <v>47404</v>
      </c>
      <c r="B2114" s="27">
        <f t="shared" si="160"/>
        <v>2029</v>
      </c>
      <c r="C2114" s="27">
        <f t="shared" si="161"/>
        <v>10</v>
      </c>
      <c r="D2114" s="27">
        <f t="shared" si="162"/>
        <v>13</v>
      </c>
      <c r="E2114" s="27">
        <f t="shared" si="163"/>
        <v>7</v>
      </c>
      <c r="F2114" s="27">
        <f>VLOOKUP(E2114,[1]t_calendarioPolitica!A:C,3,FALSE)</f>
        <v>2</v>
      </c>
      <c r="G2114" s="1">
        <v>1</v>
      </c>
      <c r="H2114" s="1">
        <v>1</v>
      </c>
      <c r="I2114" s="1">
        <f t="shared" si="164"/>
        <v>1</v>
      </c>
    </row>
    <row r="2115" spans="1:9" x14ac:dyDescent="0.3">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VLOOKUP(E2115,[1]t_calendarioPolitica!A:C,3,FALSE)</f>
        <v>0</v>
      </c>
      <c r="G2115" s="1">
        <v>1</v>
      </c>
      <c r="H2115" s="1">
        <v>1</v>
      </c>
      <c r="I2115" s="1">
        <f t="shared" ref="I2115:I2178" si="169">IF(AND(F2115&lt;&gt;0, H2115&lt;&gt;0,G2115&lt;&gt;0), 1, 0)</f>
        <v>0</v>
      </c>
    </row>
    <row r="2116" spans="1:9" x14ac:dyDescent="0.3">
      <c r="A2116" s="26">
        <v>47406</v>
      </c>
      <c r="B2116" s="27">
        <f t="shared" si="165"/>
        <v>2029</v>
      </c>
      <c r="C2116" s="27">
        <f t="shared" si="166"/>
        <v>10</v>
      </c>
      <c r="D2116" s="27">
        <f t="shared" si="167"/>
        <v>15</v>
      </c>
      <c r="E2116" s="27">
        <f t="shared" si="168"/>
        <v>2</v>
      </c>
      <c r="F2116" s="27">
        <f>VLOOKUP(E2116,[1]t_calendarioPolitica!A:C,3,FALSE)</f>
        <v>1</v>
      </c>
      <c r="G2116" s="1">
        <v>1</v>
      </c>
      <c r="H2116" s="1">
        <v>1</v>
      </c>
      <c r="I2116" s="1">
        <f t="shared" si="169"/>
        <v>1</v>
      </c>
    </row>
    <row r="2117" spans="1:9" x14ac:dyDescent="0.3">
      <c r="A2117" s="26">
        <v>47407</v>
      </c>
      <c r="B2117" s="27">
        <f t="shared" si="165"/>
        <v>2029</v>
      </c>
      <c r="C2117" s="27">
        <f t="shared" si="166"/>
        <v>10</v>
      </c>
      <c r="D2117" s="27">
        <f t="shared" si="167"/>
        <v>16</v>
      </c>
      <c r="E2117" s="27">
        <f t="shared" si="168"/>
        <v>3</v>
      </c>
      <c r="F2117" s="27">
        <f>VLOOKUP(E2117,[1]t_calendarioPolitica!A:C,3,FALSE)</f>
        <v>1</v>
      </c>
      <c r="G2117" s="1">
        <v>1</v>
      </c>
      <c r="H2117" s="1">
        <v>1</v>
      </c>
      <c r="I2117" s="1">
        <f t="shared" si="169"/>
        <v>1</v>
      </c>
    </row>
    <row r="2118" spans="1:9" x14ac:dyDescent="0.3">
      <c r="A2118" s="26">
        <v>47408</v>
      </c>
      <c r="B2118" s="27">
        <f t="shared" si="165"/>
        <v>2029</v>
      </c>
      <c r="C2118" s="27">
        <f t="shared" si="166"/>
        <v>10</v>
      </c>
      <c r="D2118" s="27">
        <f t="shared" si="167"/>
        <v>17</v>
      </c>
      <c r="E2118" s="27">
        <f t="shared" si="168"/>
        <v>4</v>
      </c>
      <c r="F2118" s="27">
        <f>VLOOKUP(E2118,[1]t_calendarioPolitica!A:C,3,FALSE)</f>
        <v>1</v>
      </c>
      <c r="G2118" s="1">
        <v>1</v>
      </c>
      <c r="H2118" s="1">
        <v>1</v>
      </c>
      <c r="I2118" s="1">
        <f t="shared" si="169"/>
        <v>1</v>
      </c>
    </row>
    <row r="2119" spans="1:9" x14ac:dyDescent="0.3">
      <c r="A2119" s="26">
        <v>47409</v>
      </c>
      <c r="B2119" s="27">
        <f t="shared" si="165"/>
        <v>2029</v>
      </c>
      <c r="C2119" s="27">
        <f t="shared" si="166"/>
        <v>10</v>
      </c>
      <c r="D2119" s="27">
        <f t="shared" si="167"/>
        <v>18</v>
      </c>
      <c r="E2119" s="27">
        <f t="shared" si="168"/>
        <v>5</v>
      </c>
      <c r="F2119" s="27">
        <f>VLOOKUP(E2119,[1]t_calendarioPolitica!A:C,3,FALSE)</f>
        <v>1</v>
      </c>
      <c r="G2119" s="1">
        <v>1</v>
      </c>
      <c r="H2119" s="1">
        <v>1</v>
      </c>
      <c r="I2119" s="1">
        <f t="shared" si="169"/>
        <v>1</v>
      </c>
    </row>
    <row r="2120" spans="1:9" x14ac:dyDescent="0.3">
      <c r="A2120" s="26">
        <v>47410</v>
      </c>
      <c r="B2120" s="27">
        <f t="shared" si="165"/>
        <v>2029</v>
      </c>
      <c r="C2120" s="27">
        <f t="shared" si="166"/>
        <v>10</v>
      </c>
      <c r="D2120" s="27">
        <f t="shared" si="167"/>
        <v>19</v>
      </c>
      <c r="E2120" s="27">
        <f t="shared" si="168"/>
        <v>6</v>
      </c>
      <c r="F2120" s="27">
        <f>VLOOKUP(E2120,[1]t_calendarioPolitica!A:C,3,FALSE)</f>
        <v>1</v>
      </c>
      <c r="G2120" s="1">
        <v>1</v>
      </c>
      <c r="H2120" s="1">
        <v>1</v>
      </c>
      <c r="I2120" s="1">
        <f t="shared" si="169"/>
        <v>1</v>
      </c>
    </row>
    <row r="2121" spans="1:9" x14ac:dyDescent="0.3">
      <c r="A2121" s="26">
        <v>47411</v>
      </c>
      <c r="B2121" s="27">
        <f t="shared" si="165"/>
        <v>2029</v>
      </c>
      <c r="C2121" s="27">
        <f t="shared" si="166"/>
        <v>10</v>
      </c>
      <c r="D2121" s="27">
        <f t="shared" si="167"/>
        <v>20</v>
      </c>
      <c r="E2121" s="27">
        <f t="shared" si="168"/>
        <v>7</v>
      </c>
      <c r="F2121" s="27">
        <f>VLOOKUP(E2121,[1]t_calendarioPolitica!A:C,3,FALSE)</f>
        <v>2</v>
      </c>
      <c r="G2121" s="1">
        <v>1</v>
      </c>
      <c r="H2121" s="1">
        <v>1</v>
      </c>
      <c r="I2121" s="1">
        <f t="shared" si="169"/>
        <v>1</v>
      </c>
    </row>
    <row r="2122" spans="1:9" x14ac:dyDescent="0.3">
      <c r="A2122" s="26">
        <v>47412</v>
      </c>
      <c r="B2122" s="27">
        <f t="shared" si="165"/>
        <v>2029</v>
      </c>
      <c r="C2122" s="27">
        <f t="shared" si="166"/>
        <v>10</v>
      </c>
      <c r="D2122" s="27">
        <f t="shared" si="167"/>
        <v>21</v>
      </c>
      <c r="E2122" s="27">
        <f t="shared" si="168"/>
        <v>1</v>
      </c>
      <c r="F2122" s="27">
        <f>VLOOKUP(E2122,[1]t_calendarioPolitica!A:C,3,FALSE)</f>
        <v>0</v>
      </c>
      <c r="G2122" s="1">
        <v>1</v>
      </c>
      <c r="H2122" s="1">
        <v>1</v>
      </c>
      <c r="I2122" s="1">
        <f t="shared" si="169"/>
        <v>0</v>
      </c>
    </row>
    <row r="2123" spans="1:9" x14ac:dyDescent="0.3">
      <c r="A2123" s="26">
        <v>47413</v>
      </c>
      <c r="B2123" s="27">
        <f t="shared" si="165"/>
        <v>2029</v>
      </c>
      <c r="C2123" s="27">
        <f t="shared" si="166"/>
        <v>10</v>
      </c>
      <c r="D2123" s="27">
        <f t="shared" si="167"/>
        <v>22</v>
      </c>
      <c r="E2123" s="27">
        <f t="shared" si="168"/>
        <v>2</v>
      </c>
      <c r="F2123" s="27">
        <f>VLOOKUP(E2123,[1]t_calendarioPolitica!A:C,3,FALSE)</f>
        <v>1</v>
      </c>
      <c r="G2123" s="1">
        <v>1</v>
      </c>
      <c r="H2123" s="1">
        <v>1</v>
      </c>
      <c r="I2123" s="1">
        <f t="shared" si="169"/>
        <v>1</v>
      </c>
    </row>
    <row r="2124" spans="1:9" x14ac:dyDescent="0.3">
      <c r="A2124" s="26">
        <v>47414</v>
      </c>
      <c r="B2124" s="27">
        <f t="shared" si="165"/>
        <v>2029</v>
      </c>
      <c r="C2124" s="27">
        <f t="shared" si="166"/>
        <v>10</v>
      </c>
      <c r="D2124" s="27">
        <f t="shared" si="167"/>
        <v>23</v>
      </c>
      <c r="E2124" s="27">
        <f t="shared" si="168"/>
        <v>3</v>
      </c>
      <c r="F2124" s="27">
        <f>VLOOKUP(E2124,[1]t_calendarioPolitica!A:C,3,FALSE)</f>
        <v>1</v>
      </c>
      <c r="G2124" s="1">
        <v>1</v>
      </c>
      <c r="H2124" s="1">
        <v>1</v>
      </c>
      <c r="I2124" s="1">
        <f t="shared" si="169"/>
        <v>1</v>
      </c>
    </row>
    <row r="2125" spans="1:9" x14ac:dyDescent="0.3">
      <c r="A2125" s="26">
        <v>47415</v>
      </c>
      <c r="B2125" s="27">
        <f t="shared" si="165"/>
        <v>2029</v>
      </c>
      <c r="C2125" s="27">
        <f t="shared" si="166"/>
        <v>10</v>
      </c>
      <c r="D2125" s="27">
        <f t="shared" si="167"/>
        <v>24</v>
      </c>
      <c r="E2125" s="27">
        <f t="shared" si="168"/>
        <v>4</v>
      </c>
      <c r="F2125" s="27">
        <f>VLOOKUP(E2125,[1]t_calendarioPolitica!A:C,3,FALSE)</f>
        <v>1</v>
      </c>
      <c r="G2125" s="1">
        <v>1</v>
      </c>
      <c r="H2125" s="1">
        <v>1</v>
      </c>
      <c r="I2125" s="1">
        <f t="shared" si="169"/>
        <v>1</v>
      </c>
    </row>
    <row r="2126" spans="1:9" x14ac:dyDescent="0.3">
      <c r="A2126" s="26">
        <v>47416</v>
      </c>
      <c r="B2126" s="27">
        <f t="shared" si="165"/>
        <v>2029</v>
      </c>
      <c r="C2126" s="27">
        <f t="shared" si="166"/>
        <v>10</v>
      </c>
      <c r="D2126" s="27">
        <f t="shared" si="167"/>
        <v>25</v>
      </c>
      <c r="E2126" s="27">
        <f t="shared" si="168"/>
        <v>5</v>
      </c>
      <c r="F2126" s="27">
        <f>VLOOKUP(E2126,[1]t_calendarioPolitica!A:C,3,FALSE)</f>
        <v>1</v>
      </c>
      <c r="G2126" s="1">
        <v>1</v>
      </c>
      <c r="H2126" s="1">
        <v>1</v>
      </c>
      <c r="I2126" s="1">
        <f t="shared" si="169"/>
        <v>1</v>
      </c>
    </row>
    <row r="2127" spans="1:9" x14ac:dyDescent="0.3">
      <c r="A2127" s="26">
        <v>47417</v>
      </c>
      <c r="B2127" s="27">
        <f t="shared" si="165"/>
        <v>2029</v>
      </c>
      <c r="C2127" s="27">
        <f t="shared" si="166"/>
        <v>10</v>
      </c>
      <c r="D2127" s="27">
        <f t="shared" si="167"/>
        <v>26</v>
      </c>
      <c r="E2127" s="27">
        <f t="shared" si="168"/>
        <v>6</v>
      </c>
      <c r="F2127" s="27">
        <f>VLOOKUP(E2127,[1]t_calendarioPolitica!A:C,3,FALSE)</f>
        <v>1</v>
      </c>
      <c r="G2127" s="1">
        <v>1</v>
      </c>
      <c r="H2127" s="1">
        <v>1</v>
      </c>
      <c r="I2127" s="1">
        <f t="shared" si="169"/>
        <v>1</v>
      </c>
    </row>
    <row r="2128" spans="1:9" x14ac:dyDescent="0.3">
      <c r="A2128" s="26">
        <v>47418</v>
      </c>
      <c r="B2128" s="27">
        <f t="shared" si="165"/>
        <v>2029</v>
      </c>
      <c r="C2128" s="27">
        <f t="shared" si="166"/>
        <v>10</v>
      </c>
      <c r="D2128" s="27">
        <f t="shared" si="167"/>
        <v>27</v>
      </c>
      <c r="E2128" s="27">
        <f t="shared" si="168"/>
        <v>7</v>
      </c>
      <c r="F2128" s="27">
        <f>VLOOKUP(E2128,[1]t_calendarioPolitica!A:C,3,FALSE)</f>
        <v>2</v>
      </c>
      <c r="G2128" s="1">
        <v>1</v>
      </c>
      <c r="H2128" s="1">
        <v>1</v>
      </c>
      <c r="I2128" s="1">
        <f t="shared" si="169"/>
        <v>1</v>
      </c>
    </row>
    <row r="2129" spans="1:9" x14ac:dyDescent="0.3">
      <c r="A2129" s="26">
        <v>47419</v>
      </c>
      <c r="B2129" s="27">
        <f t="shared" si="165"/>
        <v>2029</v>
      </c>
      <c r="C2129" s="27">
        <f t="shared" si="166"/>
        <v>10</v>
      </c>
      <c r="D2129" s="27">
        <f t="shared" si="167"/>
        <v>28</v>
      </c>
      <c r="E2129" s="27">
        <f t="shared" si="168"/>
        <v>1</v>
      </c>
      <c r="F2129" s="27">
        <f>VLOOKUP(E2129,[1]t_calendarioPolitica!A:C,3,FALSE)</f>
        <v>0</v>
      </c>
      <c r="G2129" s="1">
        <v>1</v>
      </c>
      <c r="H2129" s="1">
        <v>1</v>
      </c>
      <c r="I2129" s="1">
        <f t="shared" si="169"/>
        <v>0</v>
      </c>
    </row>
    <row r="2130" spans="1:9" x14ac:dyDescent="0.3">
      <c r="A2130" s="26">
        <v>47420</v>
      </c>
      <c r="B2130" s="27">
        <f t="shared" si="165"/>
        <v>2029</v>
      </c>
      <c r="C2130" s="27">
        <f t="shared" si="166"/>
        <v>10</v>
      </c>
      <c r="D2130" s="27">
        <f t="shared" si="167"/>
        <v>29</v>
      </c>
      <c r="E2130" s="27">
        <f t="shared" si="168"/>
        <v>2</v>
      </c>
      <c r="F2130" s="27">
        <f>VLOOKUP(E2130,[1]t_calendarioPolitica!A:C,3,FALSE)</f>
        <v>1</v>
      </c>
      <c r="G2130" s="1">
        <v>1</v>
      </c>
      <c r="H2130" s="1">
        <v>1</v>
      </c>
      <c r="I2130" s="1">
        <f t="shared" si="169"/>
        <v>1</v>
      </c>
    </row>
    <row r="2131" spans="1:9" x14ac:dyDescent="0.3">
      <c r="A2131" s="26">
        <v>47421</v>
      </c>
      <c r="B2131" s="27">
        <f t="shared" si="165"/>
        <v>2029</v>
      </c>
      <c r="C2131" s="27">
        <f t="shared" si="166"/>
        <v>10</v>
      </c>
      <c r="D2131" s="27">
        <f t="shared" si="167"/>
        <v>30</v>
      </c>
      <c r="E2131" s="27">
        <f t="shared" si="168"/>
        <v>3</v>
      </c>
      <c r="F2131" s="27">
        <f>VLOOKUP(E2131,[1]t_calendarioPolitica!A:C,3,FALSE)</f>
        <v>1</v>
      </c>
      <c r="G2131" s="1">
        <v>1</v>
      </c>
      <c r="H2131" s="1">
        <v>1</v>
      </c>
      <c r="I2131" s="1">
        <f t="shared" si="169"/>
        <v>1</v>
      </c>
    </row>
    <row r="2132" spans="1:9" x14ac:dyDescent="0.3">
      <c r="A2132" s="26">
        <v>47422</v>
      </c>
      <c r="B2132" s="27">
        <f t="shared" si="165"/>
        <v>2029</v>
      </c>
      <c r="C2132" s="27">
        <f t="shared" si="166"/>
        <v>10</v>
      </c>
      <c r="D2132" s="27">
        <f t="shared" si="167"/>
        <v>31</v>
      </c>
      <c r="E2132" s="27">
        <f t="shared" si="168"/>
        <v>4</v>
      </c>
      <c r="F2132" s="27">
        <f>VLOOKUP(E2132,[1]t_calendarioPolitica!A:C,3,FALSE)</f>
        <v>1</v>
      </c>
      <c r="G2132" s="1">
        <v>1</v>
      </c>
      <c r="H2132" s="1">
        <v>1</v>
      </c>
      <c r="I2132" s="1">
        <f t="shared" si="169"/>
        <v>1</v>
      </c>
    </row>
    <row r="2133" spans="1:9" x14ac:dyDescent="0.3">
      <c r="A2133" s="26">
        <v>47423</v>
      </c>
      <c r="B2133" s="27">
        <f t="shared" si="165"/>
        <v>2029</v>
      </c>
      <c r="C2133" s="27">
        <f t="shared" si="166"/>
        <v>11</v>
      </c>
      <c r="D2133" s="27">
        <f t="shared" si="167"/>
        <v>1</v>
      </c>
      <c r="E2133" s="27">
        <f t="shared" si="168"/>
        <v>5</v>
      </c>
      <c r="F2133" s="27">
        <f>VLOOKUP(E2133,[1]t_calendarioPolitica!A:C,3,FALSE)</f>
        <v>1</v>
      </c>
      <c r="G2133" s="1">
        <v>1</v>
      </c>
      <c r="H2133" s="1">
        <v>1</v>
      </c>
      <c r="I2133" s="1">
        <f t="shared" si="169"/>
        <v>1</v>
      </c>
    </row>
    <row r="2134" spans="1:9" x14ac:dyDescent="0.3">
      <c r="A2134" s="26">
        <v>47424</v>
      </c>
      <c r="B2134" s="27">
        <f t="shared" si="165"/>
        <v>2029</v>
      </c>
      <c r="C2134" s="27">
        <f t="shared" si="166"/>
        <v>11</v>
      </c>
      <c r="D2134" s="27">
        <f t="shared" si="167"/>
        <v>2</v>
      </c>
      <c r="E2134" s="27">
        <f t="shared" si="168"/>
        <v>6</v>
      </c>
      <c r="F2134" s="27">
        <f>VLOOKUP(E2134,[1]t_calendarioPolitica!A:C,3,FALSE)</f>
        <v>1</v>
      </c>
      <c r="G2134" s="1">
        <v>1</v>
      </c>
      <c r="H2134" s="1">
        <v>0</v>
      </c>
      <c r="I2134" s="1">
        <f t="shared" si="169"/>
        <v>0</v>
      </c>
    </row>
    <row r="2135" spans="1:9" x14ac:dyDescent="0.3">
      <c r="A2135" s="26">
        <v>47425</v>
      </c>
      <c r="B2135" s="27">
        <f t="shared" si="165"/>
        <v>2029</v>
      </c>
      <c r="C2135" s="27">
        <f t="shared" si="166"/>
        <v>11</v>
      </c>
      <c r="D2135" s="27">
        <f t="shared" si="167"/>
        <v>3</v>
      </c>
      <c r="E2135" s="27">
        <f t="shared" si="168"/>
        <v>7</v>
      </c>
      <c r="F2135" s="27">
        <f>VLOOKUP(E2135,[1]t_calendarioPolitica!A:C,3,FALSE)</f>
        <v>2</v>
      </c>
      <c r="G2135" s="1">
        <v>1</v>
      </c>
      <c r="H2135" s="1">
        <v>1</v>
      </c>
      <c r="I2135" s="1">
        <f t="shared" si="169"/>
        <v>1</v>
      </c>
    </row>
    <row r="2136" spans="1:9" x14ac:dyDescent="0.3">
      <c r="A2136" s="26">
        <v>47426</v>
      </c>
      <c r="B2136" s="27">
        <f t="shared" si="165"/>
        <v>2029</v>
      </c>
      <c r="C2136" s="27">
        <f t="shared" si="166"/>
        <v>11</v>
      </c>
      <c r="D2136" s="27">
        <f t="shared" si="167"/>
        <v>4</v>
      </c>
      <c r="E2136" s="27">
        <f t="shared" si="168"/>
        <v>1</v>
      </c>
      <c r="F2136" s="27">
        <f>VLOOKUP(E2136,[1]t_calendarioPolitica!A:C,3,FALSE)</f>
        <v>0</v>
      </c>
      <c r="G2136" s="1">
        <v>1</v>
      </c>
      <c r="H2136" s="1">
        <v>1</v>
      </c>
      <c r="I2136" s="1">
        <f t="shared" si="169"/>
        <v>0</v>
      </c>
    </row>
    <row r="2137" spans="1:9" x14ac:dyDescent="0.3">
      <c r="A2137" s="26">
        <v>47427</v>
      </c>
      <c r="B2137" s="27">
        <f t="shared" si="165"/>
        <v>2029</v>
      </c>
      <c r="C2137" s="27">
        <f t="shared" si="166"/>
        <v>11</v>
      </c>
      <c r="D2137" s="27">
        <f t="shared" si="167"/>
        <v>5</v>
      </c>
      <c r="E2137" s="27">
        <f t="shared" si="168"/>
        <v>2</v>
      </c>
      <c r="F2137" s="27">
        <f>VLOOKUP(E2137,[1]t_calendarioPolitica!A:C,3,FALSE)</f>
        <v>1</v>
      </c>
      <c r="G2137" s="1">
        <v>1</v>
      </c>
      <c r="H2137" s="1">
        <v>1</v>
      </c>
      <c r="I2137" s="1">
        <f t="shared" si="169"/>
        <v>1</v>
      </c>
    </row>
    <row r="2138" spans="1:9" x14ac:dyDescent="0.3">
      <c r="A2138" s="26">
        <v>47428</v>
      </c>
      <c r="B2138" s="27">
        <f t="shared" si="165"/>
        <v>2029</v>
      </c>
      <c r="C2138" s="27">
        <f t="shared" si="166"/>
        <v>11</v>
      </c>
      <c r="D2138" s="27">
        <f t="shared" si="167"/>
        <v>6</v>
      </c>
      <c r="E2138" s="27">
        <f t="shared" si="168"/>
        <v>3</v>
      </c>
      <c r="F2138" s="27">
        <f>VLOOKUP(E2138,[1]t_calendarioPolitica!A:C,3,FALSE)</f>
        <v>1</v>
      </c>
      <c r="G2138" s="1">
        <v>1</v>
      </c>
      <c r="H2138" s="1">
        <v>1</v>
      </c>
      <c r="I2138" s="1">
        <f t="shared" si="169"/>
        <v>1</v>
      </c>
    </row>
    <row r="2139" spans="1:9" x14ac:dyDescent="0.3">
      <c r="A2139" s="26">
        <v>47429</v>
      </c>
      <c r="B2139" s="27">
        <f t="shared" si="165"/>
        <v>2029</v>
      </c>
      <c r="C2139" s="27">
        <f t="shared" si="166"/>
        <v>11</v>
      </c>
      <c r="D2139" s="27">
        <f t="shared" si="167"/>
        <v>7</v>
      </c>
      <c r="E2139" s="27">
        <f t="shared" si="168"/>
        <v>4</v>
      </c>
      <c r="F2139" s="27">
        <f>VLOOKUP(E2139,[1]t_calendarioPolitica!A:C,3,FALSE)</f>
        <v>1</v>
      </c>
      <c r="G2139" s="1">
        <v>1</v>
      </c>
      <c r="H2139" s="1">
        <v>1</v>
      </c>
      <c r="I2139" s="1">
        <f t="shared" si="169"/>
        <v>1</v>
      </c>
    </row>
    <row r="2140" spans="1:9" x14ac:dyDescent="0.3">
      <c r="A2140" s="26">
        <v>47430</v>
      </c>
      <c r="B2140" s="27">
        <f t="shared" si="165"/>
        <v>2029</v>
      </c>
      <c r="C2140" s="27">
        <f t="shared" si="166"/>
        <v>11</v>
      </c>
      <c r="D2140" s="27">
        <f t="shared" si="167"/>
        <v>8</v>
      </c>
      <c r="E2140" s="27">
        <f t="shared" si="168"/>
        <v>5</v>
      </c>
      <c r="F2140" s="27">
        <f>VLOOKUP(E2140,[1]t_calendarioPolitica!A:C,3,FALSE)</f>
        <v>1</v>
      </c>
      <c r="G2140" s="1">
        <v>1</v>
      </c>
      <c r="H2140" s="1">
        <v>1</v>
      </c>
      <c r="I2140" s="1">
        <f t="shared" si="169"/>
        <v>1</v>
      </c>
    </row>
    <row r="2141" spans="1:9" x14ac:dyDescent="0.3">
      <c r="A2141" s="26">
        <v>47431</v>
      </c>
      <c r="B2141" s="27">
        <f t="shared" si="165"/>
        <v>2029</v>
      </c>
      <c r="C2141" s="27">
        <f t="shared" si="166"/>
        <v>11</v>
      </c>
      <c r="D2141" s="27">
        <f t="shared" si="167"/>
        <v>9</v>
      </c>
      <c r="E2141" s="27">
        <f t="shared" si="168"/>
        <v>6</v>
      </c>
      <c r="F2141" s="27">
        <f>VLOOKUP(E2141,[1]t_calendarioPolitica!A:C,3,FALSE)</f>
        <v>1</v>
      </c>
      <c r="G2141" s="1">
        <v>1</v>
      </c>
      <c r="H2141" s="1">
        <v>1</v>
      </c>
      <c r="I2141" s="1">
        <f t="shared" si="169"/>
        <v>1</v>
      </c>
    </row>
    <row r="2142" spans="1:9" x14ac:dyDescent="0.3">
      <c r="A2142" s="26">
        <v>47432</v>
      </c>
      <c r="B2142" s="27">
        <f t="shared" si="165"/>
        <v>2029</v>
      </c>
      <c r="C2142" s="27">
        <f t="shared" si="166"/>
        <v>11</v>
      </c>
      <c r="D2142" s="27">
        <f t="shared" si="167"/>
        <v>10</v>
      </c>
      <c r="E2142" s="27">
        <f t="shared" si="168"/>
        <v>7</v>
      </c>
      <c r="F2142" s="27">
        <f>VLOOKUP(E2142,[1]t_calendarioPolitica!A:C,3,FALSE)</f>
        <v>2</v>
      </c>
      <c r="G2142" s="1">
        <v>1</v>
      </c>
      <c r="H2142" s="1">
        <v>1</v>
      </c>
      <c r="I2142" s="1">
        <f t="shared" si="169"/>
        <v>1</v>
      </c>
    </row>
    <row r="2143" spans="1:9" x14ac:dyDescent="0.3">
      <c r="A2143" s="26">
        <v>47433</v>
      </c>
      <c r="B2143" s="27">
        <f t="shared" si="165"/>
        <v>2029</v>
      </c>
      <c r="C2143" s="27">
        <f t="shared" si="166"/>
        <v>11</v>
      </c>
      <c r="D2143" s="27">
        <f t="shared" si="167"/>
        <v>11</v>
      </c>
      <c r="E2143" s="27">
        <f t="shared" si="168"/>
        <v>1</v>
      </c>
      <c r="F2143" s="27">
        <f>VLOOKUP(E2143,[1]t_calendarioPolitica!A:C,3,FALSE)</f>
        <v>0</v>
      </c>
      <c r="G2143" s="1">
        <v>1</v>
      </c>
      <c r="H2143" s="1">
        <v>1</v>
      </c>
      <c r="I2143" s="1">
        <f t="shared" si="169"/>
        <v>0</v>
      </c>
    </row>
    <row r="2144" spans="1:9" x14ac:dyDescent="0.3">
      <c r="A2144" s="26">
        <v>47434</v>
      </c>
      <c r="B2144" s="27">
        <f t="shared" si="165"/>
        <v>2029</v>
      </c>
      <c r="C2144" s="27">
        <f t="shared" si="166"/>
        <v>11</v>
      </c>
      <c r="D2144" s="27">
        <f t="shared" si="167"/>
        <v>12</v>
      </c>
      <c r="E2144" s="27">
        <f t="shared" si="168"/>
        <v>2</v>
      </c>
      <c r="F2144" s="27">
        <f>VLOOKUP(E2144,[1]t_calendarioPolitica!A:C,3,FALSE)</f>
        <v>1</v>
      </c>
      <c r="G2144" s="1">
        <v>1</v>
      </c>
      <c r="H2144" s="1">
        <v>1</v>
      </c>
      <c r="I2144" s="1">
        <f t="shared" si="169"/>
        <v>1</v>
      </c>
    </row>
    <row r="2145" spans="1:9" x14ac:dyDescent="0.3">
      <c r="A2145" s="26">
        <v>47435</v>
      </c>
      <c r="B2145" s="27">
        <f t="shared" si="165"/>
        <v>2029</v>
      </c>
      <c r="C2145" s="27">
        <f t="shared" si="166"/>
        <v>11</v>
      </c>
      <c r="D2145" s="27">
        <f t="shared" si="167"/>
        <v>13</v>
      </c>
      <c r="E2145" s="27">
        <f t="shared" si="168"/>
        <v>3</v>
      </c>
      <c r="F2145" s="27">
        <f>VLOOKUP(E2145,[1]t_calendarioPolitica!A:C,3,FALSE)</f>
        <v>1</v>
      </c>
      <c r="G2145" s="1">
        <v>1</v>
      </c>
      <c r="H2145" s="1">
        <v>1</v>
      </c>
      <c r="I2145" s="1">
        <f t="shared" si="169"/>
        <v>1</v>
      </c>
    </row>
    <row r="2146" spans="1:9" x14ac:dyDescent="0.3">
      <c r="A2146" s="26">
        <v>47436</v>
      </c>
      <c r="B2146" s="27">
        <f t="shared" si="165"/>
        <v>2029</v>
      </c>
      <c r="C2146" s="27">
        <f t="shared" si="166"/>
        <v>11</v>
      </c>
      <c r="D2146" s="27">
        <f t="shared" si="167"/>
        <v>14</v>
      </c>
      <c r="E2146" s="27">
        <f t="shared" si="168"/>
        <v>4</v>
      </c>
      <c r="F2146" s="27">
        <f>VLOOKUP(E2146,[1]t_calendarioPolitica!A:C,3,FALSE)</f>
        <v>1</v>
      </c>
      <c r="G2146" s="1">
        <v>1</v>
      </c>
      <c r="H2146" s="1">
        <v>1</v>
      </c>
      <c r="I2146" s="1">
        <f t="shared" si="169"/>
        <v>1</v>
      </c>
    </row>
    <row r="2147" spans="1:9" x14ac:dyDescent="0.3">
      <c r="A2147" s="26">
        <v>47437</v>
      </c>
      <c r="B2147" s="27">
        <f t="shared" si="165"/>
        <v>2029</v>
      </c>
      <c r="C2147" s="27">
        <f t="shared" si="166"/>
        <v>11</v>
      </c>
      <c r="D2147" s="27">
        <f t="shared" si="167"/>
        <v>15</v>
      </c>
      <c r="E2147" s="27">
        <f t="shared" si="168"/>
        <v>5</v>
      </c>
      <c r="F2147" s="27">
        <f>VLOOKUP(E2147,[1]t_calendarioPolitica!A:C,3,FALSE)</f>
        <v>1</v>
      </c>
      <c r="G2147" s="1">
        <v>1</v>
      </c>
      <c r="H2147" s="1">
        <v>1</v>
      </c>
      <c r="I2147" s="1">
        <f t="shared" si="169"/>
        <v>1</v>
      </c>
    </row>
    <row r="2148" spans="1:9" x14ac:dyDescent="0.3">
      <c r="A2148" s="26">
        <v>47438</v>
      </c>
      <c r="B2148" s="27">
        <f t="shared" si="165"/>
        <v>2029</v>
      </c>
      <c r="C2148" s="27">
        <f t="shared" si="166"/>
        <v>11</v>
      </c>
      <c r="D2148" s="27">
        <f t="shared" si="167"/>
        <v>16</v>
      </c>
      <c r="E2148" s="27">
        <f t="shared" si="168"/>
        <v>6</v>
      </c>
      <c r="F2148" s="27">
        <f>VLOOKUP(E2148,[1]t_calendarioPolitica!A:C,3,FALSE)</f>
        <v>1</v>
      </c>
      <c r="G2148" s="1">
        <v>1</v>
      </c>
      <c r="H2148" s="1">
        <v>1</v>
      </c>
      <c r="I2148" s="1">
        <f t="shared" si="169"/>
        <v>1</v>
      </c>
    </row>
    <row r="2149" spans="1:9" x14ac:dyDescent="0.3">
      <c r="A2149" s="26">
        <v>47439</v>
      </c>
      <c r="B2149" s="27">
        <f t="shared" si="165"/>
        <v>2029</v>
      </c>
      <c r="C2149" s="27">
        <f t="shared" si="166"/>
        <v>11</v>
      </c>
      <c r="D2149" s="27">
        <f t="shared" si="167"/>
        <v>17</v>
      </c>
      <c r="E2149" s="27">
        <f t="shared" si="168"/>
        <v>7</v>
      </c>
      <c r="F2149" s="27">
        <f>VLOOKUP(E2149,[1]t_calendarioPolitica!A:C,3,FALSE)</f>
        <v>2</v>
      </c>
      <c r="G2149" s="1">
        <v>1</v>
      </c>
      <c r="H2149" s="1">
        <v>1</v>
      </c>
      <c r="I2149" s="1">
        <f t="shared" si="169"/>
        <v>1</v>
      </c>
    </row>
    <row r="2150" spans="1:9" x14ac:dyDescent="0.3">
      <c r="A2150" s="26">
        <v>47440</v>
      </c>
      <c r="B2150" s="27">
        <f t="shared" si="165"/>
        <v>2029</v>
      </c>
      <c r="C2150" s="27">
        <f t="shared" si="166"/>
        <v>11</v>
      </c>
      <c r="D2150" s="27">
        <f t="shared" si="167"/>
        <v>18</v>
      </c>
      <c r="E2150" s="27">
        <f t="shared" si="168"/>
        <v>1</v>
      </c>
      <c r="F2150" s="27">
        <f>VLOOKUP(E2150,[1]t_calendarioPolitica!A:C,3,FALSE)</f>
        <v>0</v>
      </c>
      <c r="G2150" s="1">
        <v>1</v>
      </c>
      <c r="H2150" s="1">
        <v>1</v>
      </c>
      <c r="I2150" s="1">
        <f t="shared" si="169"/>
        <v>0</v>
      </c>
    </row>
    <row r="2151" spans="1:9" x14ac:dyDescent="0.3">
      <c r="A2151" s="26">
        <v>47441</v>
      </c>
      <c r="B2151" s="27">
        <f t="shared" si="165"/>
        <v>2029</v>
      </c>
      <c r="C2151" s="27">
        <f t="shared" si="166"/>
        <v>11</v>
      </c>
      <c r="D2151" s="27">
        <f t="shared" si="167"/>
        <v>19</v>
      </c>
      <c r="E2151" s="27">
        <f t="shared" si="168"/>
        <v>2</v>
      </c>
      <c r="F2151" s="27">
        <f>VLOOKUP(E2151,[1]t_calendarioPolitica!A:C,3,FALSE)</f>
        <v>1</v>
      </c>
      <c r="G2151" s="1">
        <v>1</v>
      </c>
      <c r="H2151" s="1">
        <v>1</v>
      </c>
      <c r="I2151" s="1">
        <f t="shared" si="169"/>
        <v>1</v>
      </c>
    </row>
    <row r="2152" spans="1:9" x14ac:dyDescent="0.3">
      <c r="A2152" s="26">
        <v>47442</v>
      </c>
      <c r="B2152" s="27">
        <f t="shared" si="165"/>
        <v>2029</v>
      </c>
      <c r="C2152" s="27">
        <f t="shared" si="166"/>
        <v>11</v>
      </c>
      <c r="D2152" s="27">
        <f t="shared" si="167"/>
        <v>20</v>
      </c>
      <c r="E2152" s="27">
        <f t="shared" si="168"/>
        <v>3</v>
      </c>
      <c r="F2152" s="27">
        <f>VLOOKUP(E2152,[1]t_calendarioPolitica!A:C,3,FALSE)</f>
        <v>1</v>
      </c>
      <c r="G2152" s="1">
        <v>1</v>
      </c>
      <c r="H2152" s="1">
        <v>1</v>
      </c>
      <c r="I2152" s="1">
        <f t="shared" si="169"/>
        <v>1</v>
      </c>
    </row>
    <row r="2153" spans="1:9" x14ac:dyDescent="0.3">
      <c r="A2153" s="26">
        <v>47443</v>
      </c>
      <c r="B2153" s="27">
        <f t="shared" si="165"/>
        <v>2029</v>
      </c>
      <c r="C2153" s="27">
        <f t="shared" si="166"/>
        <v>11</v>
      </c>
      <c r="D2153" s="27">
        <f t="shared" si="167"/>
        <v>21</v>
      </c>
      <c r="E2153" s="27">
        <f t="shared" si="168"/>
        <v>4</v>
      </c>
      <c r="F2153" s="27">
        <f>VLOOKUP(E2153,[1]t_calendarioPolitica!A:C,3,FALSE)</f>
        <v>1</v>
      </c>
      <c r="G2153" s="1">
        <v>1</v>
      </c>
      <c r="H2153" s="1">
        <v>1</v>
      </c>
      <c r="I2153" s="1">
        <f t="shared" si="169"/>
        <v>1</v>
      </c>
    </row>
    <row r="2154" spans="1:9" x14ac:dyDescent="0.3">
      <c r="A2154" s="26">
        <v>47444</v>
      </c>
      <c r="B2154" s="27">
        <f t="shared" si="165"/>
        <v>2029</v>
      </c>
      <c r="C2154" s="27">
        <f t="shared" si="166"/>
        <v>11</v>
      </c>
      <c r="D2154" s="27">
        <f t="shared" si="167"/>
        <v>22</v>
      </c>
      <c r="E2154" s="27">
        <f t="shared" si="168"/>
        <v>5</v>
      </c>
      <c r="F2154" s="27">
        <f>VLOOKUP(E2154,[1]t_calendarioPolitica!A:C,3,FALSE)</f>
        <v>1</v>
      </c>
      <c r="G2154" s="1">
        <v>1</v>
      </c>
      <c r="H2154" s="1">
        <v>1</v>
      </c>
      <c r="I2154" s="1">
        <f t="shared" si="169"/>
        <v>1</v>
      </c>
    </row>
    <row r="2155" spans="1:9" x14ac:dyDescent="0.3">
      <c r="A2155" s="26">
        <v>47445</v>
      </c>
      <c r="B2155" s="27">
        <f t="shared" si="165"/>
        <v>2029</v>
      </c>
      <c r="C2155" s="27">
        <f t="shared" si="166"/>
        <v>11</v>
      </c>
      <c r="D2155" s="27">
        <f t="shared" si="167"/>
        <v>23</v>
      </c>
      <c r="E2155" s="27">
        <f t="shared" si="168"/>
        <v>6</v>
      </c>
      <c r="F2155" s="27">
        <f>VLOOKUP(E2155,[1]t_calendarioPolitica!A:C,3,FALSE)</f>
        <v>1</v>
      </c>
      <c r="G2155" s="1">
        <v>1</v>
      </c>
      <c r="H2155" s="1">
        <v>1</v>
      </c>
      <c r="I2155" s="1">
        <f t="shared" si="169"/>
        <v>1</v>
      </c>
    </row>
    <row r="2156" spans="1:9" x14ac:dyDescent="0.3">
      <c r="A2156" s="26">
        <v>47446</v>
      </c>
      <c r="B2156" s="27">
        <f t="shared" si="165"/>
        <v>2029</v>
      </c>
      <c r="C2156" s="27">
        <f t="shared" si="166"/>
        <v>11</v>
      </c>
      <c r="D2156" s="27">
        <f t="shared" si="167"/>
        <v>24</v>
      </c>
      <c r="E2156" s="27">
        <f t="shared" si="168"/>
        <v>7</v>
      </c>
      <c r="F2156" s="27">
        <f>VLOOKUP(E2156,[1]t_calendarioPolitica!A:C,3,FALSE)</f>
        <v>2</v>
      </c>
      <c r="G2156" s="1">
        <v>1</v>
      </c>
      <c r="H2156" s="1">
        <v>1</v>
      </c>
      <c r="I2156" s="1">
        <f t="shared" si="169"/>
        <v>1</v>
      </c>
    </row>
    <row r="2157" spans="1:9" x14ac:dyDescent="0.3">
      <c r="A2157" s="26">
        <v>47447</v>
      </c>
      <c r="B2157" s="27">
        <f t="shared" si="165"/>
        <v>2029</v>
      </c>
      <c r="C2157" s="27">
        <f t="shared" si="166"/>
        <v>11</v>
      </c>
      <c r="D2157" s="27">
        <f t="shared" si="167"/>
        <v>25</v>
      </c>
      <c r="E2157" s="27">
        <f t="shared" si="168"/>
        <v>1</v>
      </c>
      <c r="F2157" s="27">
        <f>VLOOKUP(E2157,[1]t_calendarioPolitica!A:C,3,FALSE)</f>
        <v>0</v>
      </c>
      <c r="G2157" s="1">
        <v>1</v>
      </c>
      <c r="H2157" s="1">
        <v>1</v>
      </c>
      <c r="I2157" s="1">
        <f t="shared" si="169"/>
        <v>0</v>
      </c>
    </row>
    <row r="2158" spans="1:9" x14ac:dyDescent="0.3">
      <c r="A2158" s="26">
        <v>47448</v>
      </c>
      <c r="B2158" s="27">
        <f t="shared" si="165"/>
        <v>2029</v>
      </c>
      <c r="C2158" s="27">
        <f t="shared" si="166"/>
        <v>11</v>
      </c>
      <c r="D2158" s="27">
        <f t="shared" si="167"/>
        <v>26</v>
      </c>
      <c r="E2158" s="27">
        <f t="shared" si="168"/>
        <v>2</v>
      </c>
      <c r="F2158" s="27">
        <f>VLOOKUP(E2158,[1]t_calendarioPolitica!A:C,3,FALSE)</f>
        <v>1</v>
      </c>
      <c r="G2158" s="1">
        <v>1</v>
      </c>
      <c r="H2158" s="1">
        <v>1</v>
      </c>
      <c r="I2158" s="1">
        <f t="shared" si="169"/>
        <v>1</v>
      </c>
    </row>
    <row r="2159" spans="1:9" x14ac:dyDescent="0.3">
      <c r="A2159" s="26">
        <v>47449</v>
      </c>
      <c r="B2159" s="27">
        <f t="shared" si="165"/>
        <v>2029</v>
      </c>
      <c r="C2159" s="27">
        <f t="shared" si="166"/>
        <v>11</v>
      </c>
      <c r="D2159" s="27">
        <f t="shared" si="167"/>
        <v>27</v>
      </c>
      <c r="E2159" s="27">
        <f t="shared" si="168"/>
        <v>3</v>
      </c>
      <c r="F2159" s="27">
        <f>VLOOKUP(E2159,[1]t_calendarioPolitica!A:C,3,FALSE)</f>
        <v>1</v>
      </c>
      <c r="G2159" s="1">
        <v>1</v>
      </c>
      <c r="H2159" s="1">
        <v>1</v>
      </c>
      <c r="I2159" s="1">
        <f t="shared" si="169"/>
        <v>1</v>
      </c>
    </row>
    <row r="2160" spans="1:9" x14ac:dyDescent="0.3">
      <c r="A2160" s="26">
        <v>47450</v>
      </c>
      <c r="B2160" s="27">
        <f t="shared" si="165"/>
        <v>2029</v>
      </c>
      <c r="C2160" s="27">
        <f t="shared" si="166"/>
        <v>11</v>
      </c>
      <c r="D2160" s="27">
        <f t="shared" si="167"/>
        <v>28</v>
      </c>
      <c r="E2160" s="27">
        <f t="shared" si="168"/>
        <v>4</v>
      </c>
      <c r="F2160" s="27">
        <f>VLOOKUP(E2160,[1]t_calendarioPolitica!A:C,3,FALSE)</f>
        <v>1</v>
      </c>
      <c r="G2160" s="1">
        <v>1</v>
      </c>
      <c r="H2160" s="1">
        <v>1</v>
      </c>
      <c r="I2160" s="1">
        <f t="shared" si="169"/>
        <v>1</v>
      </c>
    </row>
    <row r="2161" spans="1:9" x14ac:dyDescent="0.3">
      <c r="A2161" s="26">
        <v>47451</v>
      </c>
      <c r="B2161" s="27">
        <f t="shared" si="165"/>
        <v>2029</v>
      </c>
      <c r="C2161" s="27">
        <f t="shared" si="166"/>
        <v>11</v>
      </c>
      <c r="D2161" s="27">
        <f t="shared" si="167"/>
        <v>29</v>
      </c>
      <c r="E2161" s="27">
        <f t="shared" si="168"/>
        <v>5</v>
      </c>
      <c r="F2161" s="27">
        <f>VLOOKUP(E2161,[1]t_calendarioPolitica!A:C,3,FALSE)</f>
        <v>1</v>
      </c>
      <c r="G2161" s="1">
        <v>1</v>
      </c>
      <c r="H2161" s="1">
        <v>1</v>
      </c>
      <c r="I2161" s="1">
        <f t="shared" si="169"/>
        <v>1</v>
      </c>
    </row>
    <row r="2162" spans="1:9" x14ac:dyDescent="0.3">
      <c r="A2162" s="26">
        <v>47452</v>
      </c>
      <c r="B2162" s="27">
        <f t="shared" si="165"/>
        <v>2029</v>
      </c>
      <c r="C2162" s="27">
        <f t="shared" si="166"/>
        <v>11</v>
      </c>
      <c r="D2162" s="27">
        <f t="shared" si="167"/>
        <v>30</v>
      </c>
      <c r="E2162" s="27">
        <f t="shared" si="168"/>
        <v>6</v>
      </c>
      <c r="F2162" s="27">
        <f>VLOOKUP(E2162,[1]t_calendarioPolitica!A:C,3,FALSE)</f>
        <v>1</v>
      </c>
      <c r="G2162" s="1">
        <v>1</v>
      </c>
      <c r="H2162" s="1">
        <v>1</v>
      </c>
      <c r="I2162" s="1">
        <f t="shared" si="169"/>
        <v>1</v>
      </c>
    </row>
    <row r="2163" spans="1:9" x14ac:dyDescent="0.3">
      <c r="A2163" s="26">
        <v>47453</v>
      </c>
      <c r="B2163" s="27">
        <f t="shared" si="165"/>
        <v>2029</v>
      </c>
      <c r="C2163" s="27">
        <f t="shared" si="166"/>
        <v>12</v>
      </c>
      <c r="D2163" s="27">
        <f t="shared" si="167"/>
        <v>1</v>
      </c>
      <c r="E2163" s="27">
        <f t="shared" si="168"/>
        <v>7</v>
      </c>
      <c r="F2163" s="27">
        <f>VLOOKUP(E2163,[1]t_calendarioPolitica!A:C,3,FALSE)</f>
        <v>2</v>
      </c>
      <c r="G2163" s="1">
        <v>1</v>
      </c>
      <c r="H2163" s="1">
        <v>1</v>
      </c>
      <c r="I2163" s="1">
        <f t="shared" si="169"/>
        <v>1</v>
      </c>
    </row>
    <row r="2164" spans="1:9" x14ac:dyDescent="0.3">
      <c r="A2164" s="26">
        <v>47454</v>
      </c>
      <c r="B2164" s="27">
        <f t="shared" si="165"/>
        <v>2029</v>
      </c>
      <c r="C2164" s="27">
        <f t="shared" si="166"/>
        <v>12</v>
      </c>
      <c r="D2164" s="27">
        <f t="shared" si="167"/>
        <v>2</v>
      </c>
      <c r="E2164" s="27">
        <f t="shared" si="168"/>
        <v>1</v>
      </c>
      <c r="F2164" s="27">
        <f>VLOOKUP(E2164,[1]t_calendarioPolitica!A:C,3,FALSE)</f>
        <v>0</v>
      </c>
      <c r="G2164" s="1">
        <v>1</v>
      </c>
      <c r="H2164" s="1">
        <v>1</v>
      </c>
      <c r="I2164" s="1">
        <f t="shared" si="169"/>
        <v>0</v>
      </c>
    </row>
    <row r="2165" spans="1:9" x14ac:dyDescent="0.3">
      <c r="A2165" s="26">
        <v>47455</v>
      </c>
      <c r="B2165" s="27">
        <f t="shared" si="165"/>
        <v>2029</v>
      </c>
      <c r="C2165" s="27">
        <f t="shared" si="166"/>
        <v>12</v>
      </c>
      <c r="D2165" s="27">
        <f t="shared" si="167"/>
        <v>3</v>
      </c>
      <c r="E2165" s="27">
        <f t="shared" si="168"/>
        <v>2</v>
      </c>
      <c r="F2165" s="27">
        <f>VLOOKUP(E2165,[1]t_calendarioPolitica!A:C,3,FALSE)</f>
        <v>1</v>
      </c>
      <c r="G2165" s="1">
        <v>1</v>
      </c>
      <c r="H2165" s="1">
        <v>1</v>
      </c>
      <c r="I2165" s="1">
        <f t="shared" si="169"/>
        <v>1</v>
      </c>
    </row>
    <row r="2166" spans="1:9" x14ac:dyDescent="0.3">
      <c r="A2166" s="26">
        <v>47456</v>
      </c>
      <c r="B2166" s="27">
        <f t="shared" si="165"/>
        <v>2029</v>
      </c>
      <c r="C2166" s="27">
        <f t="shared" si="166"/>
        <v>12</v>
      </c>
      <c r="D2166" s="27">
        <f t="shared" si="167"/>
        <v>4</v>
      </c>
      <c r="E2166" s="27">
        <f t="shared" si="168"/>
        <v>3</v>
      </c>
      <c r="F2166" s="27">
        <f>VLOOKUP(E2166,[1]t_calendarioPolitica!A:C,3,FALSE)</f>
        <v>1</v>
      </c>
      <c r="G2166" s="1">
        <v>1</v>
      </c>
      <c r="H2166" s="1">
        <v>1</v>
      </c>
      <c r="I2166" s="1">
        <f t="shared" si="169"/>
        <v>1</v>
      </c>
    </row>
    <row r="2167" spans="1:9" x14ac:dyDescent="0.3">
      <c r="A2167" s="26">
        <v>47457</v>
      </c>
      <c r="B2167" s="27">
        <f t="shared" si="165"/>
        <v>2029</v>
      </c>
      <c r="C2167" s="27">
        <f t="shared" si="166"/>
        <v>12</v>
      </c>
      <c r="D2167" s="27">
        <f t="shared" si="167"/>
        <v>5</v>
      </c>
      <c r="E2167" s="27">
        <f t="shared" si="168"/>
        <v>4</v>
      </c>
      <c r="F2167" s="27">
        <f>VLOOKUP(E2167,[1]t_calendarioPolitica!A:C,3,FALSE)</f>
        <v>1</v>
      </c>
      <c r="G2167" s="1">
        <v>1</v>
      </c>
      <c r="H2167" s="1">
        <v>1</v>
      </c>
      <c r="I2167" s="1">
        <f t="shared" si="169"/>
        <v>1</v>
      </c>
    </row>
    <row r="2168" spans="1:9" x14ac:dyDescent="0.3">
      <c r="A2168" s="26">
        <v>47458</v>
      </c>
      <c r="B2168" s="27">
        <f t="shared" si="165"/>
        <v>2029</v>
      </c>
      <c r="C2168" s="27">
        <f t="shared" si="166"/>
        <v>12</v>
      </c>
      <c r="D2168" s="27">
        <f t="shared" si="167"/>
        <v>6</v>
      </c>
      <c r="E2168" s="27">
        <f t="shared" si="168"/>
        <v>5</v>
      </c>
      <c r="F2168" s="27">
        <f>VLOOKUP(E2168,[1]t_calendarioPolitica!A:C,3,FALSE)</f>
        <v>1</v>
      </c>
      <c r="G2168" s="1">
        <v>1</v>
      </c>
      <c r="H2168" s="1">
        <v>1</v>
      </c>
      <c r="I2168" s="1">
        <f t="shared" si="169"/>
        <v>1</v>
      </c>
    </row>
    <row r="2169" spans="1:9" x14ac:dyDescent="0.3">
      <c r="A2169" s="26">
        <v>47459</v>
      </c>
      <c r="B2169" s="27">
        <f t="shared" si="165"/>
        <v>2029</v>
      </c>
      <c r="C2169" s="27">
        <f t="shared" si="166"/>
        <v>12</v>
      </c>
      <c r="D2169" s="27">
        <f t="shared" si="167"/>
        <v>7</v>
      </c>
      <c r="E2169" s="27">
        <f t="shared" si="168"/>
        <v>6</v>
      </c>
      <c r="F2169" s="27">
        <f>VLOOKUP(E2169,[1]t_calendarioPolitica!A:C,3,FALSE)</f>
        <v>1</v>
      </c>
      <c r="G2169" s="1">
        <v>1</v>
      </c>
      <c r="H2169" s="1">
        <v>1</v>
      </c>
      <c r="I2169" s="1">
        <f t="shared" si="169"/>
        <v>1</v>
      </c>
    </row>
    <row r="2170" spans="1:9" x14ac:dyDescent="0.3">
      <c r="A2170" s="26">
        <v>47460</v>
      </c>
      <c r="B2170" s="27">
        <f t="shared" si="165"/>
        <v>2029</v>
      </c>
      <c r="C2170" s="27">
        <f t="shared" si="166"/>
        <v>12</v>
      </c>
      <c r="D2170" s="27">
        <f t="shared" si="167"/>
        <v>8</v>
      </c>
      <c r="E2170" s="27">
        <f t="shared" si="168"/>
        <v>7</v>
      </c>
      <c r="F2170" s="27">
        <f>VLOOKUP(E2170,[1]t_calendarioPolitica!A:C,3,FALSE)</f>
        <v>2</v>
      </c>
      <c r="G2170" s="1">
        <v>1</v>
      </c>
      <c r="H2170" s="1">
        <v>1</v>
      </c>
      <c r="I2170" s="1">
        <f t="shared" si="169"/>
        <v>1</v>
      </c>
    </row>
    <row r="2171" spans="1:9" x14ac:dyDescent="0.3">
      <c r="A2171" s="26">
        <v>47461</v>
      </c>
      <c r="B2171" s="27">
        <f t="shared" si="165"/>
        <v>2029</v>
      </c>
      <c r="C2171" s="27">
        <f t="shared" si="166"/>
        <v>12</v>
      </c>
      <c r="D2171" s="27">
        <f t="shared" si="167"/>
        <v>9</v>
      </c>
      <c r="E2171" s="27">
        <f t="shared" si="168"/>
        <v>1</v>
      </c>
      <c r="F2171" s="27">
        <f>VLOOKUP(E2171,[1]t_calendarioPolitica!A:C,3,FALSE)</f>
        <v>0</v>
      </c>
      <c r="G2171" s="1">
        <v>1</v>
      </c>
      <c r="H2171" s="1">
        <v>1</v>
      </c>
      <c r="I2171" s="1">
        <f t="shared" si="169"/>
        <v>0</v>
      </c>
    </row>
    <row r="2172" spans="1:9" x14ac:dyDescent="0.3">
      <c r="A2172" s="26">
        <v>47462</v>
      </c>
      <c r="B2172" s="27">
        <f t="shared" si="165"/>
        <v>2029</v>
      </c>
      <c r="C2172" s="27">
        <f t="shared" si="166"/>
        <v>12</v>
      </c>
      <c r="D2172" s="27">
        <f t="shared" si="167"/>
        <v>10</v>
      </c>
      <c r="E2172" s="27">
        <f t="shared" si="168"/>
        <v>2</v>
      </c>
      <c r="F2172" s="27">
        <f>VLOOKUP(E2172,[1]t_calendarioPolitica!A:C,3,FALSE)</f>
        <v>1</v>
      </c>
      <c r="G2172" s="1">
        <v>1</v>
      </c>
      <c r="H2172" s="1">
        <v>1</v>
      </c>
      <c r="I2172" s="1">
        <f t="shared" si="169"/>
        <v>1</v>
      </c>
    </row>
    <row r="2173" spans="1:9" x14ac:dyDescent="0.3">
      <c r="A2173" s="26">
        <v>47463</v>
      </c>
      <c r="B2173" s="27">
        <f t="shared" si="165"/>
        <v>2029</v>
      </c>
      <c r="C2173" s="27">
        <f t="shared" si="166"/>
        <v>12</v>
      </c>
      <c r="D2173" s="27">
        <f t="shared" si="167"/>
        <v>11</v>
      </c>
      <c r="E2173" s="27">
        <f t="shared" si="168"/>
        <v>3</v>
      </c>
      <c r="F2173" s="27">
        <f>VLOOKUP(E2173,[1]t_calendarioPolitica!A:C,3,FALSE)</f>
        <v>1</v>
      </c>
      <c r="G2173" s="1">
        <v>1</v>
      </c>
      <c r="H2173" s="1">
        <v>1</v>
      </c>
      <c r="I2173" s="1">
        <f t="shared" si="169"/>
        <v>1</v>
      </c>
    </row>
    <row r="2174" spans="1:9" x14ac:dyDescent="0.3">
      <c r="A2174" s="26">
        <v>47464</v>
      </c>
      <c r="B2174" s="27">
        <f t="shared" si="165"/>
        <v>2029</v>
      </c>
      <c r="C2174" s="27">
        <f t="shared" si="166"/>
        <v>12</v>
      </c>
      <c r="D2174" s="27">
        <f t="shared" si="167"/>
        <v>12</v>
      </c>
      <c r="E2174" s="27">
        <f t="shared" si="168"/>
        <v>4</v>
      </c>
      <c r="F2174" s="27">
        <f>VLOOKUP(E2174,[1]t_calendarioPolitica!A:C,3,FALSE)</f>
        <v>1</v>
      </c>
      <c r="G2174" s="1">
        <v>1</v>
      </c>
      <c r="H2174" s="1">
        <v>0</v>
      </c>
      <c r="I2174" s="1">
        <f t="shared" si="169"/>
        <v>0</v>
      </c>
    </row>
    <row r="2175" spans="1:9" x14ac:dyDescent="0.3">
      <c r="A2175" s="26">
        <v>47465</v>
      </c>
      <c r="B2175" s="27">
        <f t="shared" si="165"/>
        <v>2029</v>
      </c>
      <c r="C2175" s="27">
        <f t="shared" si="166"/>
        <v>12</v>
      </c>
      <c r="D2175" s="27">
        <f t="shared" si="167"/>
        <v>13</v>
      </c>
      <c r="E2175" s="27">
        <f t="shared" si="168"/>
        <v>5</v>
      </c>
      <c r="F2175" s="27">
        <f>VLOOKUP(E2175,[1]t_calendarioPolitica!A:C,3,FALSE)</f>
        <v>1</v>
      </c>
      <c r="G2175" s="1">
        <v>1</v>
      </c>
      <c r="H2175" s="1">
        <v>1</v>
      </c>
      <c r="I2175" s="1">
        <f t="shared" si="169"/>
        <v>1</v>
      </c>
    </row>
    <row r="2176" spans="1:9" x14ac:dyDescent="0.3">
      <c r="A2176" s="26">
        <v>47466</v>
      </c>
      <c r="B2176" s="27">
        <f t="shared" si="165"/>
        <v>2029</v>
      </c>
      <c r="C2176" s="27">
        <f t="shared" si="166"/>
        <v>12</v>
      </c>
      <c r="D2176" s="27">
        <f t="shared" si="167"/>
        <v>14</v>
      </c>
      <c r="E2176" s="27">
        <f t="shared" si="168"/>
        <v>6</v>
      </c>
      <c r="F2176" s="27">
        <f>VLOOKUP(E2176,[1]t_calendarioPolitica!A:C,3,FALSE)</f>
        <v>1</v>
      </c>
      <c r="G2176" s="1">
        <v>1</v>
      </c>
      <c r="H2176" s="1">
        <v>1</v>
      </c>
      <c r="I2176" s="1">
        <f t="shared" si="169"/>
        <v>1</v>
      </c>
    </row>
    <row r="2177" spans="1:9" x14ac:dyDescent="0.3">
      <c r="A2177" s="26">
        <v>47467</v>
      </c>
      <c r="B2177" s="27">
        <f t="shared" si="165"/>
        <v>2029</v>
      </c>
      <c r="C2177" s="27">
        <f t="shared" si="166"/>
        <v>12</v>
      </c>
      <c r="D2177" s="27">
        <f t="shared" si="167"/>
        <v>15</v>
      </c>
      <c r="E2177" s="27">
        <f t="shared" si="168"/>
        <v>7</v>
      </c>
      <c r="F2177" s="27">
        <f>VLOOKUP(E2177,[1]t_calendarioPolitica!A:C,3,FALSE)</f>
        <v>2</v>
      </c>
      <c r="G2177" s="1">
        <v>1</v>
      </c>
      <c r="H2177" s="1">
        <v>1</v>
      </c>
      <c r="I2177" s="1">
        <f t="shared" si="169"/>
        <v>1</v>
      </c>
    </row>
    <row r="2178" spans="1:9" x14ac:dyDescent="0.3">
      <c r="A2178" s="26">
        <v>47468</v>
      </c>
      <c r="B2178" s="27">
        <f t="shared" si="165"/>
        <v>2029</v>
      </c>
      <c r="C2178" s="27">
        <f t="shared" si="166"/>
        <v>12</v>
      </c>
      <c r="D2178" s="27">
        <f t="shared" si="167"/>
        <v>16</v>
      </c>
      <c r="E2178" s="27">
        <f t="shared" si="168"/>
        <v>1</v>
      </c>
      <c r="F2178" s="27">
        <f>VLOOKUP(E2178,[1]t_calendarioPolitica!A:C,3,FALSE)</f>
        <v>0</v>
      </c>
      <c r="G2178" s="1">
        <v>1</v>
      </c>
      <c r="H2178" s="1">
        <v>1</v>
      </c>
      <c r="I2178" s="1">
        <f t="shared" si="169"/>
        <v>0</v>
      </c>
    </row>
    <row r="2179" spans="1:9" x14ac:dyDescent="0.3">
      <c r="A2179" s="26">
        <v>47469</v>
      </c>
      <c r="B2179" s="27">
        <f t="shared" ref="B2179:B2193" si="170">YEAR(A2179)</f>
        <v>2029</v>
      </c>
      <c r="C2179" s="27">
        <f t="shared" ref="C2179:C2215" si="171">MONTH(A2179)</f>
        <v>12</v>
      </c>
      <c r="D2179" s="27">
        <f t="shared" ref="D2179:D2215" si="172">DAY(A2179)</f>
        <v>17</v>
      </c>
      <c r="E2179" s="27">
        <f t="shared" ref="E2179:E2193" si="173">WEEKDAY(A2179)</f>
        <v>2</v>
      </c>
      <c r="F2179" s="27">
        <f>VLOOKUP(E2179,[1]t_calendarioPolitica!A:C,3,FALSE)</f>
        <v>1</v>
      </c>
      <c r="G2179" s="1">
        <v>1</v>
      </c>
      <c r="H2179" s="1">
        <v>1</v>
      </c>
      <c r="I2179" s="1">
        <f t="shared" ref="I2179:I2193" si="174">IF(AND(F2179&lt;&gt;0, H2179&lt;&gt;0,G2179&lt;&gt;0), 1, 0)</f>
        <v>1</v>
      </c>
    </row>
    <row r="2180" spans="1:9" x14ac:dyDescent="0.3">
      <c r="A2180" s="26">
        <v>47470</v>
      </c>
      <c r="B2180" s="27">
        <f t="shared" si="170"/>
        <v>2029</v>
      </c>
      <c r="C2180" s="27">
        <f t="shared" si="171"/>
        <v>12</v>
      </c>
      <c r="D2180" s="27">
        <f t="shared" si="172"/>
        <v>18</v>
      </c>
      <c r="E2180" s="27">
        <f t="shared" si="173"/>
        <v>3</v>
      </c>
      <c r="F2180" s="27">
        <f>VLOOKUP(E2180,[1]t_calendarioPolitica!A:C,3,FALSE)</f>
        <v>1</v>
      </c>
      <c r="G2180" s="1">
        <v>1</v>
      </c>
      <c r="H2180" s="1">
        <v>1</v>
      </c>
      <c r="I2180" s="1">
        <f t="shared" si="174"/>
        <v>1</v>
      </c>
    </row>
    <row r="2181" spans="1:9" x14ac:dyDescent="0.3">
      <c r="A2181" s="26">
        <v>47471</v>
      </c>
      <c r="B2181" s="27">
        <f t="shared" si="170"/>
        <v>2029</v>
      </c>
      <c r="C2181" s="27">
        <f t="shared" si="171"/>
        <v>12</v>
      </c>
      <c r="D2181" s="27">
        <f t="shared" si="172"/>
        <v>19</v>
      </c>
      <c r="E2181" s="27">
        <f t="shared" si="173"/>
        <v>4</v>
      </c>
      <c r="F2181" s="27">
        <f>VLOOKUP(E2181,[1]t_calendarioPolitica!A:C,3,FALSE)</f>
        <v>1</v>
      </c>
      <c r="G2181" s="1">
        <v>1</v>
      </c>
      <c r="H2181" s="1">
        <v>1</v>
      </c>
      <c r="I2181" s="1">
        <f t="shared" si="174"/>
        <v>1</v>
      </c>
    </row>
    <row r="2182" spans="1:9" x14ac:dyDescent="0.3">
      <c r="A2182" s="26">
        <v>47472</v>
      </c>
      <c r="B2182" s="27">
        <f t="shared" si="170"/>
        <v>2029</v>
      </c>
      <c r="C2182" s="27">
        <f t="shared" si="171"/>
        <v>12</v>
      </c>
      <c r="D2182" s="27">
        <f t="shared" si="172"/>
        <v>20</v>
      </c>
      <c r="E2182" s="27">
        <f t="shared" si="173"/>
        <v>5</v>
      </c>
      <c r="F2182" s="27">
        <f>VLOOKUP(E2182,[1]t_calendarioPolitica!A:C,3,FALSE)</f>
        <v>1</v>
      </c>
      <c r="G2182" s="1">
        <v>1</v>
      </c>
      <c r="H2182" s="1">
        <v>1</v>
      </c>
      <c r="I2182" s="1">
        <f t="shared" si="174"/>
        <v>1</v>
      </c>
    </row>
    <row r="2183" spans="1:9" x14ac:dyDescent="0.3">
      <c r="A2183" s="26">
        <v>47473</v>
      </c>
      <c r="B2183" s="27">
        <f t="shared" si="170"/>
        <v>2029</v>
      </c>
      <c r="C2183" s="27">
        <f t="shared" si="171"/>
        <v>12</v>
      </c>
      <c r="D2183" s="27">
        <f t="shared" si="172"/>
        <v>21</v>
      </c>
      <c r="E2183" s="27">
        <f t="shared" si="173"/>
        <v>6</v>
      </c>
      <c r="F2183" s="27">
        <f>VLOOKUP(E2183,[1]t_calendarioPolitica!A:C,3,FALSE)</f>
        <v>1</v>
      </c>
      <c r="G2183" s="1">
        <v>1</v>
      </c>
      <c r="H2183" s="1">
        <v>1</v>
      </c>
      <c r="I2183" s="1">
        <f t="shared" si="174"/>
        <v>1</v>
      </c>
    </row>
    <row r="2184" spans="1:9" x14ac:dyDescent="0.3">
      <c r="A2184" s="26">
        <v>47474</v>
      </c>
      <c r="B2184" s="27">
        <f t="shared" si="170"/>
        <v>2029</v>
      </c>
      <c r="C2184" s="27">
        <f t="shared" si="171"/>
        <v>12</v>
      </c>
      <c r="D2184" s="27">
        <f t="shared" si="172"/>
        <v>22</v>
      </c>
      <c r="E2184" s="27">
        <f t="shared" si="173"/>
        <v>7</v>
      </c>
      <c r="F2184" s="27">
        <f>VLOOKUP(E2184,[1]t_calendarioPolitica!A:C,3,FALSE)</f>
        <v>2</v>
      </c>
      <c r="G2184" s="1">
        <v>1</v>
      </c>
      <c r="H2184" s="1">
        <v>1</v>
      </c>
      <c r="I2184" s="1">
        <f t="shared" si="174"/>
        <v>1</v>
      </c>
    </row>
    <row r="2185" spans="1:9" x14ac:dyDescent="0.3">
      <c r="A2185" s="26">
        <v>47475</v>
      </c>
      <c r="B2185" s="27">
        <f t="shared" si="170"/>
        <v>2029</v>
      </c>
      <c r="C2185" s="27">
        <f t="shared" si="171"/>
        <v>12</v>
      </c>
      <c r="D2185" s="27">
        <f t="shared" si="172"/>
        <v>23</v>
      </c>
      <c r="E2185" s="27">
        <f t="shared" si="173"/>
        <v>1</v>
      </c>
      <c r="F2185" s="27">
        <f>VLOOKUP(E2185,[1]t_calendarioPolitica!A:C,3,FALSE)</f>
        <v>0</v>
      </c>
      <c r="G2185" s="1">
        <v>1</v>
      </c>
      <c r="H2185" s="1">
        <v>1</v>
      </c>
      <c r="I2185" s="1">
        <f t="shared" si="174"/>
        <v>0</v>
      </c>
    </row>
    <row r="2186" spans="1:9" x14ac:dyDescent="0.3">
      <c r="A2186" s="26">
        <v>47476</v>
      </c>
      <c r="B2186" s="27">
        <f t="shared" si="170"/>
        <v>2029</v>
      </c>
      <c r="C2186" s="27">
        <f t="shared" si="171"/>
        <v>12</v>
      </c>
      <c r="D2186" s="27">
        <f t="shared" si="172"/>
        <v>24</v>
      </c>
      <c r="E2186" s="27">
        <f t="shared" si="173"/>
        <v>2</v>
      </c>
      <c r="F2186" s="27">
        <f>VLOOKUP(E2186,[1]t_calendarioPolitica!A:C,3,FALSE)</f>
        <v>1</v>
      </c>
      <c r="G2186" s="1">
        <v>1</v>
      </c>
      <c r="H2186" s="1">
        <v>0</v>
      </c>
      <c r="I2186" s="1">
        <f t="shared" si="174"/>
        <v>0</v>
      </c>
    </row>
    <row r="2187" spans="1:9" x14ac:dyDescent="0.3">
      <c r="A2187" s="26">
        <v>47477</v>
      </c>
      <c r="B2187" s="27">
        <f t="shared" si="170"/>
        <v>2029</v>
      </c>
      <c r="C2187" s="27">
        <f t="shared" si="171"/>
        <v>12</v>
      </c>
      <c r="D2187" s="27">
        <f t="shared" si="172"/>
        <v>25</v>
      </c>
      <c r="E2187" s="27">
        <f t="shared" si="173"/>
        <v>3</v>
      </c>
      <c r="F2187" s="27">
        <f>VLOOKUP(E2187,[1]t_calendarioPolitica!A:C,3,FALSE)</f>
        <v>1</v>
      </c>
      <c r="G2187" s="1">
        <v>0</v>
      </c>
      <c r="H2187" s="1">
        <v>0</v>
      </c>
      <c r="I2187" s="1">
        <f t="shared" si="174"/>
        <v>0</v>
      </c>
    </row>
    <row r="2188" spans="1:9" x14ac:dyDescent="0.3">
      <c r="A2188" s="26">
        <v>47478</v>
      </c>
      <c r="B2188" s="27">
        <f t="shared" si="170"/>
        <v>2029</v>
      </c>
      <c r="C2188" s="27">
        <f t="shared" si="171"/>
        <v>12</v>
      </c>
      <c r="D2188" s="27">
        <f t="shared" si="172"/>
        <v>26</v>
      </c>
      <c r="E2188" s="27">
        <f t="shared" si="173"/>
        <v>4</v>
      </c>
      <c r="F2188" s="27">
        <f>VLOOKUP(E2188,[1]t_calendarioPolitica!A:C,3,FALSE)</f>
        <v>1</v>
      </c>
      <c r="G2188" s="1">
        <v>1</v>
      </c>
      <c r="H2188" s="1">
        <v>1</v>
      </c>
      <c r="I2188" s="1">
        <f t="shared" si="174"/>
        <v>1</v>
      </c>
    </row>
    <row r="2189" spans="1:9" x14ac:dyDescent="0.3">
      <c r="A2189" s="26">
        <v>47479</v>
      </c>
      <c r="B2189" s="27">
        <f t="shared" si="170"/>
        <v>2029</v>
      </c>
      <c r="C2189" s="27">
        <f t="shared" si="171"/>
        <v>12</v>
      </c>
      <c r="D2189" s="27">
        <f t="shared" si="172"/>
        <v>27</v>
      </c>
      <c r="E2189" s="27">
        <f t="shared" si="173"/>
        <v>5</v>
      </c>
      <c r="F2189" s="27">
        <f>VLOOKUP(E2189,[1]t_calendarioPolitica!A:C,3,FALSE)</f>
        <v>1</v>
      </c>
      <c r="G2189" s="1">
        <v>1</v>
      </c>
      <c r="H2189" s="1">
        <v>1</v>
      </c>
      <c r="I2189" s="1">
        <f t="shared" si="174"/>
        <v>1</v>
      </c>
    </row>
    <row r="2190" spans="1:9" x14ac:dyDescent="0.3">
      <c r="A2190" s="26">
        <v>47480</v>
      </c>
      <c r="B2190" s="27">
        <f t="shared" si="170"/>
        <v>2029</v>
      </c>
      <c r="C2190" s="27">
        <f t="shared" si="171"/>
        <v>12</v>
      </c>
      <c r="D2190" s="27">
        <f t="shared" si="172"/>
        <v>28</v>
      </c>
      <c r="E2190" s="27">
        <f t="shared" si="173"/>
        <v>6</v>
      </c>
      <c r="F2190" s="27">
        <f>VLOOKUP(E2190,[1]t_calendarioPolitica!A:C,3,FALSE)</f>
        <v>1</v>
      </c>
      <c r="G2190" s="1">
        <v>1</v>
      </c>
      <c r="H2190" s="1">
        <v>1</v>
      </c>
      <c r="I2190" s="1">
        <f t="shared" si="174"/>
        <v>1</v>
      </c>
    </row>
    <row r="2191" spans="1:9" x14ac:dyDescent="0.3">
      <c r="A2191" s="26">
        <v>47481</v>
      </c>
      <c r="B2191" s="27">
        <f t="shared" si="170"/>
        <v>2029</v>
      </c>
      <c r="C2191" s="27">
        <f t="shared" si="171"/>
        <v>12</v>
      </c>
      <c r="D2191" s="27">
        <f t="shared" si="172"/>
        <v>29</v>
      </c>
      <c r="E2191" s="27">
        <f t="shared" si="173"/>
        <v>7</v>
      </c>
      <c r="F2191" s="27">
        <f>VLOOKUP(E2191,[1]t_calendarioPolitica!A:C,3,FALSE)</f>
        <v>2</v>
      </c>
      <c r="G2191" s="1">
        <v>1</v>
      </c>
      <c r="H2191" s="1">
        <v>1</v>
      </c>
      <c r="I2191" s="1">
        <f t="shared" si="174"/>
        <v>1</v>
      </c>
    </row>
    <row r="2192" spans="1:9" x14ac:dyDescent="0.3">
      <c r="A2192" s="26">
        <v>47482</v>
      </c>
      <c r="B2192" s="27">
        <f t="shared" si="170"/>
        <v>2029</v>
      </c>
      <c r="C2192" s="27">
        <f t="shared" si="171"/>
        <v>12</v>
      </c>
      <c r="D2192" s="27">
        <f t="shared" si="172"/>
        <v>30</v>
      </c>
      <c r="E2192" s="27">
        <f t="shared" si="173"/>
        <v>1</v>
      </c>
      <c r="F2192" s="27">
        <f>VLOOKUP(E2192,[1]t_calendarioPolitica!A:C,3,FALSE)</f>
        <v>0</v>
      </c>
      <c r="G2192" s="1">
        <v>1</v>
      </c>
      <c r="H2192" s="1">
        <v>1</v>
      </c>
      <c r="I2192" s="1">
        <f t="shared" si="174"/>
        <v>0</v>
      </c>
    </row>
    <row r="2193" spans="1:9" x14ac:dyDescent="0.3">
      <c r="A2193" s="26">
        <v>47483</v>
      </c>
      <c r="B2193" s="27">
        <f t="shared" si="170"/>
        <v>2029</v>
      </c>
      <c r="C2193" s="27">
        <f t="shared" si="171"/>
        <v>12</v>
      </c>
      <c r="D2193" s="27">
        <f t="shared" si="172"/>
        <v>31</v>
      </c>
      <c r="E2193" s="27">
        <f t="shared" si="173"/>
        <v>2</v>
      </c>
      <c r="F2193" s="27">
        <f>VLOOKUP(E2193,[1]t_calendarioPolitica!A:C,3,FALSE)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N15" sqref="N15"/>
    </sheetView>
  </sheetViews>
  <sheetFormatPr baseColWidth="10" defaultRowHeight="14.4" x14ac:dyDescent="0.3"/>
  <cols>
    <col min="1" max="1" width="15.21875" style="1" bestFit="1" customWidth="1"/>
    <col min="2" max="2" width="11.21875" style="1" bestFit="1" customWidth="1"/>
    <col min="3" max="3" width="11.5546875" style="1"/>
    <col min="4" max="4" width="26.5546875" style="1" bestFit="1" customWidth="1"/>
    <col min="5" max="5" width="29.21875" style="1" bestFit="1" customWidth="1"/>
    <col min="6" max="6" width="27" style="1" bestFit="1" customWidth="1"/>
    <col min="7" max="7" width="32.109375" style="1" bestFit="1" customWidth="1"/>
    <col min="8" max="8" width="35.21875" style="1" bestFit="1" customWidth="1"/>
    <col min="9" max="9" width="32.5546875" style="1" bestFit="1" customWidth="1"/>
    <col min="10" max="10" width="13.109375" style="1" bestFit="1" customWidth="1"/>
    <col min="11" max="11" width="22.21875" style="1" bestFit="1" customWidth="1"/>
    <col min="12" max="12" width="15.5546875" style="1" bestFit="1" customWidth="1"/>
    <col min="13" max="13" width="14" style="1" bestFit="1" customWidth="1"/>
    <col min="14" max="14" width="15.5546875" style="1" bestFit="1" customWidth="1"/>
    <col min="15" max="15" width="14" style="1" bestFit="1" customWidth="1"/>
    <col min="16" max="16384" width="11.5546875" style="1"/>
  </cols>
  <sheetData>
    <row r="1" spans="1:15" s="5" customFormat="1" x14ac:dyDescent="0.3">
      <c r="A1" s="5" t="s">
        <v>7440</v>
      </c>
      <c r="B1" s="5" t="s">
        <v>7441</v>
      </c>
      <c r="C1" s="5" t="s">
        <v>7416</v>
      </c>
      <c r="D1" s="5" t="s">
        <v>7432</v>
      </c>
      <c r="E1" s="5" t="s">
        <v>7433</v>
      </c>
      <c r="F1" s="5" t="s">
        <v>7434</v>
      </c>
      <c r="G1" s="5" t="s">
        <v>7435</v>
      </c>
      <c r="H1" s="5" t="s">
        <v>7436</v>
      </c>
      <c r="I1" s="5" t="s">
        <v>7437</v>
      </c>
      <c r="J1" s="5" t="s">
        <v>24</v>
      </c>
      <c r="K1" s="5" t="s">
        <v>43</v>
      </c>
      <c r="L1" s="5" t="s">
        <v>44</v>
      </c>
      <c r="M1" s="5" t="s">
        <v>45</v>
      </c>
      <c r="N1" s="5" t="s">
        <v>46</v>
      </c>
      <c r="O1" s="5" t="s">
        <v>47</v>
      </c>
    </row>
    <row r="2" spans="1:15" x14ac:dyDescent="0.3">
      <c r="A2" s="1">
        <v>1</v>
      </c>
      <c r="B2" s="1" t="s">
        <v>7420</v>
      </c>
      <c r="C2" s="1">
        <v>0</v>
      </c>
      <c r="D2" s="28">
        <v>0</v>
      </c>
      <c r="E2" s="28">
        <v>0</v>
      </c>
      <c r="F2" s="29">
        <f>HOUR(E2-D2)</f>
        <v>0</v>
      </c>
      <c r="G2" s="28">
        <v>0</v>
      </c>
      <c r="H2" s="28">
        <v>0</v>
      </c>
      <c r="I2" s="29">
        <f>HOUR(H2-G2)</f>
        <v>0</v>
      </c>
      <c r="J2" s="1">
        <v>8</v>
      </c>
      <c r="K2" s="1" t="str">
        <f>VLOOKUP(J2,t_entry_status!A:G,2,FALSE)</f>
        <v>PENDING</v>
      </c>
      <c r="L2" s="7">
        <v>45560</v>
      </c>
      <c r="M2" s="1" t="s">
        <v>7455</v>
      </c>
      <c r="N2" s="7">
        <v>45560</v>
      </c>
      <c r="O2" s="1" t="s">
        <v>7455</v>
      </c>
    </row>
    <row r="3" spans="1:15" x14ac:dyDescent="0.3">
      <c r="A3" s="1">
        <v>2</v>
      </c>
      <c r="B3" s="1" t="s">
        <v>7421</v>
      </c>
      <c r="C3" s="1">
        <v>1</v>
      </c>
      <c r="D3" s="28">
        <v>0.33333333333333331</v>
      </c>
      <c r="E3" s="28">
        <v>0.70833333333333337</v>
      </c>
      <c r="F3" s="29">
        <f>HOUR(E3-D3)</f>
        <v>9</v>
      </c>
      <c r="G3" s="28">
        <v>0.70833333333333337</v>
      </c>
      <c r="H3" s="28">
        <v>0.99930555555555556</v>
      </c>
      <c r="I3" s="29">
        <f>HOUR(H3-G3)</f>
        <v>6</v>
      </c>
      <c r="J3" s="1">
        <v>8</v>
      </c>
      <c r="K3" s="1" t="str">
        <f>VLOOKUP(J3,t_entry_status!A:G,2,FALSE)</f>
        <v>PENDING</v>
      </c>
      <c r="L3" s="7">
        <v>45560</v>
      </c>
      <c r="M3" s="1" t="s">
        <v>7455</v>
      </c>
      <c r="N3" s="7">
        <v>45560</v>
      </c>
      <c r="O3" s="1" t="s">
        <v>7455</v>
      </c>
    </row>
    <row r="4" spans="1:15" x14ac:dyDescent="0.3">
      <c r="A4" s="1">
        <v>3</v>
      </c>
      <c r="B4" s="1" t="s">
        <v>7422</v>
      </c>
      <c r="C4" s="1">
        <v>1</v>
      </c>
      <c r="D4" s="28">
        <v>0.33333333333333331</v>
      </c>
      <c r="E4" s="28">
        <v>0.70833333333333337</v>
      </c>
      <c r="F4" s="29">
        <f t="shared" ref="F4:F8" si="0">HOUR(E4-D4)</f>
        <v>9</v>
      </c>
      <c r="G4" s="28">
        <v>0.70833333333333337</v>
      </c>
      <c r="H4" s="28">
        <v>0.99930555555555556</v>
      </c>
      <c r="I4" s="29">
        <f t="shared" ref="I4:I8" si="1">HOUR(H4-G4)</f>
        <v>6</v>
      </c>
      <c r="J4" s="1">
        <v>8</v>
      </c>
      <c r="K4" s="1" t="str">
        <f>VLOOKUP(J4,t_entry_status!A:G,2,FALSE)</f>
        <v>PENDING</v>
      </c>
      <c r="L4" s="7">
        <v>45560</v>
      </c>
      <c r="M4" s="1" t="s">
        <v>7455</v>
      </c>
      <c r="N4" s="7">
        <v>45560</v>
      </c>
      <c r="O4" s="1" t="s">
        <v>7455</v>
      </c>
    </row>
    <row r="5" spans="1:15" x14ac:dyDescent="0.3">
      <c r="A5" s="1">
        <v>4</v>
      </c>
      <c r="B5" s="1" t="s">
        <v>7423</v>
      </c>
      <c r="C5" s="1">
        <v>1</v>
      </c>
      <c r="D5" s="28">
        <v>0.33333333333333331</v>
      </c>
      <c r="E5" s="28">
        <v>0.70833333333333337</v>
      </c>
      <c r="F5" s="29">
        <f t="shared" si="0"/>
        <v>9</v>
      </c>
      <c r="G5" s="28">
        <v>0.70833333333333337</v>
      </c>
      <c r="H5" s="28">
        <v>0.99930555555555556</v>
      </c>
      <c r="I5" s="29">
        <f t="shared" si="1"/>
        <v>6</v>
      </c>
      <c r="J5" s="1">
        <v>8</v>
      </c>
      <c r="K5" s="1" t="str">
        <f>VLOOKUP(J5,t_entry_status!A:G,2,FALSE)</f>
        <v>PENDING</v>
      </c>
      <c r="L5" s="7">
        <v>45560</v>
      </c>
      <c r="M5" s="1" t="s">
        <v>7455</v>
      </c>
      <c r="N5" s="7">
        <v>45560</v>
      </c>
      <c r="O5" s="1" t="s">
        <v>7455</v>
      </c>
    </row>
    <row r="6" spans="1:15" x14ac:dyDescent="0.3">
      <c r="A6" s="1">
        <v>5</v>
      </c>
      <c r="B6" s="1" t="s">
        <v>7424</v>
      </c>
      <c r="C6" s="1">
        <v>1</v>
      </c>
      <c r="D6" s="28">
        <v>0.33333333333333331</v>
      </c>
      <c r="E6" s="28">
        <v>0.70833333333333337</v>
      </c>
      <c r="F6" s="29">
        <f t="shared" si="0"/>
        <v>9</v>
      </c>
      <c r="G6" s="28">
        <v>0.70833333333333337</v>
      </c>
      <c r="H6" s="28">
        <v>0.99930555555555556</v>
      </c>
      <c r="I6" s="29">
        <f t="shared" si="1"/>
        <v>6</v>
      </c>
      <c r="J6" s="1">
        <v>8</v>
      </c>
      <c r="K6" s="1" t="str">
        <f>VLOOKUP(J6,t_entry_status!A:G,2,FALSE)</f>
        <v>PENDING</v>
      </c>
      <c r="L6" s="7">
        <v>45560</v>
      </c>
      <c r="M6" s="1" t="s">
        <v>7455</v>
      </c>
      <c r="N6" s="7">
        <v>45560</v>
      </c>
      <c r="O6" s="1" t="s">
        <v>7455</v>
      </c>
    </row>
    <row r="7" spans="1:15" x14ac:dyDescent="0.3">
      <c r="A7" s="1">
        <v>6</v>
      </c>
      <c r="B7" s="1" t="s">
        <v>7425</v>
      </c>
      <c r="C7" s="1">
        <v>1</v>
      </c>
      <c r="D7" s="28">
        <v>0.33333333333333331</v>
      </c>
      <c r="E7" s="28">
        <v>0.70833333333333337</v>
      </c>
      <c r="F7" s="29">
        <f t="shared" si="0"/>
        <v>9</v>
      </c>
      <c r="G7" s="28">
        <v>0.70833333333333337</v>
      </c>
      <c r="H7" s="28">
        <v>0.99930555555555556</v>
      </c>
      <c r="I7" s="29">
        <f t="shared" si="1"/>
        <v>6</v>
      </c>
      <c r="J7" s="1">
        <v>8</v>
      </c>
      <c r="K7" s="1" t="str">
        <f>VLOOKUP(J7,t_entry_status!A:G,2,FALSE)</f>
        <v>PENDING</v>
      </c>
      <c r="L7" s="7">
        <v>45560</v>
      </c>
      <c r="M7" s="1" t="s">
        <v>7455</v>
      </c>
      <c r="N7" s="7">
        <v>45560</v>
      </c>
      <c r="O7" s="1" t="s">
        <v>7455</v>
      </c>
    </row>
    <row r="8" spans="1:15" x14ac:dyDescent="0.3">
      <c r="A8" s="1">
        <v>7</v>
      </c>
      <c r="B8" s="1" t="s">
        <v>7426</v>
      </c>
      <c r="C8" s="1">
        <v>2</v>
      </c>
      <c r="D8" s="28">
        <v>0.33333333333333331</v>
      </c>
      <c r="E8" s="28">
        <v>0.54166666666666663</v>
      </c>
      <c r="F8" s="29">
        <f t="shared" si="0"/>
        <v>5</v>
      </c>
      <c r="G8" s="28">
        <v>0.54166666666666663</v>
      </c>
      <c r="H8" s="28">
        <v>0.99930555555555556</v>
      </c>
      <c r="I8" s="29">
        <f t="shared" si="1"/>
        <v>10</v>
      </c>
      <c r="J8" s="1">
        <v>8</v>
      </c>
      <c r="K8" s="1" t="str">
        <f>VLOOKUP(J8,t_entry_status!A:G,2,FALSE)</f>
        <v>PENDING</v>
      </c>
      <c r="L8" s="7">
        <v>45560</v>
      </c>
      <c r="M8" s="1" t="s">
        <v>7455</v>
      </c>
      <c r="N8" s="7">
        <v>45560</v>
      </c>
      <c r="O8" s="1" t="s">
        <v>7455</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Hoja1</vt:lpstr>
      <vt:lpstr>t_empresa</vt:lpstr>
      <vt:lpstr>t_producto</vt:lpstr>
      <vt:lpstr>t_productStatus</vt:lpstr>
      <vt:lpstr>t_cliente</vt:lpstr>
      <vt:lpstr>t_tipo_cliente</vt:lpstr>
      <vt:lpstr>t_prioridad_cliente</vt:lpstr>
      <vt:lpstr>t_clave_unidad</vt:lpstr>
      <vt:lpstr>t_entry_status</vt:lpstr>
      <vt:lpstr>t_usuario</vt:lpstr>
      <vt:lpstr>t_area</vt:lpstr>
      <vt:lpstr>t_proceso</vt:lpstr>
      <vt:lpstr>t_equipo</vt:lpstr>
      <vt:lpstr>t_objeto</vt:lpstr>
      <vt:lpstr>t_materialPlano</vt:lpstr>
      <vt:lpstr>t_calendario</vt:lpstr>
      <vt:lpstr>t_politicaLaboral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2024-09-26T23:03:50Z</dcterms:modified>
</cp:coreProperties>
</file>